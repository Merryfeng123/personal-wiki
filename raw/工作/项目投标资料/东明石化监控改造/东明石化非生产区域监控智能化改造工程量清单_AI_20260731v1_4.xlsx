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程量清单" sheetId="1" state="visible" r:id="rId3"/>
    <sheet name="摄像机点位明细" sheetId="2" state="visible" r:id="rId4"/>
  </sheets>
  <definedNames>
    <definedName function="false" hidden="false" localSheetId="0" name="_xlnm.Print_Titles" vbProcedure="false">工程量清单!$4:$4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<sst xmlns="http://schemas.openxmlformats.org/spreadsheetml/2006/main" count="318" uniqueCount="223">
  <si>
    <t xml:space="preserve">东明石化集团 非生产区域视频监控智能化改造 工程量清单</t>
  </si>
  <si>
    <t xml:space="preserve">说明：设备型号/参数取自海康威视、华为供应商报价；标注“利旧”者为集团现有资源，“暂估/以勘查为准”为估算值。单价、合价由报价方填写。   编制日期：2026年7月</t>
  </si>
  <si>
    <t xml:space="preserve">序号</t>
  </si>
  <si>
    <t xml:space="preserve">设备/材料名称</t>
  </si>
  <si>
    <t xml:space="preserve">品牌/型号</t>
  </si>
  <si>
    <t xml:space="preserve">主要技术参数 / 规格</t>
  </si>
  <si>
    <t xml:space="preserve">单位</t>
  </si>
  <si>
    <t xml:space="preserve">数量</t>
  </si>
  <si>
    <t xml:space="preserve">性质</t>
  </si>
  <si>
    <t xml:space="preserve">单价(元)</t>
  </si>
  <si>
    <t xml:space="preserve">合价(元)</t>
  </si>
  <si>
    <t xml:space="preserve">备注</t>
  </si>
  <si>
    <t xml:space="preserve">一、前端采集设备</t>
  </si>
  <si>
    <t xml:space="preserve">网络高清枪型摄像机（周界补盲）</t>
  </si>
  <si>
    <t xml:space="preserve">海康威视
DS-2CD5A4HJX-SZBZ</t>
  </si>
  <si>
    <r>
      <rPr>
        <sz val="8.5"/>
        <rFont val="宋体"/>
        <family val="0"/>
        <charset val="1"/>
      </rPr>
      <t xml:space="preserve">≥1/1.8"</t>
    </r>
    <r>
      <rPr>
        <sz val="8.5"/>
        <rFont val="Noto Sans CJK SC"/>
        <family val="2"/>
      </rPr>
      <t xml:space="preserve">靶面，</t>
    </r>
    <r>
      <rPr>
        <sz val="8.5"/>
        <rFont val="宋体"/>
        <family val="0"/>
        <charset val="1"/>
      </rPr>
      <t xml:space="preserve">F1.0</t>
    </r>
    <r>
      <rPr>
        <sz val="8.5"/>
        <rFont val="Noto Sans CJK SC"/>
        <family val="2"/>
      </rPr>
      <t xml:space="preserve">光圈，内置</t>
    </r>
    <r>
      <rPr>
        <sz val="8.5"/>
        <rFont val="宋体"/>
        <family val="0"/>
        <charset val="1"/>
      </rPr>
      <t xml:space="preserve">GPU</t>
    </r>
    <r>
      <rPr>
        <sz val="8.5"/>
        <rFont val="Noto Sans CJK SC"/>
        <family val="2"/>
      </rPr>
      <t xml:space="preserve">芯片
最低照度彩色</t>
    </r>
    <r>
      <rPr>
        <sz val="8.5"/>
        <rFont val="宋体"/>
        <family val="0"/>
        <charset val="1"/>
      </rPr>
      <t xml:space="preserve">0.0014lx</t>
    </r>
    <r>
      <rPr>
        <sz val="8.5"/>
        <rFont val="Noto Sans CJK SC"/>
        <family val="2"/>
      </rPr>
      <t xml:space="preserve">，环境变暗自动开启白光补光，全天候输出彩色图像
中心水平分辨率≥</t>
    </r>
    <r>
      <rPr>
        <sz val="8.5"/>
        <rFont val="宋体"/>
        <family val="0"/>
        <charset val="1"/>
      </rPr>
      <t xml:space="preserve">1500</t>
    </r>
    <r>
      <rPr>
        <sz val="8.5"/>
        <rFont val="Noto Sans CJK SC"/>
        <family val="2"/>
      </rPr>
      <t xml:space="preserve">线（</t>
    </r>
    <r>
      <rPr>
        <sz val="8.5"/>
        <rFont val="宋体"/>
        <family val="0"/>
        <charset val="1"/>
      </rPr>
      <t xml:space="preserve">2688×1520</t>
    </r>
    <r>
      <rPr>
        <sz val="8.5"/>
        <rFont val="Noto Sans CJK SC"/>
        <family val="2"/>
      </rPr>
      <t xml:space="preserve">）
内置</t>
    </r>
    <r>
      <rPr>
        <sz val="8.5"/>
        <rFont val="宋体"/>
        <family val="0"/>
        <charset val="1"/>
      </rPr>
      <t xml:space="preserve">8GB</t>
    </r>
    <r>
      <rPr>
        <sz val="8.5"/>
        <rFont val="Noto Sans CJK SC"/>
        <family val="2"/>
      </rPr>
      <t xml:space="preserve">大模型算法芯片，识别人员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机动车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动物，可抑制树叶、光影等误报
水平视场角≥</t>
    </r>
    <r>
      <rPr>
        <sz val="8.5"/>
        <rFont val="宋体"/>
        <family val="0"/>
        <charset val="1"/>
      </rPr>
      <t xml:space="preserve">90°</t>
    </r>
    <r>
      <rPr>
        <sz val="8.5"/>
        <rFont val="Noto Sans CJK SC"/>
        <family val="2"/>
      </rPr>
      <t xml:space="preserve">时可检测</t>
    </r>
    <r>
      <rPr>
        <sz val="8.5"/>
        <rFont val="宋体"/>
        <family val="0"/>
        <charset val="1"/>
      </rPr>
      <t xml:space="preserve">60m</t>
    </r>
    <r>
      <rPr>
        <sz val="8.5"/>
        <rFont val="Noto Sans CJK SC"/>
        <family val="2"/>
      </rPr>
      <t xml:space="preserve">处行人、</t>
    </r>
    <r>
      <rPr>
        <sz val="8.5"/>
        <rFont val="宋体"/>
        <family val="0"/>
        <charset val="1"/>
      </rPr>
      <t xml:space="preserve">70m</t>
    </r>
    <r>
      <rPr>
        <sz val="8.5"/>
        <rFont val="Noto Sans CJK SC"/>
        <family val="2"/>
      </rPr>
      <t xml:space="preserve">处机动车
鳞镜式补光（正面不可见灯珠、无亮斑），耀光抑制≤</t>
    </r>
    <r>
      <rPr>
        <sz val="8.5"/>
        <rFont val="宋体"/>
        <family val="0"/>
        <charset val="1"/>
      </rPr>
      <t xml:space="preserve">1%
</t>
    </r>
    <r>
      <rPr>
        <sz val="8.5"/>
        <rFont val="Noto Sans CJK SC"/>
        <family val="2"/>
      </rPr>
      <t xml:space="preserve">低温低气压适应（</t>
    </r>
    <r>
      <rPr>
        <sz val="8.5"/>
        <rFont val="宋体"/>
        <family val="0"/>
        <charset val="1"/>
      </rPr>
      <t xml:space="preserve">-45℃</t>
    </r>
    <r>
      <rPr>
        <sz val="8.5"/>
        <rFont val="Noto Sans CJK SC"/>
        <family val="2"/>
      </rPr>
      <t xml:space="preserve">、</t>
    </r>
    <r>
      <rPr>
        <sz val="8.5"/>
        <rFont val="宋体"/>
        <family val="0"/>
        <charset val="1"/>
      </rPr>
      <t xml:space="preserve">70kPa</t>
    </r>
    <r>
      <rPr>
        <sz val="8.5"/>
        <rFont val="Noto Sans CJK SC"/>
        <family val="2"/>
      </rPr>
      <t xml:space="preserve">），防护等级</t>
    </r>
    <r>
      <rPr>
        <sz val="8.5"/>
        <rFont val="宋体"/>
        <family val="0"/>
        <charset val="1"/>
      </rPr>
      <t xml:space="preserve">IP67
</t>
    </r>
    <r>
      <rPr>
        <sz val="8.5"/>
        <rFont val="Noto Sans CJK SC"/>
        <family val="2"/>
      </rPr>
      <t xml:space="preserve">接口：</t>
    </r>
    <r>
      <rPr>
        <sz val="8.5"/>
        <rFont val="宋体"/>
        <family val="0"/>
        <charset val="1"/>
      </rPr>
      <t xml:space="preserve">RS485×1</t>
    </r>
    <r>
      <rPr>
        <sz val="8.5"/>
        <rFont val="Noto Sans CJK SC"/>
        <family val="2"/>
      </rPr>
      <t xml:space="preserve">、报警输入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输出各</t>
    </r>
    <r>
      <rPr>
        <sz val="8.5"/>
        <rFont val="宋体"/>
        <family val="0"/>
        <charset val="1"/>
      </rPr>
      <t xml:space="preserve">1</t>
    </r>
    <r>
      <rPr>
        <sz val="8.5"/>
        <rFont val="Noto Sans CJK SC"/>
        <family val="2"/>
      </rPr>
      <t xml:space="preserve">、音频输入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输出各</t>
    </r>
    <r>
      <rPr>
        <sz val="8.5"/>
        <rFont val="宋体"/>
        <family val="0"/>
        <charset val="1"/>
      </rPr>
      <t xml:space="preserve">1</t>
    </r>
  </si>
  <si>
    <t xml:space="preserve">台</t>
  </si>
  <si>
    <t xml:space="preserve">新增</t>
  </si>
  <si>
    <t xml:space="preserve">华汪围墙周界补盲</t>
  </si>
  <si>
    <t xml:space="preserve">网络高清枪/球型摄像机（重点部位补盲）</t>
  </si>
  <si>
    <t xml:space="preserve">东明港运围墙/重点设备</t>
  </si>
  <si>
    <t xml:space="preserve">宽动态卡口/枪型摄像机（门岗补盲）</t>
  </si>
  <si>
    <t xml:space="preserve">海康威视
DS-2CD7T4HJX-SZBZ</t>
  </si>
  <si>
    <r>
      <rPr>
        <sz val="8.5"/>
        <rFont val="宋体"/>
        <family val="0"/>
        <charset val="1"/>
      </rPr>
      <t xml:space="preserve">≥1/1.8"</t>
    </r>
    <r>
      <rPr>
        <sz val="8.5"/>
        <rFont val="Noto Sans CJK SC"/>
        <family val="2"/>
      </rPr>
      <t xml:space="preserve">靶面，</t>
    </r>
    <r>
      <rPr>
        <sz val="8.5"/>
        <rFont val="宋体"/>
        <family val="0"/>
        <charset val="1"/>
      </rPr>
      <t xml:space="preserve">F1.0</t>
    </r>
    <r>
      <rPr>
        <sz val="8.5"/>
        <rFont val="Noto Sans CJK SC"/>
        <family val="2"/>
      </rPr>
      <t xml:space="preserve">光圈，内置</t>
    </r>
    <r>
      <rPr>
        <sz val="8.5"/>
        <rFont val="宋体"/>
        <family val="0"/>
        <charset val="1"/>
      </rPr>
      <t xml:space="preserve">GPU</t>
    </r>
    <r>
      <rPr>
        <sz val="8.5"/>
        <rFont val="Noto Sans CJK SC"/>
        <family val="2"/>
      </rPr>
      <t xml:space="preserve">芯片
分辨率≥</t>
    </r>
    <r>
      <rPr>
        <sz val="8.5"/>
        <rFont val="宋体"/>
        <family val="0"/>
        <charset val="1"/>
      </rPr>
      <t xml:space="preserve">2560×1440@25fps</t>
    </r>
    <r>
      <rPr>
        <sz val="8.5"/>
        <rFont val="Noto Sans CJK SC"/>
        <family val="2"/>
      </rPr>
      <t xml:space="preserve">，分辨力≥</t>
    </r>
    <r>
      <rPr>
        <sz val="8.5"/>
        <rFont val="宋体"/>
        <family val="0"/>
        <charset val="1"/>
      </rPr>
      <t xml:space="preserve">1500TVL
</t>
    </r>
    <r>
      <rPr>
        <sz val="8.5"/>
        <rFont val="Noto Sans CJK SC"/>
        <family val="2"/>
      </rPr>
      <t xml:space="preserve">最低照度彩色</t>
    </r>
    <r>
      <rPr>
        <sz val="8.5"/>
        <rFont val="宋体"/>
        <family val="0"/>
        <charset val="1"/>
      </rPr>
      <t xml:space="preserve">0.0002lx</t>
    </r>
    <r>
      <rPr>
        <sz val="8.5"/>
        <rFont val="Noto Sans CJK SC"/>
        <family val="2"/>
      </rPr>
      <t xml:space="preserve">、黑白</t>
    </r>
    <r>
      <rPr>
        <sz val="8.5"/>
        <rFont val="宋体"/>
        <family val="0"/>
        <charset val="1"/>
      </rPr>
      <t xml:space="preserve">0.0001lx
</t>
    </r>
    <r>
      <rPr>
        <sz val="8.5"/>
        <rFont val="Noto Sans CJK SC"/>
        <family val="2"/>
      </rPr>
      <t xml:space="preserve">支持</t>
    </r>
    <r>
      <rPr>
        <sz val="8.5"/>
        <rFont val="宋体"/>
        <family val="0"/>
        <charset val="1"/>
      </rPr>
      <t xml:space="preserve">H.264/H.265/MJPEG</t>
    </r>
    <r>
      <rPr>
        <sz val="8.5"/>
        <rFont val="Noto Sans CJK SC"/>
        <family val="2"/>
      </rPr>
      <t xml:space="preserve">，具</t>
    </r>
    <r>
      <rPr>
        <sz val="8.5"/>
        <rFont val="宋体"/>
        <family val="0"/>
        <charset val="1"/>
      </rPr>
      <t xml:space="preserve">High Profile</t>
    </r>
    <r>
      <rPr>
        <sz val="8.5"/>
        <rFont val="Noto Sans CJK SC"/>
        <family val="2"/>
      </rPr>
      <t xml:space="preserve">编码
人脸抓拍（瞳距≥</t>
    </r>
    <r>
      <rPr>
        <sz val="8.5"/>
        <rFont val="宋体"/>
        <family val="0"/>
        <charset val="1"/>
      </rPr>
      <t xml:space="preserve">40px</t>
    </r>
    <r>
      <rPr>
        <sz val="8.5"/>
        <rFont val="Noto Sans CJK SC"/>
        <family val="2"/>
      </rPr>
      <t xml:space="preserve">）、侧脸过滤、多区域人数统计
越界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区域入侵报警，联动声音报警与白光闪烁
内置</t>
    </r>
    <r>
      <rPr>
        <sz val="8.5"/>
        <rFont val="宋体"/>
        <family val="0"/>
        <charset val="1"/>
      </rPr>
      <t xml:space="preserve">2</t>
    </r>
    <r>
      <rPr>
        <sz val="8.5"/>
        <rFont val="Noto Sans CJK SC"/>
        <family val="2"/>
      </rPr>
      <t xml:space="preserve">麦克风</t>
    </r>
    <r>
      <rPr>
        <sz val="8.5"/>
        <rFont val="宋体"/>
        <family val="0"/>
        <charset val="1"/>
      </rPr>
      <t xml:space="preserve">+1</t>
    </r>
    <r>
      <rPr>
        <sz val="8.5"/>
        <rFont val="Noto Sans CJK SC"/>
        <family val="2"/>
      </rPr>
      <t xml:space="preserve">扬声器；鳞镜式补光；防护等级</t>
    </r>
    <r>
      <rPr>
        <sz val="8.5"/>
        <rFont val="宋体"/>
        <family val="0"/>
        <charset val="1"/>
      </rPr>
      <t xml:space="preserve">IP67</t>
    </r>
  </si>
  <si>
    <t xml:space="preserve">润华实业各门岗</t>
  </si>
  <si>
    <t xml:space="preserve">网络摄像机（老旧更换）</t>
  </si>
  <si>
    <t xml:space="preserve">海康威视
DS-2CD2T4HJX-SZBZ</t>
  </si>
  <si>
    <r>
      <rPr>
        <sz val="8.5"/>
        <rFont val="宋体"/>
        <family val="0"/>
        <charset val="1"/>
      </rPr>
      <t xml:space="preserve">≥1/1.8"</t>
    </r>
    <r>
      <rPr>
        <sz val="8.5"/>
        <rFont val="Noto Sans CJK SC"/>
        <family val="2"/>
      </rPr>
      <t xml:space="preserve">靶面，光圈≥</t>
    </r>
    <r>
      <rPr>
        <sz val="8.5"/>
        <rFont val="宋体"/>
        <family val="0"/>
        <charset val="1"/>
      </rPr>
      <t xml:space="preserve">F1.0</t>
    </r>
    <r>
      <rPr>
        <sz val="8.5"/>
        <rFont val="Noto Sans CJK SC"/>
        <family val="2"/>
      </rPr>
      <t xml:space="preserve">，</t>
    </r>
    <r>
      <rPr>
        <sz val="8.5"/>
        <rFont val="宋体"/>
        <family val="0"/>
        <charset val="1"/>
      </rPr>
      <t xml:space="preserve">CPU/GPU/NPU</t>
    </r>
    <r>
      <rPr>
        <sz val="8.5"/>
        <rFont val="Noto Sans CJK SC"/>
        <family val="2"/>
      </rPr>
      <t xml:space="preserve">三合一芯片
输出分辨率≥</t>
    </r>
    <r>
      <rPr>
        <sz val="8.5"/>
        <rFont val="宋体"/>
        <family val="0"/>
        <charset val="1"/>
      </rPr>
      <t xml:space="preserve">2560×1440
</t>
    </r>
    <r>
      <rPr>
        <sz val="8.5"/>
        <rFont val="Noto Sans CJK SC"/>
        <family val="2"/>
      </rPr>
      <t xml:space="preserve">日夜场景自适应，全天候彩色，夜间清晰度≥白天</t>
    </r>
    <r>
      <rPr>
        <sz val="8.5"/>
        <rFont val="宋体"/>
        <family val="0"/>
        <charset val="1"/>
      </rPr>
      <t xml:space="preserve">95%
AI-ISP</t>
    </r>
    <r>
      <rPr>
        <sz val="8.5"/>
        <rFont val="Noto Sans CJK SC"/>
        <family val="2"/>
      </rPr>
      <t xml:space="preserve">图像增强；复眼式柔光补光，低照下识别</t>
    </r>
    <r>
      <rPr>
        <sz val="8.5"/>
        <rFont val="宋体"/>
        <family val="0"/>
        <charset val="1"/>
      </rPr>
      <t xml:space="preserve">30m</t>
    </r>
    <r>
      <rPr>
        <sz val="8.5"/>
        <rFont val="Noto Sans CJK SC"/>
        <family val="2"/>
      </rPr>
      <t xml:space="preserve">人体轮廓
支持</t>
    </r>
    <r>
      <rPr>
        <sz val="8.5"/>
        <rFont val="宋体"/>
        <family val="0"/>
        <charset val="1"/>
      </rPr>
      <t xml:space="preserve">AI</t>
    </r>
    <r>
      <rPr>
        <sz val="8.5"/>
        <rFont val="Noto Sans CJK SC"/>
        <family val="2"/>
      </rPr>
      <t xml:space="preserve">编码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大模型编码，同场景较</t>
    </r>
    <r>
      <rPr>
        <sz val="8.5"/>
        <rFont val="宋体"/>
        <family val="0"/>
        <charset val="1"/>
      </rPr>
      <t xml:space="preserve">H.265</t>
    </r>
    <r>
      <rPr>
        <sz val="8.5"/>
        <rFont val="Noto Sans CJK SC"/>
        <family val="2"/>
      </rPr>
      <t xml:space="preserve">码率节省≥</t>
    </r>
    <r>
      <rPr>
        <sz val="8.5"/>
        <rFont val="宋体"/>
        <family val="0"/>
        <charset val="1"/>
      </rPr>
      <t xml:space="preserve">50%
</t>
    </r>
    <r>
      <rPr>
        <sz val="8.5"/>
        <rFont val="Noto Sans CJK SC"/>
        <family val="2"/>
      </rPr>
      <t xml:space="preserve">支持智能文搜（上传目标图片及出现时间、类别、位置）
</t>
    </r>
    <r>
      <rPr>
        <sz val="8.5"/>
        <rFont val="宋体"/>
        <family val="0"/>
        <charset val="1"/>
      </rPr>
      <t xml:space="preserve">DC12V</t>
    </r>
    <r>
      <rPr>
        <sz val="8.5"/>
        <rFont val="Noto Sans CJK SC"/>
        <family val="2"/>
      </rPr>
      <t xml:space="preserve">供电</t>
    </r>
  </si>
  <si>
    <t xml:space="preserve">各区域老旧点位，以勘查为准</t>
  </si>
  <si>
    <t xml:space="preserve">前端摄像机小计</t>
  </si>
  <si>
    <t xml:space="preserve">二、智能分析设备</t>
  </si>
  <si>
    <r>
      <rPr>
        <sz val="10"/>
        <color rgb="FF000000"/>
        <rFont val="宋体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边缘算力分析服务器</t>
    </r>
  </si>
  <si>
    <t xml:space="preserve">海康威视
iDS-8664NX-I9/X</t>
  </si>
  <si>
    <r>
      <rPr>
        <sz val="8.5"/>
        <rFont val="宋体"/>
        <family val="0"/>
        <charset val="1"/>
      </rPr>
      <t xml:space="preserve">2U</t>
    </r>
    <r>
      <rPr>
        <sz val="8.5"/>
        <rFont val="Noto Sans CJK SC"/>
        <family val="2"/>
      </rPr>
      <t xml:space="preserve">机架</t>
    </r>
    <r>
      <rPr>
        <sz val="8.5"/>
        <rFont val="宋体"/>
        <family val="0"/>
        <charset val="1"/>
      </rPr>
      <t xml:space="preserve">9</t>
    </r>
    <r>
      <rPr>
        <sz val="8.5"/>
        <rFont val="Noto Sans CJK SC"/>
        <family val="2"/>
      </rPr>
      <t xml:space="preserve">盘位存算一体边缘计算主机，内置</t>
    </r>
    <r>
      <rPr>
        <sz val="8.5"/>
        <rFont val="宋体"/>
        <family val="0"/>
        <charset val="1"/>
      </rPr>
      <t xml:space="preserve">2</t>
    </r>
    <r>
      <rPr>
        <sz val="8.5"/>
        <rFont val="Noto Sans CJK SC"/>
        <family val="2"/>
      </rPr>
      <t xml:space="preserve">颗</t>
    </r>
    <r>
      <rPr>
        <sz val="8.5"/>
        <rFont val="宋体"/>
        <family val="0"/>
        <charset val="1"/>
      </rPr>
      <t xml:space="preserve">AI</t>
    </r>
    <r>
      <rPr>
        <sz val="8.5"/>
        <rFont val="Noto Sans CJK SC"/>
        <family val="2"/>
      </rPr>
      <t xml:space="preserve">引擎
存储：</t>
    </r>
    <r>
      <rPr>
        <sz val="8.5"/>
        <rFont val="宋体"/>
        <family val="0"/>
        <charset val="1"/>
      </rPr>
      <t xml:space="preserve">9×SATA</t>
    </r>
    <r>
      <rPr>
        <sz val="8.5"/>
        <rFont val="Noto Sans CJK SC"/>
        <family val="2"/>
      </rPr>
      <t xml:space="preserve">（可满配</t>
    </r>
    <r>
      <rPr>
        <sz val="8.5"/>
        <rFont val="宋体"/>
        <family val="0"/>
        <charset val="1"/>
      </rPr>
      <t xml:space="preserve">16TB</t>
    </r>
    <r>
      <rPr>
        <sz val="8.5"/>
        <rFont val="Noto Sans CJK SC"/>
        <family val="2"/>
      </rPr>
      <t xml:space="preserve">），支持热插拔及</t>
    </r>
    <r>
      <rPr>
        <sz val="8.5"/>
        <rFont val="宋体"/>
        <family val="0"/>
        <charset val="1"/>
      </rPr>
      <t xml:space="preserve">RAID0/1/5/6/10+</t>
    </r>
    <r>
      <rPr>
        <sz val="8.5"/>
        <rFont val="Noto Sans CJK SC"/>
        <family val="2"/>
      </rPr>
      <t xml:space="preserve">全局热备
网络</t>
    </r>
    <r>
      <rPr>
        <sz val="8.5"/>
        <rFont val="宋体"/>
        <family val="0"/>
        <charset val="1"/>
      </rPr>
      <t xml:space="preserve">2×</t>
    </r>
    <r>
      <rPr>
        <sz val="8.5"/>
        <rFont val="Noto Sans CJK SC"/>
        <family val="2"/>
      </rPr>
      <t xml:space="preserve">千兆</t>
    </r>
    <r>
      <rPr>
        <sz val="8.5"/>
        <rFont val="宋体"/>
        <family val="0"/>
        <charset val="1"/>
      </rPr>
      <t xml:space="preserve">RJ45</t>
    </r>
    <r>
      <rPr>
        <sz val="8.5"/>
        <rFont val="Noto Sans CJK SC"/>
        <family val="2"/>
      </rPr>
      <t xml:space="preserve">；视频</t>
    </r>
    <r>
      <rPr>
        <sz val="8.5"/>
        <rFont val="宋体"/>
        <family val="0"/>
        <charset val="1"/>
      </rPr>
      <t xml:space="preserve">2×HDMI+2×VGA</t>
    </r>
    <r>
      <rPr>
        <sz val="8.5"/>
        <rFont val="Noto Sans CJK SC"/>
        <family val="2"/>
      </rPr>
      <t xml:space="preserve">；报警</t>
    </r>
    <r>
      <rPr>
        <sz val="8.5"/>
        <rFont val="宋体"/>
        <family val="0"/>
        <charset val="1"/>
      </rPr>
      <t xml:space="preserve">16</t>
    </r>
    <r>
      <rPr>
        <sz val="8.5"/>
        <rFont val="Noto Sans CJK SC"/>
        <family val="2"/>
      </rPr>
      <t xml:space="preserve">入</t>
    </r>
    <r>
      <rPr>
        <sz val="8.5"/>
        <rFont val="宋体"/>
        <family val="0"/>
        <charset val="1"/>
      </rPr>
      <t xml:space="preserve">4</t>
    </r>
    <r>
      <rPr>
        <sz val="8.5"/>
        <rFont val="Noto Sans CJK SC"/>
        <family val="2"/>
      </rPr>
      <t xml:space="preserve">出；</t>
    </r>
    <r>
      <rPr>
        <sz val="8.5"/>
        <rFont val="宋体"/>
        <family val="0"/>
        <charset val="1"/>
      </rPr>
      <t xml:space="preserve">RS-232/485
</t>
    </r>
    <r>
      <rPr>
        <sz val="8.5"/>
        <rFont val="Noto Sans CJK SC"/>
        <family val="2"/>
      </rPr>
      <t xml:space="preserve">接入</t>
    </r>
    <r>
      <rPr>
        <sz val="8.5"/>
        <rFont val="宋体"/>
        <family val="0"/>
        <charset val="1"/>
      </rPr>
      <t xml:space="preserve">64</t>
    </r>
    <r>
      <rPr>
        <sz val="8.5"/>
        <rFont val="Noto Sans CJK SC"/>
        <family val="2"/>
      </rPr>
      <t xml:space="preserve">路</t>
    </r>
    <r>
      <rPr>
        <sz val="8.5"/>
        <rFont val="宋体"/>
        <family val="0"/>
        <charset val="1"/>
      </rPr>
      <t xml:space="preserve">H.264/H.265</t>
    </r>
    <r>
      <rPr>
        <sz val="8.5"/>
        <rFont val="Noto Sans CJK SC"/>
        <family val="2"/>
      </rPr>
      <t xml:space="preserve">，最大解码</t>
    </r>
    <r>
      <rPr>
        <sz val="8.5"/>
        <rFont val="宋体"/>
        <family val="0"/>
        <charset val="1"/>
      </rPr>
      <t xml:space="preserve">32×1080P</t>
    </r>
    <r>
      <rPr>
        <sz val="8.5"/>
        <rFont val="Noto Sans CJK SC"/>
        <family val="2"/>
      </rPr>
      <t xml:space="preserve">，输入带宽</t>
    </r>
    <r>
      <rPr>
        <sz val="8.5"/>
        <rFont val="宋体"/>
        <family val="0"/>
        <charset val="1"/>
      </rPr>
      <t xml:space="preserve">384Mbps
</t>
    </r>
    <r>
      <rPr>
        <sz val="8.5"/>
        <rFont val="Noto Sans CJK SC"/>
        <family val="2"/>
      </rPr>
      <t xml:space="preserve">智能模式</t>
    </r>
    <r>
      <rPr>
        <sz val="8.5"/>
        <rFont val="宋体"/>
        <family val="0"/>
        <charset val="1"/>
      </rPr>
      <t xml:space="preserve">6</t>
    </r>
    <r>
      <rPr>
        <sz val="8.5"/>
        <rFont val="Noto Sans CJK SC"/>
        <family val="2"/>
      </rPr>
      <t xml:space="preserve">选</t>
    </r>
    <r>
      <rPr>
        <sz val="8.5"/>
        <rFont val="宋体"/>
        <family val="0"/>
        <charset val="1"/>
      </rPr>
      <t xml:space="preserve">1</t>
    </r>
    <r>
      <rPr>
        <sz val="8.5"/>
        <rFont val="Noto Sans CJK SC"/>
        <family val="2"/>
      </rPr>
      <t xml:space="preserve">：目标识别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周界防范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周界大模型二次分析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视频结构化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以图搜图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高空抛物
智能文搜：开放式语义检索、秒级响应
周界防范：单引擎</t>
    </r>
    <r>
      <rPr>
        <sz val="8.5"/>
        <rFont val="宋体"/>
        <family val="0"/>
        <charset val="1"/>
      </rPr>
      <t xml:space="preserve">12</t>
    </r>
    <r>
      <rPr>
        <sz val="8.5"/>
        <rFont val="Noto Sans CJK SC"/>
        <family val="2"/>
      </rPr>
      <t xml:space="preserve">路</t>
    </r>
    <r>
      <rPr>
        <sz val="8.5"/>
        <rFont val="宋体"/>
        <family val="0"/>
        <charset val="1"/>
      </rPr>
      <t xml:space="preserve">2MP</t>
    </r>
    <r>
      <rPr>
        <sz val="8.5"/>
        <rFont val="Noto Sans CJK SC"/>
        <family val="2"/>
      </rPr>
      <t xml:space="preserve">，支持大模型二次分析
视频结构化：人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车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非机动车抓拍、车牌识别与车牌库报警</t>
    </r>
  </si>
  <si>
    <t xml:space="preserve">承载193路AI分析，按32路/台配置含20%余量</t>
  </si>
  <si>
    <r>
      <rPr>
        <sz val="10"/>
        <color rgb="FF000000"/>
        <rFont val="宋体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行为分析算法授权</t>
    </r>
  </si>
  <si>
    <t xml:space="preserve">海康威视
（随服务器/按路授权）</t>
  </si>
  <si>
    <t xml:space="preserve">周界入侵、越线报警等行为分析算法，按路授权，报警统一接入平台</t>
  </si>
  <si>
    <t xml:space="preserve">路</t>
  </si>
  <si>
    <t xml:space="preserve">对应需AI升级摄像机193台</t>
  </si>
  <si>
    <t xml:space="preserve">三、平台与软件</t>
  </si>
  <si>
    <t xml:space="preserve">平台服务器</t>
  </si>
  <si>
    <t xml:space="preserve">海康威视
DS-VM22R-CL/R2</t>
  </si>
  <si>
    <r>
      <rPr>
        <sz val="8.5"/>
        <rFont val="宋体"/>
        <family val="0"/>
        <charset val="1"/>
      </rPr>
      <t xml:space="preserve">2U</t>
    </r>
    <r>
      <rPr>
        <sz val="8.5"/>
        <rFont val="Noto Sans CJK SC"/>
        <family val="2"/>
      </rPr>
      <t xml:space="preserve">双路机架服务器，</t>
    </r>
    <r>
      <rPr>
        <sz val="8.5"/>
        <rFont val="宋体"/>
        <family val="0"/>
        <charset val="1"/>
      </rPr>
      <t xml:space="preserve">2</t>
    </r>
    <r>
      <rPr>
        <sz val="8.5"/>
        <rFont val="Noto Sans CJK SC"/>
        <family val="2"/>
      </rPr>
      <t xml:space="preserve">颗海光</t>
    </r>
    <r>
      <rPr>
        <sz val="8.5"/>
        <rFont val="宋体"/>
        <family val="0"/>
        <charset val="1"/>
      </rPr>
      <t xml:space="preserve">C86</t>
    </r>
    <r>
      <rPr>
        <sz val="8.5"/>
        <rFont val="Noto Sans CJK SC"/>
        <family val="2"/>
      </rPr>
      <t xml:space="preserve">（</t>
    </r>
    <r>
      <rPr>
        <sz val="8.5"/>
        <rFont val="宋体"/>
        <family val="0"/>
        <charset val="1"/>
      </rPr>
      <t xml:space="preserve">3350</t>
    </r>
    <r>
      <rPr>
        <sz val="8.5"/>
        <rFont val="Noto Sans CJK SC"/>
        <family val="2"/>
      </rPr>
      <t xml:space="preserve">）处理器，≥</t>
    </r>
    <r>
      <rPr>
        <sz val="8.5"/>
        <rFont val="宋体"/>
        <family val="0"/>
        <charset val="1"/>
      </rPr>
      <t xml:space="preserve">8</t>
    </r>
    <r>
      <rPr>
        <sz val="8.5"/>
        <rFont val="Noto Sans CJK SC"/>
        <family val="2"/>
      </rPr>
      <t xml:space="preserve">核、主频≥</t>
    </r>
    <r>
      <rPr>
        <sz val="8.5"/>
        <rFont val="宋体"/>
        <family val="0"/>
        <charset val="1"/>
      </rPr>
      <t xml:space="preserve">3.0GHz
</t>
    </r>
    <r>
      <rPr>
        <sz val="8.5"/>
        <rFont val="Noto Sans CJK SC"/>
        <family val="2"/>
      </rPr>
      <t xml:space="preserve">内存</t>
    </r>
    <r>
      <rPr>
        <sz val="8.5"/>
        <rFont val="宋体"/>
        <family val="0"/>
        <charset val="1"/>
      </rPr>
      <t xml:space="preserve">64G DDR4</t>
    </r>
    <r>
      <rPr>
        <sz val="8.5"/>
        <rFont val="Noto Sans CJK SC"/>
        <family val="2"/>
      </rPr>
      <t xml:space="preserve">（</t>
    </r>
    <r>
      <rPr>
        <sz val="8.5"/>
        <rFont val="宋体"/>
        <family val="0"/>
        <charset val="1"/>
      </rPr>
      <t xml:space="preserve">8</t>
    </r>
    <r>
      <rPr>
        <sz val="8.5"/>
        <rFont val="Noto Sans CJK SC"/>
        <family val="2"/>
      </rPr>
      <t xml:space="preserve">插槽，最大可扩至</t>
    </r>
    <r>
      <rPr>
        <sz val="8.5"/>
        <rFont val="宋体"/>
        <family val="0"/>
        <charset val="1"/>
      </rPr>
      <t xml:space="preserve">1TB</t>
    </r>
    <r>
      <rPr>
        <sz val="8.5"/>
        <rFont val="Noto Sans CJK SC"/>
        <family val="2"/>
      </rPr>
      <t xml:space="preserve">）
系统盘</t>
    </r>
    <r>
      <rPr>
        <sz val="8.5"/>
        <rFont val="宋体"/>
        <family val="0"/>
        <charset val="1"/>
      </rPr>
      <t xml:space="preserve">2×600G 10K SAS</t>
    </r>
    <r>
      <rPr>
        <sz val="8.5"/>
        <rFont val="Noto Sans CJK SC"/>
        <family val="2"/>
      </rPr>
      <t xml:space="preserve">（</t>
    </r>
    <r>
      <rPr>
        <sz val="8.5"/>
        <rFont val="宋体"/>
        <family val="0"/>
        <charset val="1"/>
      </rPr>
      <t xml:space="preserve">RAID1</t>
    </r>
    <r>
      <rPr>
        <sz val="8.5"/>
        <rFont val="Noto Sans CJK SC"/>
        <family val="2"/>
      </rPr>
      <t xml:space="preserve">），前置最多</t>
    </r>
    <r>
      <rPr>
        <sz val="8.5"/>
        <rFont val="宋体"/>
        <family val="0"/>
        <charset val="1"/>
      </rPr>
      <t xml:space="preserve">12×3.5"</t>
    </r>
    <r>
      <rPr>
        <sz val="8.5"/>
        <rFont val="Noto Sans CJK SC"/>
        <family val="2"/>
      </rPr>
      <t xml:space="preserve">热插拔盘
配</t>
    </r>
    <r>
      <rPr>
        <sz val="8.5"/>
        <rFont val="宋体"/>
        <family val="0"/>
        <charset val="1"/>
      </rPr>
      <t xml:space="preserve">SAS_HBA</t>
    </r>
    <r>
      <rPr>
        <sz val="8.5"/>
        <rFont val="Noto Sans CJK SC"/>
        <family val="2"/>
      </rPr>
      <t xml:space="preserve">阵列卡（</t>
    </r>
    <r>
      <rPr>
        <sz val="8.5"/>
        <rFont val="宋体"/>
        <family val="0"/>
        <charset val="1"/>
      </rPr>
      <t xml:space="preserve">RAID0/1/10</t>
    </r>
    <r>
      <rPr>
        <sz val="8.5"/>
        <rFont val="Noto Sans CJK SC"/>
        <family val="2"/>
      </rPr>
      <t xml:space="preserve">），最多</t>
    </r>
    <r>
      <rPr>
        <sz val="8.5"/>
        <rFont val="宋体"/>
        <family val="0"/>
        <charset val="1"/>
      </rPr>
      <t xml:space="preserve">4</t>
    </r>
    <r>
      <rPr>
        <sz val="8.5"/>
        <rFont val="Noto Sans CJK SC"/>
        <family val="2"/>
      </rPr>
      <t xml:space="preserve">个</t>
    </r>
    <r>
      <rPr>
        <sz val="8.5"/>
        <rFont val="宋体"/>
        <family val="0"/>
        <charset val="1"/>
      </rPr>
      <t xml:space="preserve">PCIE</t>
    </r>
    <r>
      <rPr>
        <sz val="8.5"/>
        <rFont val="Noto Sans CJK SC"/>
        <family val="2"/>
      </rPr>
      <t xml:space="preserve">插槽
网口</t>
    </r>
    <r>
      <rPr>
        <sz val="8.5"/>
        <rFont val="宋体"/>
        <family val="0"/>
        <charset val="1"/>
      </rPr>
      <t xml:space="preserve">2×</t>
    </r>
    <r>
      <rPr>
        <sz val="8.5"/>
        <rFont val="Noto Sans CJK SC"/>
        <family val="2"/>
      </rPr>
      <t xml:space="preserve">千兆板载</t>
    </r>
    <r>
      <rPr>
        <sz val="8.5"/>
        <rFont val="宋体"/>
        <family val="0"/>
        <charset val="1"/>
      </rPr>
      <t xml:space="preserve">+2×</t>
    </r>
    <r>
      <rPr>
        <sz val="8.5"/>
        <rFont val="Noto Sans CJK SC"/>
        <family val="2"/>
      </rPr>
      <t xml:space="preserve">千兆</t>
    </r>
    <r>
      <rPr>
        <sz val="8.5"/>
        <rFont val="宋体"/>
        <family val="0"/>
        <charset val="1"/>
      </rPr>
      <t xml:space="preserve">PCIE</t>
    </r>
    <r>
      <rPr>
        <sz val="8.5"/>
        <rFont val="Noto Sans CJK SC"/>
        <family val="2"/>
      </rPr>
      <t xml:space="preserve">，可选配</t>
    </r>
    <r>
      <rPr>
        <sz val="8.5"/>
        <rFont val="宋体"/>
        <family val="0"/>
        <charset val="1"/>
      </rPr>
      <t xml:space="preserve"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0"/>
        <charset val="1"/>
      </rPr>
      <t xml:space="preserve">550W</t>
    </r>
    <r>
      <rPr>
        <sz val="8.5"/>
        <rFont val="Noto Sans CJK SC"/>
        <family val="2"/>
      </rPr>
      <t xml:space="preserve">（</t>
    </r>
    <r>
      <rPr>
        <sz val="8.5"/>
        <rFont val="宋体"/>
        <family val="0"/>
        <charset val="1"/>
      </rPr>
      <t xml:space="preserve">1+1</t>
    </r>
    <r>
      <rPr>
        <sz val="8.5"/>
        <rFont val="Noto Sans CJK SC"/>
        <family val="2"/>
      </rPr>
      <t xml:space="preserve">）铂金冗余电源；</t>
    </r>
    <r>
      <rPr>
        <sz val="8.5"/>
        <rFont val="宋体"/>
        <family val="0"/>
        <charset val="1"/>
      </rPr>
      <t xml:space="preserve">1</t>
    </r>
    <r>
      <rPr>
        <sz val="8.5"/>
        <rFont val="Noto Sans CJK SC"/>
        <family val="2"/>
      </rPr>
      <t xml:space="preserve">个</t>
    </r>
    <r>
      <rPr>
        <sz val="8.5"/>
        <rFont val="宋体"/>
        <family val="0"/>
        <charset val="1"/>
      </rPr>
      <t xml:space="preserve">IPMI</t>
    </r>
    <r>
      <rPr>
        <sz val="8.5"/>
        <rFont val="Noto Sans CJK SC"/>
        <family val="2"/>
      </rPr>
      <t xml:space="preserve">管理口</t>
    </r>
  </si>
  <si>
    <r>
      <rPr>
        <sz val="9"/>
        <color rgb="FF595959"/>
        <rFont val="宋体"/>
        <family val="0"/>
        <charset val="1"/>
      </rPr>
      <t xml:space="preserve">ISC</t>
    </r>
    <r>
      <rPr>
        <sz val="9"/>
        <color rgb="FF595959"/>
        <rFont val="Noto Sans CJK SC"/>
        <family val="2"/>
      </rPr>
      <t xml:space="preserve">平台服务器</t>
    </r>
    <r>
      <rPr>
        <sz val="9"/>
        <color rgb="FF595959"/>
        <rFont val="宋体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台，运维平台服务器</t>
    </r>
    <r>
      <rPr>
        <sz val="9"/>
        <color rgb="FF595959"/>
        <rFont val="宋体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台（全新采购，不利旧）</t>
    </r>
  </si>
  <si>
    <t xml:space="preserve">视频及报警接入授权</t>
  </si>
  <si>
    <t xml:space="preserve">海康威视
（软件授权）</t>
  </si>
  <si>
    <t xml:space="preserve">视频+报警接入授权，新增≥3000路，含扩展余量</t>
  </si>
  <si>
    <t xml:space="preserve">全新采购，不利旧</t>
  </si>
  <si>
    <t xml:space="preserve">时钟同步服务器（NTP）</t>
  </si>
  <si>
    <t xml:space="preserve">（待选型）</t>
  </si>
  <si>
    <r>
      <rPr>
        <sz val="8.5"/>
        <color rgb="FF000000"/>
        <rFont val="宋体"/>
        <family val="0"/>
        <charset val="1"/>
      </rPr>
      <t xml:space="preserve">NTP/GPS·</t>
    </r>
    <r>
      <rPr>
        <sz val="8.5"/>
        <color rgb="FF000000"/>
        <rFont val="Noto Sans CJK SC"/>
        <family val="2"/>
      </rPr>
      <t xml:space="preserve">北斗统一授时，为管理平台、</t>
    </r>
    <r>
      <rPr>
        <sz val="8.5"/>
        <color rgb="FF000000"/>
        <rFont val="宋体"/>
        <family val="0"/>
        <charset val="1"/>
      </rPr>
      <t xml:space="preserve">NVR</t>
    </r>
    <r>
      <rPr>
        <sz val="8.5"/>
        <color rgb="FF000000"/>
        <rFont val="Noto Sans CJK SC"/>
        <family val="2"/>
      </rPr>
      <t xml:space="preserve">及前端设备提供统一时间基准，保证录像与报警时序一致，满足等保要求</t>
    </r>
  </si>
  <si>
    <t xml:space="preserve">新增，规格以深化设计为准</t>
  </si>
  <si>
    <t xml:space="preserve">四、存储设备</t>
  </si>
  <si>
    <t xml:space="preserve">网络硬盘录像机（32路）</t>
  </si>
  <si>
    <t xml:space="preserve">海康威视
DS-8632NX-K9/Pro</t>
  </si>
  <si>
    <r>
      <rPr>
        <sz val="8.5"/>
        <rFont val="宋体"/>
        <family val="0"/>
        <charset val="1"/>
      </rPr>
      <t xml:space="preserve">2U</t>
    </r>
    <r>
      <rPr>
        <sz val="8.5"/>
        <rFont val="Noto Sans CJK SC"/>
        <family val="2"/>
      </rPr>
      <t xml:space="preserve">机架</t>
    </r>
    <r>
      <rPr>
        <sz val="8.5"/>
        <rFont val="宋体"/>
        <family val="0"/>
        <charset val="1"/>
      </rPr>
      <t xml:space="preserve">9</t>
    </r>
    <r>
      <rPr>
        <sz val="8.5"/>
        <rFont val="Noto Sans CJK SC"/>
        <family val="2"/>
      </rPr>
      <t xml:space="preserve">盘位嵌入式</t>
    </r>
    <r>
      <rPr>
        <sz val="8.5"/>
        <rFont val="宋体"/>
        <family val="0"/>
        <charset val="1"/>
      </rPr>
      <t xml:space="preserve">NVR</t>
    </r>
    <r>
      <rPr>
        <sz val="8.5"/>
        <rFont val="Noto Sans CJK SC"/>
        <family val="2"/>
      </rPr>
      <t xml:space="preserve">（可满配</t>
    </r>
    <r>
      <rPr>
        <sz val="8.5"/>
        <rFont val="宋体"/>
        <family val="0"/>
        <charset val="1"/>
      </rPr>
      <t xml:space="preserve">12TB</t>
    </r>
    <r>
      <rPr>
        <sz val="8.5"/>
        <rFont val="Noto Sans CJK SC"/>
        <family val="2"/>
      </rPr>
      <t xml:space="preserve">）
接入</t>
    </r>
    <r>
      <rPr>
        <sz val="8.5"/>
        <rFont val="宋体"/>
        <family val="0"/>
        <charset val="1"/>
      </rPr>
      <t xml:space="preserve">32</t>
    </r>
    <r>
      <rPr>
        <sz val="8.5"/>
        <rFont val="Noto Sans CJK SC"/>
        <family val="2"/>
      </rPr>
      <t xml:space="preserve">路</t>
    </r>
    <r>
      <rPr>
        <sz val="8.5"/>
        <rFont val="宋体"/>
        <family val="0"/>
        <charset val="1"/>
      </rPr>
      <t xml:space="preserve">H.264/H.265</t>
    </r>
    <r>
      <rPr>
        <sz val="8.5"/>
        <rFont val="Noto Sans CJK SC"/>
        <family val="2"/>
      </rPr>
      <t xml:space="preserve">，最大解码</t>
    </r>
    <r>
      <rPr>
        <sz val="8.5"/>
        <rFont val="宋体"/>
        <family val="0"/>
        <charset val="1"/>
      </rPr>
      <t xml:space="preserve">24×1080P
</t>
    </r>
    <r>
      <rPr>
        <sz val="8.5"/>
        <rFont val="Noto Sans CJK SC"/>
        <family val="2"/>
      </rPr>
      <t xml:space="preserve">输入带宽</t>
    </r>
    <r>
      <rPr>
        <sz val="8.5"/>
        <rFont val="宋体"/>
        <family val="0"/>
        <charset val="1"/>
      </rPr>
      <t xml:space="preserve">256Mbps/</t>
    </r>
    <r>
      <rPr>
        <sz val="8.5"/>
        <rFont val="Noto Sans CJK SC"/>
        <family val="2"/>
      </rPr>
      <t xml:space="preserve">输出</t>
    </r>
    <r>
      <rPr>
        <sz val="8.5"/>
        <rFont val="宋体"/>
        <family val="0"/>
        <charset val="1"/>
      </rPr>
      <t xml:space="preserve">160Mbps
</t>
    </r>
    <r>
      <rPr>
        <sz val="8.5"/>
        <rFont val="Noto Sans CJK SC"/>
        <family val="2"/>
      </rPr>
      <t xml:space="preserve">网络</t>
    </r>
    <r>
      <rPr>
        <sz val="8.5"/>
        <rFont val="宋体"/>
        <family val="0"/>
        <charset val="1"/>
      </rPr>
      <t xml:space="preserve">2×</t>
    </r>
    <r>
      <rPr>
        <sz val="8.5"/>
        <rFont val="Noto Sans CJK SC"/>
        <family val="2"/>
      </rPr>
      <t xml:space="preserve">千兆，视频</t>
    </r>
    <r>
      <rPr>
        <sz val="8.5"/>
        <rFont val="宋体"/>
        <family val="0"/>
        <charset val="1"/>
      </rPr>
      <t xml:space="preserve">2×HDMI+2×VGA
</t>
    </r>
    <r>
      <rPr>
        <sz val="8.5"/>
        <rFont val="Noto Sans CJK SC"/>
        <family val="2"/>
      </rPr>
      <t xml:space="preserve">内置</t>
    </r>
    <r>
      <rPr>
        <sz val="8.5"/>
        <rFont val="宋体"/>
        <family val="0"/>
        <charset val="1"/>
      </rPr>
      <t xml:space="preserve">AI</t>
    </r>
    <r>
      <rPr>
        <sz val="8.5"/>
        <rFont val="Noto Sans CJK SC"/>
        <family val="2"/>
      </rPr>
      <t xml:space="preserve">，支持以文搜图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以图搜图（各</t>
    </r>
    <r>
      <rPr>
        <sz val="8.5"/>
        <rFont val="宋体"/>
        <family val="0"/>
        <charset val="1"/>
      </rPr>
      <t xml:space="preserve">32</t>
    </r>
    <r>
      <rPr>
        <sz val="8.5"/>
        <rFont val="Noto Sans CJK SC"/>
        <family val="2"/>
      </rPr>
      <t xml:space="preserve">路）、目标识别
报警</t>
    </r>
    <r>
      <rPr>
        <sz val="8.5"/>
        <rFont val="宋体"/>
        <family val="0"/>
        <charset val="1"/>
      </rPr>
      <t xml:space="preserve">16</t>
    </r>
    <r>
      <rPr>
        <sz val="8.5"/>
        <rFont val="Noto Sans CJK SC"/>
        <family val="2"/>
      </rPr>
      <t xml:space="preserve">入</t>
    </r>
    <r>
      <rPr>
        <sz val="8.5"/>
        <rFont val="宋体"/>
        <family val="0"/>
        <charset val="1"/>
      </rPr>
      <t xml:space="preserve">9</t>
    </r>
    <r>
      <rPr>
        <sz val="8.5"/>
        <rFont val="Noto Sans CJK SC"/>
        <family val="2"/>
      </rPr>
      <t xml:space="preserve">出，</t>
    </r>
    <r>
      <rPr>
        <sz val="8.5"/>
        <rFont val="宋体"/>
        <family val="0"/>
        <charset val="1"/>
      </rPr>
      <t xml:space="preserve">RS-232/485</t>
    </r>
    <r>
      <rPr>
        <sz val="8.5"/>
        <rFont val="Noto Sans CJK SC"/>
        <family val="2"/>
      </rPr>
      <t xml:space="preserve">，</t>
    </r>
    <r>
      <rPr>
        <sz val="8.5"/>
        <rFont val="宋体"/>
        <family val="0"/>
        <charset val="1"/>
      </rPr>
      <t xml:space="preserve">eSATA</t>
    </r>
    <r>
      <rPr>
        <sz val="8.5"/>
        <rFont val="Noto Sans CJK SC"/>
        <family val="2"/>
      </rPr>
      <t xml:space="preserve">扩展</t>
    </r>
  </si>
  <si>
    <t xml:space="preserve">满足90天录像，预留10%余量；不含硬盘</t>
  </si>
  <si>
    <t xml:space="preserve">网络硬盘录像机（64路）</t>
  </si>
  <si>
    <t xml:space="preserve">海康威视
DS-8664NX-I16/Pro</t>
  </si>
  <si>
    <r>
      <rPr>
        <sz val="8.5"/>
        <rFont val="宋体"/>
        <family val="0"/>
        <charset val="1"/>
      </rPr>
      <t xml:space="preserve">3U</t>
    </r>
    <r>
      <rPr>
        <sz val="8.5"/>
        <rFont val="Noto Sans CJK SC"/>
        <family val="2"/>
      </rPr>
      <t xml:space="preserve">机架</t>
    </r>
    <r>
      <rPr>
        <sz val="8.5"/>
        <rFont val="宋体"/>
        <family val="0"/>
        <charset val="1"/>
      </rPr>
      <t xml:space="preserve">16</t>
    </r>
    <r>
      <rPr>
        <sz val="8.5"/>
        <rFont val="Noto Sans CJK SC"/>
        <family val="2"/>
      </rPr>
      <t xml:space="preserve">盘位嵌入式</t>
    </r>
    <r>
      <rPr>
        <sz val="8.5"/>
        <rFont val="宋体"/>
        <family val="0"/>
        <charset val="1"/>
      </rPr>
      <t xml:space="preserve">NVR</t>
    </r>
    <r>
      <rPr>
        <sz val="8.5"/>
        <rFont val="Noto Sans CJK SC"/>
        <family val="2"/>
      </rPr>
      <t xml:space="preserve">（可满配</t>
    </r>
    <r>
      <rPr>
        <sz val="8.5"/>
        <rFont val="宋体"/>
        <family val="0"/>
        <charset val="1"/>
      </rPr>
      <t xml:space="preserve">20TB</t>
    </r>
    <r>
      <rPr>
        <sz val="8.5"/>
        <rFont val="Noto Sans CJK SC"/>
        <family val="2"/>
      </rPr>
      <t xml:space="preserve">）
接入</t>
    </r>
    <r>
      <rPr>
        <sz val="8.5"/>
        <rFont val="宋体"/>
        <family val="0"/>
        <charset val="1"/>
      </rPr>
      <t xml:space="preserve">64</t>
    </r>
    <r>
      <rPr>
        <sz val="8.5"/>
        <rFont val="Noto Sans CJK SC"/>
        <family val="2"/>
      </rPr>
      <t xml:space="preserve">路</t>
    </r>
    <r>
      <rPr>
        <sz val="8.5"/>
        <rFont val="宋体"/>
        <family val="0"/>
        <charset val="1"/>
      </rPr>
      <t xml:space="preserve">H.264/H.265</t>
    </r>
    <r>
      <rPr>
        <sz val="8.5"/>
        <rFont val="Noto Sans CJK SC"/>
        <family val="2"/>
      </rPr>
      <t xml:space="preserve">，最大解码</t>
    </r>
    <r>
      <rPr>
        <sz val="8.5"/>
        <rFont val="宋体"/>
        <family val="0"/>
        <charset val="1"/>
      </rPr>
      <t xml:space="preserve">48×1080P
</t>
    </r>
    <r>
      <rPr>
        <sz val="8.5"/>
        <rFont val="Noto Sans CJK SC"/>
        <family val="2"/>
      </rPr>
      <t xml:space="preserve">输入带宽</t>
    </r>
    <r>
      <rPr>
        <sz val="8.5"/>
        <rFont val="宋体"/>
        <family val="0"/>
        <charset val="1"/>
      </rPr>
      <t xml:space="preserve">512Mbps</t>
    </r>
    <r>
      <rPr>
        <sz val="8.5"/>
        <rFont val="Noto Sans CJK SC"/>
        <family val="2"/>
      </rPr>
      <t xml:space="preserve">（开</t>
    </r>
    <r>
      <rPr>
        <sz val="8.5"/>
        <rFont val="宋体"/>
        <family val="0"/>
        <charset val="1"/>
      </rPr>
      <t xml:space="preserve">RAID</t>
    </r>
    <r>
      <rPr>
        <sz val="8.5"/>
        <rFont val="Noto Sans CJK SC"/>
        <family val="2"/>
      </rPr>
      <t xml:space="preserve">为</t>
    </r>
    <r>
      <rPr>
        <sz val="8.5"/>
        <rFont val="宋体"/>
        <family val="0"/>
        <charset val="1"/>
      </rPr>
      <t xml:space="preserve">256</t>
    </r>
    <r>
      <rPr>
        <sz val="8.5"/>
        <rFont val="Noto Sans CJK SC"/>
        <family val="2"/>
      </rPr>
      <t xml:space="preserve">）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输出</t>
    </r>
    <r>
      <rPr>
        <sz val="8.5"/>
        <rFont val="宋体"/>
        <family val="0"/>
        <charset val="1"/>
      </rPr>
      <t xml:space="preserve">256Mbps
</t>
    </r>
    <r>
      <rPr>
        <sz val="8.5"/>
        <rFont val="Noto Sans CJK SC"/>
        <family val="2"/>
      </rPr>
      <t xml:space="preserve">支持</t>
    </r>
    <r>
      <rPr>
        <sz val="8.5"/>
        <rFont val="宋体"/>
        <family val="0"/>
        <charset val="1"/>
      </rPr>
      <t xml:space="preserve">RAID0/1/5/6/10+</t>
    </r>
    <r>
      <rPr>
        <sz val="8.5"/>
        <rFont val="Noto Sans CJK SC"/>
        <family val="2"/>
      </rPr>
      <t xml:space="preserve">全局热备（与智能应用互斥）
内置</t>
    </r>
    <r>
      <rPr>
        <sz val="8.5"/>
        <rFont val="宋体"/>
        <family val="0"/>
        <charset val="1"/>
      </rPr>
      <t xml:space="preserve">AI</t>
    </r>
    <r>
      <rPr>
        <sz val="8.5"/>
        <rFont val="Noto Sans CJK SC"/>
        <family val="2"/>
      </rPr>
      <t xml:space="preserve">，支持以文搜图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以图搜图（各</t>
    </r>
    <r>
      <rPr>
        <sz val="8.5"/>
        <rFont val="宋体"/>
        <family val="0"/>
        <charset val="1"/>
      </rPr>
      <t xml:space="preserve">64</t>
    </r>
    <r>
      <rPr>
        <sz val="8.5"/>
        <rFont val="Noto Sans CJK SC"/>
        <family val="2"/>
      </rPr>
      <t xml:space="preserve">路）、目标识别
网络</t>
    </r>
    <r>
      <rPr>
        <sz val="8.5"/>
        <rFont val="宋体"/>
        <family val="0"/>
        <charset val="1"/>
      </rPr>
      <t xml:space="preserve">2×</t>
    </r>
    <r>
      <rPr>
        <sz val="8.5"/>
        <rFont val="Noto Sans CJK SC"/>
        <family val="2"/>
      </rPr>
      <t xml:space="preserve">千兆，视频</t>
    </r>
    <r>
      <rPr>
        <sz val="8.5"/>
        <rFont val="宋体"/>
        <family val="0"/>
        <charset val="1"/>
      </rPr>
      <t xml:space="preserve">3×HDMI+2×VGA</t>
    </r>
  </si>
  <si>
    <t xml:space="preserve">监控级硬盘</t>
  </si>
  <si>
    <t xml:space="preserve">海康威视
（企业级监控硬盘）</t>
  </si>
  <si>
    <t xml:space="preserve">企业级监控级硬盘，配合上述NVR满足全域90天录像，配合H.265智能压缩；单盘容量以深化设计为准</t>
  </si>
  <si>
    <t xml:space="preserve">个</t>
  </si>
  <si>
    <t xml:space="preserve">配套NVR，容量以勘查为准</t>
  </si>
  <si>
    <t xml:space="preserve">五、网络传输设备</t>
  </si>
  <si>
    <r>
      <rPr>
        <sz val="10"/>
        <color rgb="FF000000"/>
        <rFont val="宋体"/>
        <family val="0"/>
        <charset val="1"/>
      </rPr>
      <t xml:space="preserve">48</t>
    </r>
    <r>
      <rPr>
        <sz val="10"/>
        <color rgb="FF000000"/>
        <rFont val="Noto Sans CJK SC"/>
        <family val="2"/>
      </rPr>
      <t xml:space="preserve">口全万兆光三层网管交换机</t>
    </r>
  </si>
  <si>
    <t xml:space="preserve">华为
S6730-S48X6Q-V2</t>
  </si>
  <si>
    <r>
      <rPr>
        <sz val="8.5"/>
        <color rgb="FF000000"/>
        <rFont val="宋体"/>
        <family val="0"/>
        <charset val="1"/>
      </rPr>
      <t xml:space="preserve">S6730-S48X6Q-V2(48</t>
    </r>
    <r>
      <rPr>
        <sz val="8.5"/>
        <color rgb="FF000000"/>
        <rFont val="Noto Sans CJK SC"/>
        <family val="2"/>
      </rPr>
      <t xml:space="preserve">个万兆</t>
    </r>
    <r>
      <rPr>
        <sz val="8.5"/>
        <color rgb="FF000000"/>
        <rFont val="宋体"/>
        <family val="0"/>
        <charset val="1"/>
      </rPr>
      <t xml:space="preserve">SFP+,6</t>
    </r>
    <r>
      <rPr>
        <sz val="8.5"/>
        <color rgb="FF000000"/>
        <rFont val="Noto Sans CJK SC"/>
        <family val="2"/>
      </rPr>
      <t xml:space="preserve">个</t>
    </r>
    <r>
      <rPr>
        <sz val="8.5"/>
        <color rgb="FF000000"/>
        <rFont val="宋体"/>
        <family val="0"/>
        <charset val="1"/>
      </rPr>
      <t xml:space="preserve">40GE QSFP28,</t>
    </r>
    <r>
      <rPr>
        <sz val="8.5"/>
        <color rgb="FF000000"/>
        <rFont val="Noto Sans CJK SC"/>
        <family val="2"/>
      </rPr>
      <t xml:space="preserve">可选</t>
    </r>
    <r>
      <rPr>
        <sz val="8.5"/>
        <color rgb="FF000000"/>
        <rFont val="宋体"/>
        <family val="0"/>
        <charset val="1"/>
      </rPr>
      <t xml:space="preserve">license</t>
    </r>
    <r>
      <rPr>
        <sz val="8.5"/>
        <color rgb="FF000000"/>
        <rFont val="Noto Sans CJK SC"/>
        <family val="2"/>
      </rPr>
      <t xml:space="preserve">升级到</t>
    </r>
    <r>
      <rPr>
        <sz val="8.5"/>
        <color rgb="FF000000"/>
        <rFont val="宋体"/>
        <family val="0"/>
        <charset val="1"/>
      </rPr>
      <t xml:space="preserve">6</t>
    </r>
    <r>
      <rPr>
        <sz val="8.5"/>
        <color rgb="FF000000"/>
        <rFont val="Noto Sans CJK SC"/>
        <family val="2"/>
      </rPr>
      <t xml:space="preserve">个</t>
    </r>
    <r>
      <rPr>
        <sz val="8.5"/>
        <color rgb="FF000000"/>
        <rFont val="宋体"/>
        <family val="0"/>
        <charset val="1"/>
      </rPr>
      <t xml:space="preserve">100GE QSFP28,</t>
    </r>
    <r>
      <rPr>
        <sz val="8.5"/>
        <color rgb="FF000000"/>
        <rFont val="Noto Sans CJK SC"/>
        <family val="2"/>
      </rPr>
      <t xml:space="preserve">含双电源</t>
    </r>
    <r>
      <rPr>
        <sz val="8.5"/>
        <color rgb="FF000000"/>
        <rFont val="宋体"/>
        <family val="0"/>
        <charset val="1"/>
      </rPr>
      <t xml:space="preserve">)</t>
    </r>
  </si>
  <si>
    <t xml:space="preserve">集团监控专网核心，双机热备</t>
  </si>
  <si>
    <r>
      <rPr>
        <sz val="10"/>
        <color rgb="FF000000"/>
        <rFont val="宋体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千兆电</t>
    </r>
    <r>
      <rPr>
        <sz val="10"/>
        <color rgb="FF000000"/>
        <rFont val="宋体"/>
        <family val="0"/>
        <charset val="1"/>
      </rPr>
      <t xml:space="preserve">/4</t>
    </r>
    <r>
      <rPr>
        <sz val="10"/>
        <color rgb="FF000000"/>
        <rFont val="Noto Sans CJK SC"/>
        <family val="2"/>
      </rPr>
      <t xml:space="preserve">万兆光交换机（园区汇聚）</t>
    </r>
  </si>
  <si>
    <t xml:space="preserve">华为
S5735-S24T4XE-V2</t>
  </si>
  <si>
    <r>
      <rPr>
        <sz val="8.5"/>
        <color rgb="FF000000"/>
        <rFont val="宋体"/>
        <family val="0"/>
        <charset val="1"/>
      </rPr>
      <t xml:space="preserve">S5735-S24T4XE-V2(24</t>
    </r>
    <r>
      <rPr>
        <sz val="8.5"/>
        <color rgb="FF000000"/>
        <rFont val="Noto Sans CJK SC"/>
        <family val="2"/>
      </rPr>
      <t xml:space="preserve">个</t>
    </r>
    <r>
      <rPr>
        <sz val="8.5"/>
        <color rgb="FF000000"/>
        <rFont val="宋体"/>
        <family val="0"/>
        <charset val="1"/>
      </rPr>
      <t xml:space="preserve">10/100/1000BASE-T</t>
    </r>
    <r>
      <rPr>
        <sz val="8.5"/>
        <color rgb="FF000000"/>
        <rFont val="Noto Sans CJK SC"/>
        <family val="2"/>
      </rPr>
      <t xml:space="preserve">以太网端口</t>
    </r>
    <r>
      <rPr>
        <sz val="8.5"/>
        <color rgb="FF000000"/>
        <rFont val="宋体"/>
        <family val="0"/>
        <charset val="1"/>
      </rPr>
      <t xml:space="preserve">,4</t>
    </r>
    <r>
      <rPr>
        <sz val="8.5"/>
        <color rgb="FF000000"/>
        <rFont val="Noto Sans CJK SC"/>
        <family val="2"/>
      </rPr>
      <t xml:space="preserve">个万兆</t>
    </r>
    <r>
      <rPr>
        <sz val="8.5"/>
        <color rgb="FF000000"/>
        <rFont val="宋体"/>
        <family val="0"/>
        <charset val="1"/>
      </rPr>
      <t xml:space="preserve">SFP+,2</t>
    </r>
    <r>
      <rPr>
        <sz val="8.5"/>
        <color rgb="FF000000"/>
        <rFont val="Noto Sans CJK SC"/>
        <family val="2"/>
      </rPr>
      <t xml:space="preserve">个</t>
    </r>
    <r>
      <rPr>
        <sz val="8.5"/>
        <color rgb="FF000000"/>
        <rFont val="宋体"/>
        <family val="0"/>
        <charset val="1"/>
      </rPr>
      <t xml:space="preserve">12GE</t>
    </r>
    <r>
      <rPr>
        <sz val="8.5"/>
        <color rgb="FF000000"/>
        <rFont val="Noto Sans CJK SC"/>
        <family val="2"/>
      </rPr>
      <t xml:space="preserve">堆叠口</t>
    </r>
    <r>
      <rPr>
        <sz val="8.5"/>
        <color rgb="FF000000"/>
        <rFont val="宋体"/>
        <family val="0"/>
        <charset val="1"/>
      </rPr>
      <t xml:space="preserve">,</t>
    </r>
    <r>
      <rPr>
        <sz val="8.5"/>
        <color rgb="FF000000"/>
        <rFont val="Noto Sans CJK SC"/>
        <family val="2"/>
      </rPr>
      <t xml:space="preserve">含双电源</t>
    </r>
    <r>
      <rPr>
        <sz val="8.5"/>
        <color rgb="FF000000"/>
        <rFont val="宋体"/>
        <family val="0"/>
        <charset val="1"/>
      </rPr>
      <t xml:space="preserve">)</t>
    </r>
  </si>
  <si>
    <t xml:space="preserve">对应30余个独立监控室/二级单位</t>
  </si>
  <si>
    <r>
      <rPr>
        <sz val="10"/>
        <color rgb="FF000000"/>
        <rFont val="宋体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口接入交换机（</t>
    </r>
    <r>
      <rPr>
        <sz val="10"/>
        <color rgb="FF000000"/>
        <rFont val="宋体"/>
        <family val="0"/>
        <charset val="1"/>
      </rPr>
      <t xml:space="preserve">POE</t>
    </r>
    <r>
      <rPr>
        <sz val="10"/>
        <color rgb="FF000000"/>
        <rFont val="Noto Sans CJK SC"/>
        <family val="2"/>
      </rPr>
      <t xml:space="preserve">）</t>
    </r>
  </si>
  <si>
    <t xml:space="preserve">华为
（待选型）</t>
  </si>
  <si>
    <r>
      <rPr>
        <sz val="8.5"/>
        <color rgb="FF000000"/>
        <rFont val="宋体"/>
        <family val="0"/>
        <charset val="1"/>
      </rPr>
      <t xml:space="preserve">2</t>
    </r>
    <r>
      <rPr>
        <sz val="8.5"/>
        <color rgb="FF000000"/>
        <rFont val="Noto Sans CJK SC"/>
        <family val="2"/>
      </rPr>
      <t xml:space="preserve">光</t>
    </r>
    <r>
      <rPr>
        <sz val="8.5"/>
        <color rgb="FF000000"/>
        <rFont val="宋体"/>
        <family val="0"/>
        <charset val="1"/>
      </rPr>
      <t xml:space="preserve">4</t>
    </r>
    <r>
      <rPr>
        <sz val="8.5"/>
        <color rgb="FF000000"/>
        <rFont val="Noto Sans CJK SC"/>
        <family val="2"/>
      </rPr>
      <t xml:space="preserve">电</t>
    </r>
    <r>
      <rPr>
        <sz val="8.5"/>
        <color rgb="FF000000"/>
        <rFont val="宋体"/>
        <family val="0"/>
        <charset val="1"/>
      </rPr>
      <t xml:space="preserve">POE</t>
    </r>
    <r>
      <rPr>
        <sz val="8.5"/>
        <color rgb="FF000000"/>
        <rFont val="Noto Sans CJK SC"/>
        <family val="2"/>
      </rPr>
      <t xml:space="preserve">接入交换机，万兆光上联，用于新增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更换前端接入及边缘设备</t>
    </r>
  </si>
  <si>
    <t xml:space="preserve">无线网桥</t>
  </si>
  <si>
    <r>
      <rPr>
        <sz val="8.5"/>
        <color rgb="FF000000"/>
        <rFont val="宋体"/>
        <family val="0"/>
        <charset val="1"/>
      </rPr>
      <t xml:space="preserve">3KM</t>
    </r>
    <r>
      <rPr>
        <sz val="8.5"/>
        <color rgb="FF000000"/>
        <rFont val="Noto Sans CJK SC"/>
        <family val="2"/>
      </rPr>
      <t xml:space="preserve">无线传输网桥，用于不便布线点位</t>
    </r>
  </si>
  <si>
    <t xml:space="preserve">对</t>
  </si>
  <si>
    <t xml:space="preserve">万兆光模块（SFP+）</t>
  </si>
  <si>
    <t xml:space="preserve">海康威视
HK-SFP+-10G-10-1310-DF</t>
  </si>
  <si>
    <t xml:space="preserve">光模块-SFP+-10G-单模模块(1310nm,40km,LC)</t>
  </si>
  <si>
    <t xml:space="preserve">只</t>
  </si>
  <si>
    <t xml:space="preserve">主干及汇聚上联</t>
  </si>
  <si>
    <t xml:space="preserve">室外单模光缆（GYTA/GYTS）</t>
  </si>
  <si>
    <t xml:space="preserve">（12芯单模）</t>
  </si>
  <si>
    <t xml:space="preserve">室外铠装单模光缆，用于未联通二级公司到集团监控网的联通，复用为主、新布为辅（12芯单模）</t>
  </si>
  <si>
    <t xml:space="preserve">米</t>
  </si>
  <si>
    <t xml:space="preserve">复用为主、新布为辅，以线路勘查为准</t>
  </si>
  <si>
    <t xml:space="preserve">光缆熔接/尾纤/光纤配线架</t>
  </si>
  <si>
    <t xml:space="preserve">—</t>
  </si>
  <si>
    <t xml:space="preserve">含熔接、尾纤、ODF配线架及跳纤等</t>
  </si>
  <si>
    <t xml:space="preserve">项</t>
  </si>
  <si>
    <t xml:space="preserve">配合光缆联通</t>
  </si>
  <si>
    <t xml:space="preserve">下一代防火墙</t>
  </si>
  <si>
    <t xml:space="preserve">华为
NSG2000-TE40P</t>
  </si>
  <si>
    <t xml:space="preserve">网络层吞吐量7G，并发连接≥350万，每秒新建连接数7万， 标准1U机箱，单电源，标准配置板载6个10/100/1000M自适应电、2个SFP插槽，另有2个扩展插槽，1个Console口， 含一年硬件维保服务。1年病毒防护特征库升级服务，1年入侵防御特征库升级服务</t>
  </si>
  <si>
    <t xml:space="preserve">监控平台安全边界</t>
  </si>
  <si>
    <t xml:space="preserve">六、监控中心及大屏</t>
  </si>
  <si>
    <t xml:space="preserve">小间距LED显示大屏（中间主屏）</t>
  </si>
  <si>
    <t xml:space="preserve">海康威视
DS-D4012FW-2FBQ</t>
  </si>
  <si>
    <r>
      <rPr>
        <sz val="8.5"/>
        <rFont val="Noto Sans CJK SC"/>
        <family val="2"/>
      </rPr>
      <t xml:space="preserve">小间距</t>
    </r>
    <r>
      <rPr>
        <sz val="8.5"/>
        <rFont val="宋体"/>
        <family val="0"/>
        <charset val="1"/>
      </rPr>
      <t xml:space="preserve">LED</t>
    </r>
    <r>
      <rPr>
        <sz val="8.5"/>
        <rFont val="Noto Sans CJK SC"/>
        <family val="2"/>
      </rPr>
      <t xml:space="preserve">，点间距≤</t>
    </r>
    <r>
      <rPr>
        <sz val="8.5"/>
        <rFont val="宋体"/>
        <family val="0"/>
        <charset val="1"/>
      </rPr>
      <t xml:space="preserve">1.25mm</t>
    </r>
    <r>
      <rPr>
        <sz val="8.5"/>
        <rFont val="Noto Sans CJK SC"/>
        <family val="2"/>
      </rPr>
      <t xml:space="preserve">（</t>
    </r>
    <r>
      <rPr>
        <sz val="8.5"/>
        <rFont val="宋体"/>
        <family val="0"/>
        <charset val="1"/>
      </rPr>
      <t xml:space="preserve">P1.2</t>
    </r>
    <r>
      <rPr>
        <sz val="8.5"/>
        <rFont val="Noto Sans CJK SC"/>
        <family val="2"/>
      </rPr>
      <t xml:space="preserve">），像素密度≥</t>
    </r>
    <r>
      <rPr>
        <sz val="8.5"/>
        <rFont val="宋体"/>
        <family val="0"/>
        <charset val="1"/>
      </rPr>
      <t xml:space="preserve">640000</t>
    </r>
    <r>
      <rPr>
        <sz val="8.5"/>
        <rFont val="Noto Sans CJK SC"/>
        <family val="2"/>
      </rPr>
      <t xml:space="preserve">点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㎡，</t>
    </r>
    <r>
      <rPr>
        <sz val="8.5"/>
        <rFont val="宋体"/>
        <family val="0"/>
        <charset val="1"/>
      </rPr>
      <t xml:space="preserve">RGB</t>
    </r>
    <r>
      <rPr>
        <sz val="8.5"/>
        <rFont val="Noto Sans CJK SC"/>
        <family val="2"/>
      </rPr>
      <t xml:space="preserve">全倒装共阴
单元尺寸≤</t>
    </r>
    <r>
      <rPr>
        <sz val="8.5"/>
        <rFont val="宋体"/>
        <family val="0"/>
        <charset val="1"/>
      </rPr>
      <t xml:space="preserve">600×337.5×29.5mm</t>
    </r>
    <r>
      <rPr>
        <sz val="8.5"/>
        <rFont val="Noto Sans CJK SC"/>
        <family val="2"/>
      </rPr>
      <t xml:space="preserve">，单元重量≤</t>
    </r>
    <r>
      <rPr>
        <sz val="8.5"/>
        <rFont val="宋体"/>
        <family val="0"/>
        <charset val="1"/>
      </rPr>
      <t xml:space="preserve">3.5kg
</t>
    </r>
    <r>
      <rPr>
        <sz val="8.5"/>
        <rFont val="Noto Sans CJK SC"/>
        <family val="2"/>
      </rPr>
      <t xml:space="preserve">峰值亮度≥</t>
    </r>
    <r>
      <rPr>
        <sz val="8.5"/>
        <rFont val="宋体"/>
        <family val="0"/>
        <charset val="1"/>
      </rPr>
      <t xml:space="preserve">800nits</t>
    </r>
    <r>
      <rPr>
        <sz val="8.5"/>
        <rFont val="Noto Sans CJK SC"/>
        <family val="2"/>
      </rPr>
      <t xml:space="preserve">，平均功耗＜</t>
    </r>
    <r>
      <rPr>
        <sz val="8.5"/>
        <rFont val="宋体"/>
        <family val="0"/>
        <charset val="1"/>
      </rPr>
      <t xml:space="preserve">98W/</t>
    </r>
    <r>
      <rPr>
        <sz val="8.5"/>
        <rFont val="Noto Sans CJK SC"/>
        <family val="2"/>
      </rPr>
      <t xml:space="preserve">㎡
蓝光辐射</t>
    </r>
    <r>
      <rPr>
        <sz val="8.5"/>
        <rFont val="宋体"/>
        <family val="0"/>
        <charset val="1"/>
      </rPr>
      <t xml:space="preserve">RG0</t>
    </r>
    <r>
      <rPr>
        <sz val="8.5"/>
        <rFont val="Noto Sans CJK SC"/>
        <family val="2"/>
      </rPr>
      <t xml:space="preserve">无危害级，具防蓝光护眼功能
图像质量主观评价优（无拖影、偏色、马赛克）
千兆网络单网口带载</t>
    </r>
    <r>
      <rPr>
        <sz val="8.5"/>
        <rFont val="宋体"/>
        <family val="0"/>
        <charset val="1"/>
      </rPr>
      <t xml:space="preserve">300W</t>
    </r>
    <r>
      <rPr>
        <sz val="8.5"/>
        <rFont val="Noto Sans CJK SC"/>
        <family val="2"/>
      </rPr>
      <t xml:space="preserve">，支持</t>
    </r>
    <r>
      <rPr>
        <sz val="8.5"/>
        <rFont val="宋体"/>
        <family val="0"/>
        <charset val="1"/>
      </rPr>
      <t xml:space="preserve">L</t>
    </r>
    <r>
      <rPr>
        <sz val="8.5"/>
        <rFont val="Noto Sans CJK SC"/>
        <family val="2"/>
      </rPr>
      <t xml:space="preserve">型等任意走线
背板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接收卡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电源三合一，灯板灌胶工艺，防护可靠
支持客户端</t>
    </r>
    <r>
      <rPr>
        <sz val="8.5"/>
        <rFont val="宋体"/>
        <family val="0"/>
        <charset val="1"/>
      </rPr>
      <t xml:space="preserve">/WEB/</t>
    </r>
    <r>
      <rPr>
        <sz val="8.5"/>
        <rFont val="Noto Sans CJK SC"/>
        <family val="2"/>
      </rPr>
      <t xml:space="preserve">遥控器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物理按键多方式亮度调节与状态监测</t>
    </r>
  </si>
  <si>
    <t xml:space="preserve">㎡</t>
  </si>
  <si>
    <t xml:space="preserve">精诚楼一楼居中主屏，P1.2；见备注
【配置】点间距P1.2，约108箱体(9行×12列)，屏体7.2m×3.04m，分辨率5760×2430；客户自制支架</t>
  </si>
  <si>
    <r>
      <rPr>
        <sz val="10"/>
        <color rgb="FF000000"/>
        <rFont val="宋体"/>
        <family val="0"/>
        <charset val="1"/>
      </rPr>
      <t xml:space="preserve">LED</t>
    </r>
    <r>
      <rPr>
        <sz val="10"/>
        <color rgb="FF000000"/>
        <rFont val="Noto Sans CJK SC"/>
        <family val="2"/>
      </rPr>
      <t xml:space="preserve">视频处理器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拼接控制器</t>
    </r>
  </si>
  <si>
    <t xml:space="preserve">海康威视
DS-DT90V-08HDPI24NO/U</t>
  </si>
  <si>
    <r>
      <rPr>
        <sz val="8.5"/>
        <rFont val="Noto Sans CJK SC"/>
        <family val="2"/>
      </rPr>
      <t xml:space="preserve">输入：</t>
    </r>
    <r>
      <rPr>
        <sz val="8.5"/>
        <rFont val="宋体"/>
        <family val="0"/>
        <charset val="1"/>
      </rPr>
      <t xml:space="preserve">3×HDMI2.0(4K)</t>
    </r>
    <r>
      <rPr>
        <sz val="8.5"/>
        <rFont val="Noto Sans CJK SC"/>
        <family val="2"/>
      </rPr>
      <t xml:space="preserve">、</t>
    </r>
    <r>
      <rPr>
        <sz val="8.5"/>
        <rFont val="宋体"/>
        <family val="0"/>
        <charset val="1"/>
      </rPr>
      <t xml:space="preserve">1×DP1.2</t>
    </r>
    <r>
      <rPr>
        <sz val="8.5"/>
        <rFont val="Noto Sans CJK SC"/>
        <family val="2"/>
      </rPr>
      <t xml:space="preserve">、</t>
    </r>
    <r>
      <rPr>
        <sz val="8.5"/>
        <rFont val="宋体"/>
        <family val="0"/>
        <charset val="1"/>
      </rPr>
      <t xml:space="preserve">4×HDMI1.3(2K)</t>
    </r>
    <r>
      <rPr>
        <sz val="8.5"/>
        <rFont val="Noto Sans CJK SC"/>
        <family val="2"/>
      </rPr>
      <t xml:space="preserve">、</t>
    </r>
    <r>
      <rPr>
        <sz val="8.5"/>
        <rFont val="宋体"/>
        <family val="0"/>
        <charset val="1"/>
      </rPr>
      <t xml:space="preserve">USB2.0</t>
    </r>
    <r>
      <rPr>
        <sz val="8.5"/>
        <rFont val="Noto Sans CJK SC"/>
        <family val="2"/>
      </rPr>
      <t xml:space="preserve">、</t>
    </r>
    <r>
      <rPr>
        <sz val="8.5"/>
        <rFont val="宋体"/>
        <family val="0"/>
        <charset val="1"/>
      </rPr>
      <t xml:space="preserve">2×</t>
    </r>
    <r>
      <rPr>
        <sz val="8.5"/>
        <rFont val="Noto Sans CJK SC"/>
        <family val="2"/>
      </rPr>
      <t xml:space="preserve">控制网口、</t>
    </r>
    <r>
      <rPr>
        <sz val="8.5"/>
        <rFont val="宋体"/>
        <family val="0"/>
        <charset val="1"/>
      </rPr>
      <t xml:space="preserve">2×RS485
</t>
    </r>
    <r>
      <rPr>
        <sz val="8.5"/>
        <rFont val="Noto Sans CJK SC"/>
        <family val="2"/>
      </rPr>
      <t xml:space="preserve">输出：</t>
    </r>
    <r>
      <rPr>
        <sz val="8.5"/>
        <rFont val="宋体"/>
        <family val="0"/>
        <charset val="1"/>
      </rPr>
      <t xml:space="preserve">3×HDMI2.0</t>
    </r>
    <r>
      <rPr>
        <sz val="8.5"/>
        <rFont val="Noto Sans CJK SC"/>
        <family val="2"/>
      </rPr>
      <t xml:space="preserve">环通、</t>
    </r>
    <r>
      <rPr>
        <sz val="8.5"/>
        <rFont val="宋体"/>
        <family val="0"/>
        <charset val="1"/>
      </rPr>
      <t xml:space="preserve">24×</t>
    </r>
    <r>
      <rPr>
        <sz val="8.5"/>
        <rFont val="Noto Sans CJK SC"/>
        <family val="2"/>
      </rPr>
      <t xml:space="preserve">带载网口、</t>
    </r>
    <r>
      <rPr>
        <sz val="8.5"/>
        <rFont val="宋体"/>
        <family val="0"/>
        <charset val="1"/>
      </rPr>
      <t xml:space="preserve">4×10G</t>
    </r>
    <r>
      <rPr>
        <sz val="8.5"/>
        <rFont val="Noto Sans CJK SC"/>
        <family val="2"/>
      </rPr>
      <t xml:space="preserve">万兆光口、</t>
    </r>
    <r>
      <rPr>
        <sz val="8.5"/>
        <rFont val="宋体"/>
        <family val="0"/>
        <charset val="1"/>
      </rPr>
      <t xml:space="preserve">1×HDMI</t>
    </r>
    <r>
      <rPr>
        <sz val="8.5"/>
        <rFont val="Noto Sans CJK SC"/>
        <family val="2"/>
      </rPr>
      <t xml:space="preserve">监视口
支持最大</t>
    </r>
    <r>
      <rPr>
        <sz val="8.5"/>
        <rFont val="宋体"/>
        <family val="0"/>
        <charset val="1"/>
      </rPr>
      <t xml:space="preserve">4096×2160@60Hz</t>
    </r>
    <r>
      <rPr>
        <sz val="8.5"/>
        <rFont val="Noto Sans CJK SC"/>
        <family val="2"/>
      </rPr>
      <t xml:space="preserve">环通输出
支持</t>
    </r>
    <r>
      <rPr>
        <sz val="8.5"/>
        <rFont val="宋体"/>
        <family val="0"/>
        <charset val="1"/>
      </rPr>
      <t xml:space="preserve">10</t>
    </r>
    <r>
      <rPr>
        <sz val="8.5"/>
        <rFont val="Noto Sans CJK SC"/>
        <family val="2"/>
      </rPr>
      <t xml:space="preserve">窗口任意布局（</t>
    </r>
    <r>
      <rPr>
        <sz val="8.5"/>
        <rFont val="宋体"/>
        <family val="0"/>
        <charset val="1"/>
      </rPr>
      <t xml:space="preserve">7</t>
    </r>
    <r>
      <rPr>
        <sz val="8.5"/>
        <rFont val="Noto Sans CJK SC"/>
        <family val="2"/>
      </rPr>
      <t xml:space="preserve">信源</t>
    </r>
    <r>
      <rPr>
        <sz val="8.5"/>
        <rFont val="宋体"/>
        <family val="0"/>
        <charset val="1"/>
      </rPr>
      <t xml:space="preserve">+2</t>
    </r>
    <r>
      <rPr>
        <sz val="8.5"/>
        <rFont val="Noto Sans CJK SC"/>
        <family val="2"/>
      </rPr>
      <t xml:space="preserve">图文</t>
    </r>
    <r>
      <rPr>
        <sz val="8.5"/>
        <rFont val="宋体"/>
        <family val="0"/>
        <charset val="1"/>
      </rPr>
      <t xml:space="preserve">+1</t>
    </r>
    <r>
      <rPr>
        <sz val="8.5"/>
        <rFont val="Noto Sans CJK SC"/>
        <family val="2"/>
      </rPr>
      <t xml:space="preserve">字幕）
多显示模式（常规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文稿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视讯</t>
    </r>
    <r>
      <rPr>
        <sz val="8.5"/>
        <rFont val="宋体"/>
        <family val="0"/>
        <charset val="1"/>
      </rPr>
      <t xml:space="preserve">/HDR/</t>
    </r>
    <r>
      <rPr>
        <sz val="8.5"/>
        <rFont val="Noto Sans CJK SC"/>
        <family val="2"/>
      </rPr>
      <t xml:space="preserve">安防等）
</t>
    </r>
    <r>
      <rPr>
        <sz val="8.5"/>
        <rFont val="宋体"/>
        <family val="0"/>
        <charset val="1"/>
      </rPr>
      <t xml:space="preserve">WEB</t>
    </r>
    <r>
      <rPr>
        <sz val="8.5"/>
        <rFont val="Noto Sans CJK SC"/>
        <family val="2"/>
      </rPr>
      <t xml:space="preserve">端实时预览输入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输出画面、屏幕连线与发送卡状态
射频遥控（≤</t>
    </r>
    <r>
      <rPr>
        <sz val="8.5"/>
        <rFont val="宋体"/>
        <family val="0"/>
        <charset val="1"/>
      </rPr>
      <t xml:space="preserve">10m</t>
    </r>
    <r>
      <rPr>
        <sz val="8.5"/>
        <rFont val="Noto Sans CJK SC"/>
        <family val="2"/>
      </rPr>
      <t xml:space="preserve">可穿墙），任意走线无矩形框架限制
支持云端加载配置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校正文件、自动除湿</t>
    </r>
  </si>
  <si>
    <t xml:space="preserve">大屏主控</t>
  </si>
  <si>
    <r>
      <rPr>
        <sz val="10"/>
        <color rgb="FF000000"/>
        <rFont val="宋体"/>
        <family val="0"/>
        <charset val="1"/>
      </rPr>
      <t xml:space="preserve">LCD</t>
    </r>
    <r>
      <rPr>
        <sz val="10"/>
        <color rgb="FF000000"/>
        <rFont val="Noto Sans CJK SC"/>
        <family val="2"/>
      </rPr>
      <t xml:space="preserve">无边液晶拼接单元（左右各</t>
    </r>
    <r>
      <rPr>
        <sz val="10"/>
        <color rgb="FF000000"/>
        <rFont val="宋体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块）</t>
    </r>
  </si>
  <si>
    <t xml:space="preserve">海康威视
DS-D2A46UL-1B</t>
  </si>
  <si>
    <r>
      <rPr>
        <sz val="8.5"/>
        <rFont val="宋体"/>
        <family val="0"/>
        <charset val="1"/>
      </rPr>
      <t xml:space="preserve">46</t>
    </r>
    <r>
      <rPr>
        <sz val="8.5"/>
        <rFont val="Noto Sans CJK SC"/>
        <family val="2"/>
      </rPr>
      <t xml:space="preserve">寸</t>
    </r>
    <r>
      <rPr>
        <sz val="8.5"/>
        <rFont val="宋体"/>
        <family val="0"/>
        <charset val="1"/>
      </rPr>
      <t xml:space="preserve">D-LED</t>
    </r>
    <r>
      <rPr>
        <sz val="8.5"/>
        <rFont val="Noto Sans CJK SC"/>
        <family val="2"/>
      </rPr>
      <t xml:space="preserve">液晶拼接单元，物理拼缝</t>
    </r>
    <r>
      <rPr>
        <sz val="8.5"/>
        <rFont val="宋体"/>
        <family val="0"/>
        <charset val="1"/>
      </rPr>
      <t xml:space="preserve">3.5mm
</t>
    </r>
    <r>
      <rPr>
        <sz val="8.5"/>
        <rFont val="Noto Sans CJK SC"/>
        <family val="2"/>
      </rPr>
      <t xml:space="preserve">分辨率</t>
    </r>
    <r>
      <rPr>
        <sz val="8.5"/>
        <rFont val="宋体"/>
        <family val="0"/>
        <charset val="1"/>
      </rPr>
      <t xml:space="preserve">1920×1080@60Hz</t>
    </r>
    <r>
      <rPr>
        <sz val="8.5"/>
        <rFont val="Noto Sans CJK SC"/>
        <family val="2"/>
      </rPr>
      <t xml:space="preserve">，亮度</t>
    </r>
    <r>
      <rPr>
        <sz val="8.5"/>
        <rFont val="宋体"/>
        <family val="0"/>
        <charset val="1"/>
      </rPr>
      <t xml:space="preserve">500cd/</t>
    </r>
    <r>
      <rPr>
        <sz val="8.5"/>
        <rFont val="Noto Sans CJK SC"/>
        <family val="2"/>
      </rPr>
      <t xml:space="preserve">㎡，对比度</t>
    </r>
    <r>
      <rPr>
        <sz val="8.5"/>
        <rFont val="宋体"/>
        <family val="0"/>
        <charset val="1"/>
      </rPr>
      <t xml:space="preserve">1000:1
</t>
    </r>
    <r>
      <rPr>
        <sz val="8.5"/>
        <rFont val="Noto Sans CJK SC"/>
        <family val="2"/>
      </rPr>
      <t xml:space="preserve">可视角</t>
    </r>
    <r>
      <rPr>
        <sz val="8.5"/>
        <rFont val="宋体"/>
        <family val="0"/>
        <charset val="1"/>
      </rPr>
      <t xml:space="preserve">178°</t>
    </r>
    <r>
      <rPr>
        <sz val="8.5"/>
        <rFont val="Noto Sans CJK SC"/>
        <family val="2"/>
      </rPr>
      <t xml:space="preserve">，支持</t>
    </r>
    <r>
      <rPr>
        <sz val="8.5"/>
        <rFont val="宋体"/>
        <family val="0"/>
        <charset val="1"/>
      </rPr>
      <t xml:space="preserve">24</t>
    </r>
    <r>
      <rPr>
        <sz val="8.5"/>
        <rFont val="Noto Sans CJK SC"/>
        <family val="2"/>
      </rPr>
      <t xml:space="preserve">小时连续工作
支持</t>
    </r>
    <r>
      <rPr>
        <sz val="8.5"/>
        <rFont val="宋体"/>
        <family val="0"/>
        <charset val="1"/>
      </rPr>
      <t xml:space="preserve">HDMI/DVI</t>
    </r>
    <r>
      <rPr>
        <sz val="8.5"/>
        <rFont val="Noto Sans CJK SC"/>
        <family val="2"/>
      </rPr>
      <t xml:space="preserve">输入、</t>
    </r>
    <r>
      <rPr>
        <sz val="8.5"/>
        <rFont val="宋体"/>
        <family val="0"/>
        <charset val="1"/>
      </rPr>
      <t xml:space="preserve">U</t>
    </r>
    <r>
      <rPr>
        <sz val="8.5"/>
        <rFont val="Noto Sans CJK SC"/>
        <family val="2"/>
      </rPr>
      <t xml:space="preserve">盘多媒体播放、背光分区调光
红外遥控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快捷面板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串口统一控制</t>
    </r>
  </si>
  <si>
    <t xml:space="preserve">居中LED两侧、左右各6块，46寸超窄边(3.5mm拼缝)</t>
  </si>
  <si>
    <r>
      <rPr>
        <sz val="10"/>
        <color rgb="FF000000"/>
        <rFont val="宋体"/>
        <family val="0"/>
        <charset val="1"/>
      </rPr>
      <t xml:space="preserve">LCD</t>
    </r>
    <r>
      <rPr>
        <sz val="10"/>
        <color rgb="FF000000"/>
        <rFont val="Noto Sans CJK SC"/>
        <family val="2"/>
      </rPr>
      <t xml:space="preserve">拼接屏支架</t>
    </r>
  </si>
  <si>
    <t xml:space="preserve">海康威视
DP-D2X46XXX-1X1-Q1-AW-Q0.6-ZF</t>
  </si>
  <si>
    <r>
      <rPr>
        <sz val="8.5"/>
        <rFont val="宋体"/>
        <family val="0"/>
        <charset val="1"/>
      </rPr>
      <t xml:space="preserve">46</t>
    </r>
    <r>
      <rPr>
        <sz val="8.5"/>
        <rFont val="Noto Sans CJK SC"/>
        <family val="2"/>
      </rPr>
      <t xml:space="preserve">寸气动前维护壁挂支架，可前维护、快速安装
优质冷轧钢</t>
    </r>
    <r>
      <rPr>
        <sz val="8.5"/>
        <rFont val="宋体"/>
        <family val="0"/>
        <charset val="1"/>
      </rPr>
      <t xml:space="preserve">SPCC</t>
    </r>
    <r>
      <rPr>
        <sz val="8.5"/>
        <rFont val="Noto Sans CJK SC"/>
        <family val="2"/>
      </rPr>
      <t xml:space="preserve">，静电喷塑涂层</t>
    </r>
    <r>
      <rPr>
        <sz val="8.5"/>
        <rFont val="宋体"/>
        <family val="0"/>
        <charset val="1"/>
      </rPr>
      <t xml:space="preserve">&gt;60μm
</t>
    </r>
    <r>
      <rPr>
        <sz val="8.5"/>
        <rFont val="Noto Sans CJK SC"/>
        <family val="2"/>
      </rPr>
      <t xml:space="preserve">适合</t>
    </r>
    <r>
      <rPr>
        <sz val="8.5"/>
        <rFont val="宋体"/>
        <family val="0"/>
        <charset val="1"/>
      </rPr>
      <t xml:space="preserve">5</t>
    </r>
    <r>
      <rPr>
        <sz val="8.5"/>
        <rFont val="Noto Sans CJK SC"/>
        <family val="2"/>
      </rPr>
      <t xml:space="preserve">行</t>
    </r>
    <r>
      <rPr>
        <sz val="8.5"/>
        <rFont val="宋体"/>
        <family val="0"/>
        <charset val="1"/>
      </rPr>
      <t xml:space="preserve">10</t>
    </r>
    <r>
      <rPr>
        <sz val="8.5"/>
        <rFont val="Noto Sans CJK SC"/>
        <family val="2"/>
      </rPr>
      <t xml:space="preserve">列以内拼接，需承重墙且墙面平整</t>
    </r>
  </si>
  <si>
    <t xml:space="preserve">前维护壁挂</t>
  </si>
  <si>
    <t xml:space="preserve">视频解码矩阵</t>
  </si>
  <si>
    <t xml:space="preserve">（新增配置）</t>
  </si>
  <si>
    <t xml:space="preserve">视频解码矩阵，用于大屏解码上墙，按需扩展解码板卡（支持100路以上上墙）</t>
  </si>
  <si>
    <t xml:space="preserve">大屏上墙解码</t>
  </si>
  <si>
    <t xml:space="preserve">大屏钢结构及安装</t>
  </si>
  <si>
    <t xml:space="preserve">（室内焊接支架）</t>
  </si>
  <si>
    <t xml:space="preserve">屏体钢结构、包边、检修通道及安装调试</t>
  </si>
  <si>
    <t xml:space="preserve">含结构与安装</t>
  </si>
  <si>
    <t xml:space="preserve">监控操作台（多联坐席）</t>
  </si>
  <si>
    <t xml:space="preserve">多联监控操作台，含理线、承重与人体工学设计（6联）</t>
  </si>
  <si>
    <t xml:space="preserve">套</t>
  </si>
  <si>
    <t xml:space="preserve">值班坐席，6联</t>
  </si>
  <si>
    <t xml:space="preserve">精密配电柜</t>
  </si>
  <si>
    <t xml:space="preserve">海康威视
DS-D40D10</t>
  </si>
  <si>
    <r>
      <rPr>
        <sz val="8.5"/>
        <rFont val="Noto Sans CJK SC"/>
        <family val="2"/>
      </rPr>
      <t xml:space="preserve">额定功率≥</t>
    </r>
    <r>
      <rPr>
        <sz val="8.5"/>
        <rFont val="宋体"/>
        <family val="0"/>
        <charset val="1"/>
      </rPr>
      <t xml:space="preserve">10KW</t>
    </r>
    <r>
      <rPr>
        <sz val="8.5"/>
        <rFont val="Noto Sans CJK SC"/>
        <family val="2"/>
      </rPr>
      <t xml:space="preserve">，具</t>
    </r>
    <r>
      <rPr>
        <sz val="8.5"/>
        <rFont val="宋体"/>
        <family val="0"/>
        <charset val="1"/>
      </rPr>
      <t xml:space="preserve">3</t>
    </r>
    <r>
      <rPr>
        <sz val="8.5"/>
        <rFont val="Noto Sans CJK SC"/>
        <family val="2"/>
      </rPr>
      <t xml:space="preserve">个单相回路
烟雾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超温自动断电，输入输出断路器过流短路保护
支持手动一键、单路、分时及电脑远程控制
</t>
    </r>
    <r>
      <rPr>
        <sz val="8.5"/>
        <rFont val="宋体"/>
        <family val="0"/>
        <charset val="1"/>
      </rPr>
      <t xml:space="preserve">RS485</t>
    </r>
    <r>
      <rPr>
        <sz val="8.5"/>
        <rFont val="Noto Sans CJK SC"/>
        <family val="2"/>
      </rPr>
      <t xml:space="preserve">读取柜内温度，支持</t>
    </r>
    <r>
      <rPr>
        <sz val="8.5"/>
        <rFont val="宋体"/>
        <family val="0"/>
        <charset val="1"/>
      </rPr>
      <t xml:space="preserve">MODBUS-TCP/RTU
</t>
    </r>
    <r>
      <rPr>
        <sz val="8.5"/>
        <rFont val="Noto Sans CJK SC"/>
        <family val="2"/>
      </rPr>
      <t xml:space="preserve">记录电源参数、运行状态及高温、烟雾等异常报警
可选热成像人体检测联动自动上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下电（需搭配玉盘）</t>
    </r>
  </si>
  <si>
    <t xml:space="preserve">客户端工作站</t>
  </si>
  <si>
    <t xml:space="preserve">海康威视
DS-AXF142P/W10E/ShowOS</t>
  </si>
  <si>
    <r>
      <rPr>
        <sz val="8.5"/>
        <rFont val="Noto Sans CJK SC"/>
        <family val="2"/>
      </rPr>
      <t xml:space="preserve">图形工作站（参考</t>
    </r>
    <r>
      <rPr>
        <sz val="8.5"/>
        <rFont val="宋体"/>
        <family val="0"/>
        <charset val="1"/>
      </rPr>
      <t xml:space="preserve">H610</t>
    </r>
    <r>
      <rPr>
        <sz val="8.5"/>
        <rFont val="Noto Sans CJK SC"/>
        <family val="2"/>
      </rPr>
      <t xml:space="preserve">标底参数），双屏
</t>
    </r>
    <r>
      <rPr>
        <sz val="8.5"/>
        <rFont val="宋体"/>
        <family val="0"/>
        <charset val="1"/>
      </rPr>
      <t xml:space="preserve">C/S+B/S</t>
    </r>
    <r>
      <rPr>
        <sz val="8.5"/>
        <rFont val="Noto Sans CJK SC"/>
        <family val="2"/>
      </rPr>
      <t xml:space="preserve">架构，浏览器统一管理显示屏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中控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拼控</t>
    </r>
    <r>
      <rPr>
        <sz val="8.5"/>
        <rFont val="宋体"/>
        <family val="0"/>
        <charset val="1"/>
      </rPr>
      <t xml:space="preserve">/KVM/</t>
    </r>
    <r>
      <rPr>
        <sz val="8.5"/>
        <rFont val="Noto Sans CJK SC"/>
        <family val="2"/>
      </rPr>
      <t xml:space="preserve">配电柜等
网页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客户端</t>
    </r>
    <r>
      <rPr>
        <sz val="8.5"/>
        <rFont val="宋体"/>
        <family val="0"/>
        <charset val="1"/>
      </rPr>
      <t xml:space="preserve">/APP</t>
    </r>
    <r>
      <rPr>
        <sz val="8.5"/>
        <rFont val="Noto Sans CJK SC"/>
        <family val="2"/>
      </rPr>
      <t xml:space="preserve">（安卓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鸿蒙</t>
    </r>
    <r>
      <rPr>
        <sz val="8.5"/>
        <rFont val="宋体"/>
        <family val="0"/>
        <charset val="1"/>
      </rPr>
      <t xml:space="preserve">/iOS/Windows</t>
    </r>
    <r>
      <rPr>
        <sz val="8.5"/>
        <rFont val="Noto Sans CJK SC"/>
        <family val="2"/>
      </rPr>
      <t xml:space="preserve">）三端实时同步
支持远程操控播控主机与大屏内容调度，多分辨率抓屏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编码
支持网页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程序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图片</t>
    </r>
    <r>
      <rPr>
        <sz val="8.5"/>
        <rFont val="宋体"/>
        <family val="0"/>
        <charset val="1"/>
      </rPr>
      <t xml:space="preserve">/</t>
    </r>
    <r>
      <rPr>
        <sz val="8.5"/>
        <rFont val="Noto Sans CJK SC"/>
        <family val="2"/>
      </rPr>
      <t xml:space="preserve">视频</t>
    </r>
    <r>
      <rPr>
        <sz val="8.5"/>
        <rFont val="宋体"/>
        <family val="0"/>
        <charset val="1"/>
      </rPr>
      <t xml:space="preserve">/PPT/Word/Excel/PDF</t>
    </r>
    <r>
      <rPr>
        <sz val="8.5"/>
        <rFont val="Noto Sans CJK SC"/>
        <family val="2"/>
      </rPr>
      <t xml:space="preserve">等窗口拖放布局
可查看播控屏分辨率、主机名、在离线及内存等状态</t>
    </r>
  </si>
  <si>
    <t xml:space="preserve">图形工作站，双屏</t>
  </si>
  <si>
    <r>
      <rPr>
        <sz val="10"/>
        <color rgb="FF000000"/>
        <rFont val="宋体"/>
        <family val="0"/>
        <charset val="1"/>
      </rPr>
      <t xml:space="preserve">42U</t>
    </r>
    <r>
      <rPr>
        <sz val="10"/>
        <color rgb="FF000000"/>
        <rFont val="Noto Sans CJK SC"/>
        <family val="2"/>
      </rPr>
      <t xml:space="preserve">机柜</t>
    </r>
  </si>
  <si>
    <t xml:space="preserve">（42U 800×800mm）</t>
  </si>
  <si>
    <r>
      <rPr>
        <sz val="8.5"/>
        <color rgb="FF000000"/>
        <rFont val="宋体"/>
        <family val="0"/>
        <charset val="1"/>
      </rPr>
      <t xml:space="preserve">42U 800×800mm </t>
    </r>
    <r>
      <rPr>
        <sz val="8.5"/>
        <color rgb="FF000000"/>
        <rFont val="Noto Sans CJK SC"/>
        <family val="2"/>
      </rPr>
      <t xml:space="preserve">标准机柜</t>
    </r>
  </si>
  <si>
    <t xml:space="preserve">七、辅材与施工</t>
  </si>
  <si>
    <t xml:space="preserve">摄像机支架/立杆/防水箱/电源</t>
  </si>
  <si>
    <t xml:space="preserve">配合新增及更换点位安装的支架、立杆、防水盒、电源适配等</t>
  </si>
  <si>
    <t xml:space="preserve">配合146个点位</t>
  </si>
  <si>
    <t xml:space="preserve">综合布线</t>
  </si>
  <si>
    <t xml:space="preserve">（CAT6）</t>
  </si>
  <si>
    <t xml:space="preserve">CAT6</t>
  </si>
  <si>
    <t xml:space="preserve">以现场为准</t>
  </si>
  <si>
    <r>
      <rPr>
        <sz val="10"/>
        <color rgb="FF000000"/>
        <rFont val="宋体"/>
        <family val="0"/>
        <charset val="1"/>
      </rPr>
      <t xml:space="preserve">PVC</t>
    </r>
    <r>
      <rPr>
        <sz val="10"/>
        <color rgb="FF000000"/>
        <rFont val="Noto Sans CJK SC"/>
        <family val="2"/>
      </rPr>
      <t xml:space="preserve">管</t>
    </r>
  </si>
  <si>
    <t xml:space="preserve">（PVC20）</t>
  </si>
  <si>
    <r>
      <rPr>
        <sz val="8.5"/>
        <color rgb="FF000000"/>
        <rFont val="宋体"/>
        <family val="0"/>
        <charset val="1"/>
      </rPr>
      <t xml:space="preserve">PVC20 </t>
    </r>
    <r>
      <rPr>
        <sz val="8.5"/>
        <color rgb="FF000000"/>
        <rFont val="Noto Sans CJK SC"/>
        <family val="2"/>
      </rPr>
      <t xml:space="preserve">穿线管及敷设</t>
    </r>
  </si>
  <si>
    <t xml:space="preserve">安装、接入与系统调试</t>
  </si>
  <si>
    <t xml:space="preserve">前端安装、平台接入级联、AI与存储调试、网络割接与联调</t>
  </si>
  <si>
    <t xml:space="preserve">含分区割接、不停业务</t>
  </si>
  <si>
    <t xml:space="preserve">八、服务</t>
  </si>
  <si>
    <r>
      <rPr>
        <sz val="10"/>
        <color rgb="FF000000"/>
        <rFont val="宋体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与线路规划</t>
    </r>
  </si>
  <si>
    <t xml:space="preserve">按数智中心规划范围与规则，编制并实施《IP与线路规划表》，协助排查各二级公司IP并指出整改项</t>
  </si>
  <si>
    <t xml:space="preserve">投标方负责实施</t>
  </si>
  <si>
    <t xml:space="preserve">系统联调测试与验收</t>
  </si>
  <si>
    <t xml:space="preserve">整体联调、性能压测（≥100路上墙）、试运行与竣工验收，交付竣工资料</t>
  </si>
  <si>
    <t xml:space="preserve">培训</t>
  </si>
  <si>
    <t xml:space="preserve">面向监控值班、数智中心管理员、各单位维保人员的分层培训</t>
  </si>
  <si>
    <t xml:space="preserve">含操作与运维手册</t>
  </si>
  <si>
    <t xml:space="preserve">质保与运维服务</t>
  </si>
  <si>
    <r>
      <rPr>
        <sz val="8.5"/>
        <color rgb="FF000000"/>
        <rFont val="宋体"/>
        <family val="0"/>
        <charset val="1"/>
      </rPr>
      <t xml:space="preserve">≥1</t>
    </r>
    <r>
      <rPr>
        <sz val="8.5"/>
        <color rgb="FF000000"/>
        <rFont val="Noto Sans CJK SC"/>
        <family val="2"/>
      </rPr>
      <t xml:space="preserve">年免费质保，</t>
    </r>
    <r>
      <rPr>
        <sz val="8.5"/>
        <color rgb="FF000000"/>
        <rFont val="宋体"/>
        <family val="0"/>
        <charset val="1"/>
      </rPr>
      <t xml:space="preserve">7×24</t>
    </r>
    <r>
      <rPr>
        <sz val="8.5"/>
        <color rgb="FF000000"/>
        <rFont val="Noto Sans CJK SC"/>
        <family val="2"/>
      </rPr>
      <t xml:space="preserve">报障响应，平台版本与</t>
    </r>
    <r>
      <rPr>
        <sz val="8.5"/>
        <color rgb="FF000000"/>
        <rFont val="宋体"/>
        <family val="0"/>
        <charset val="1"/>
      </rPr>
      <t xml:space="preserve">AI</t>
    </r>
    <r>
      <rPr>
        <sz val="8.5"/>
        <color rgb="FF000000"/>
        <rFont val="Noto Sans CJK SC"/>
        <family val="2"/>
      </rPr>
      <t xml:space="preserve">算法升级</t>
    </r>
  </si>
  <si>
    <t xml:space="preserve">质保期可按合同延长</t>
  </si>
  <si>
    <t xml:space="preserve">合   计（元）</t>
  </si>
  <si>
    <t xml:space="preserve">关键指标（源自需求清单，数量确定）：补盲新增摄像机 102 台，老旧更换 44 台，AI 行为分析升级 193 路，在建衔接 92 台，统一存储时长 90 天，平台授权 ≥3000 路，网络由千兆升级为万兆，LED 大屏 7.2m×2.8m。</t>
  </si>
  <si>
    <t xml:space="preserve">摄像机点位明细表（补盲 / 更换 / AI升级 / 在建）</t>
  </si>
  <si>
    <t xml:space="preserve">一级单位</t>
  </si>
  <si>
    <t xml:space="preserve">监控位置</t>
  </si>
  <si>
    <t xml:space="preserve">补盲新增/台</t>
  </si>
  <si>
    <t xml:space="preserve">老旧更换/台</t>
  </si>
  <si>
    <r>
      <rPr>
        <b val="true"/>
        <sz val="10"/>
        <color rgb="FF1F3864"/>
        <rFont val="黑体"/>
        <family val="3"/>
        <charset val="134"/>
      </rPr>
      <t xml:space="preserve">AI</t>
    </r>
    <r>
      <rPr>
        <b val="true"/>
        <sz val="10"/>
        <color rgb="FF1F3864"/>
        <rFont val="Noto Sans CJK SC"/>
        <family val="2"/>
      </rPr>
      <t xml:space="preserve">升级</t>
    </r>
    <r>
      <rPr>
        <b val="true"/>
        <sz val="10"/>
        <color rgb="FF1F3864"/>
        <rFont val="黑体"/>
        <family val="3"/>
        <charset val="134"/>
      </rPr>
      <t xml:space="preserve">/</t>
    </r>
    <r>
      <rPr>
        <b val="true"/>
        <sz val="10"/>
        <color rgb="FF1F3864"/>
        <rFont val="Noto Sans CJK SC"/>
        <family val="2"/>
      </rPr>
      <t xml:space="preserve">路</t>
    </r>
  </si>
  <si>
    <t xml:space="preserve">在建衔接/台</t>
  </si>
  <si>
    <t xml:space="preserve">东明炼化公司</t>
  </si>
  <si>
    <t xml:space="preserve">前海化工</t>
  </si>
  <si>
    <r>
      <rPr>
        <sz val="9"/>
        <color rgb="FF595959"/>
        <rFont val="宋体"/>
        <family val="3"/>
        <charset val="134"/>
      </rPr>
      <t xml:space="preserve">AI</t>
    </r>
    <r>
      <rPr>
        <sz val="9"/>
        <color rgb="FF595959"/>
        <rFont val="Noto Sans CJK SC"/>
        <family val="2"/>
      </rPr>
      <t xml:space="preserve">周界</t>
    </r>
    <r>
      <rPr>
        <sz val="9"/>
        <color rgb="FF595959"/>
        <rFont val="宋体"/>
        <family val="3"/>
        <charset val="134"/>
      </rPr>
      <t xml:space="preserve">/</t>
    </r>
    <r>
      <rPr>
        <sz val="9"/>
        <color rgb="FF595959"/>
        <rFont val="Noto Sans CJK SC"/>
        <family val="2"/>
      </rPr>
      <t xml:space="preserve">越线</t>
    </r>
  </si>
  <si>
    <t xml:space="preserve">洁源环保</t>
  </si>
  <si>
    <t xml:space="preserve">万海氯碱</t>
  </si>
  <si>
    <t xml:space="preserve">万海（LNG）</t>
  </si>
  <si>
    <t xml:space="preserve">公共工程公司</t>
  </si>
  <si>
    <t xml:space="preserve">园区</t>
  </si>
  <si>
    <t xml:space="preserve">在建，同步纳管</t>
  </si>
  <si>
    <t xml:space="preserve">华汪围墙</t>
  </si>
  <si>
    <t xml:space="preserve">周界补盲，带拾音喊话</t>
  </si>
  <si>
    <t xml:space="preserve">鲁班建安公司</t>
  </si>
  <si>
    <t xml:space="preserve">防腐厂</t>
  </si>
  <si>
    <t xml:space="preserve">东明港运公司</t>
  </si>
  <si>
    <t xml:space="preserve">围墙/仓库/值班室/重点设备</t>
  </si>
  <si>
    <t xml:space="preserve">补盲3台 + AI 44路</t>
  </si>
  <si>
    <r>
      <rPr>
        <sz val="10"/>
        <color rgb="FF000000"/>
        <rFont val="宋体"/>
        <family val="3"/>
        <charset val="134"/>
      </rPr>
      <t xml:space="preserve">PO/SM</t>
    </r>
    <r>
      <rPr>
        <sz val="10"/>
        <color rgb="FF000000"/>
        <rFont val="Noto Sans CJK SC"/>
        <family val="2"/>
      </rPr>
      <t xml:space="preserve">建设分公司</t>
    </r>
  </si>
  <si>
    <t xml:space="preserve">围墙</t>
  </si>
  <si>
    <t xml:space="preserve">战略采购中心</t>
  </si>
  <si>
    <t xml:space="preserve">中油仓库</t>
  </si>
  <si>
    <t xml:space="preserve">在建</t>
  </si>
  <si>
    <t xml:space="preserve">润泽仓库</t>
  </si>
  <si>
    <t xml:space="preserve">华汪库区</t>
  </si>
  <si>
    <t xml:space="preserve">防腐厂惠生仓库</t>
  </si>
  <si>
    <t xml:space="preserve">润华实业</t>
  </si>
  <si>
    <t xml:space="preserve">各门岗</t>
  </si>
  <si>
    <t xml:space="preserve">门岗补盲，覆盖前后20m，含拾音喊话</t>
  </si>
  <si>
    <t xml:space="preserve">各区域</t>
  </si>
  <si>
    <t xml:space="preserve">老旧点位（以勘查为准）</t>
  </si>
  <si>
    <t xml:space="preserve">等量更换，≥400万像素</t>
  </si>
  <si>
    <t xml:space="preserve">合计</t>
  </si>
  <si>
    <r>
      <rPr>
        <b val="true"/>
        <sz val="10"/>
        <color rgb="FF000000"/>
        <rFont val="宋体"/>
        <family val="3"/>
        <charset val="134"/>
      </rPr>
      <t xml:space="preserve">12 </t>
    </r>
    <r>
      <rPr>
        <b val="true"/>
        <sz val="10"/>
        <color rgb="FF000000"/>
        <rFont val="Noto Sans CJK SC"/>
        <family val="2"/>
      </rPr>
      <t xml:space="preserve">个一级单位 </t>
    </r>
    <r>
      <rPr>
        <b val="true"/>
        <sz val="10"/>
        <color rgb="FF000000"/>
        <rFont val="宋体"/>
        <family val="3"/>
        <charset val="134"/>
      </rPr>
      <t xml:space="preserve">/ </t>
    </r>
    <r>
      <rPr>
        <b val="true"/>
        <sz val="10"/>
        <color rgb="FF000000"/>
        <rFont val="Noto Sans CJK SC"/>
        <family val="2"/>
      </rPr>
      <t xml:space="preserve">约 </t>
    </r>
    <r>
      <rPr>
        <b val="true"/>
        <sz val="10"/>
        <color rgb="FF000000"/>
        <rFont val="宋体"/>
        <family val="3"/>
        <charset val="134"/>
      </rPr>
      <t xml:space="preserve">40 </t>
    </r>
    <r>
      <rPr>
        <b val="true"/>
        <sz val="10"/>
        <color rgb="FF000000"/>
        <rFont val="Noto Sans CJK SC"/>
        <family val="2"/>
      </rPr>
      <t xml:space="preserve">点位</t>
    </r>
  </si>
  <si>
    <t xml:space="preserve">应为 102 / 44 / 193 / 92</t>
  </si>
  <si>
    <t xml:space="preserve">报价说明：</t>
  </si>
  <si>
    <r>
      <rPr>
        <sz val="11"/>
        <rFont val="微软雅黑"/>
        <family val="2"/>
        <charset val="134"/>
      </rPr>
      <t xml:space="preserve">1</t>
    </r>
    <r>
      <rPr>
        <sz val="11"/>
        <rFont val="Noto Sans CJK SC"/>
        <family val="2"/>
      </rPr>
      <t xml:space="preserve">、以上报价为含税价。</t>
    </r>
  </si>
  <si>
    <r>
      <rPr>
        <sz val="11"/>
        <rFont val="微软雅黑"/>
        <family val="2"/>
        <charset val="134"/>
      </rPr>
      <t xml:space="preserve">2</t>
    </r>
    <r>
      <rPr>
        <sz val="11"/>
        <rFont val="Noto Sans CJK SC"/>
        <family val="2"/>
      </rPr>
      <t xml:space="preserve">、以上报价仅适用于本项目的一次性报价</t>
    </r>
    <r>
      <rPr>
        <sz val="11"/>
        <rFont val="微软雅黑"/>
        <family val="2"/>
        <charset val="134"/>
      </rPr>
      <t xml:space="preserve">,</t>
    </r>
    <r>
      <rPr>
        <sz val="11"/>
        <rFont val="Noto Sans CJK SC"/>
        <family val="2"/>
      </rPr>
      <t xml:space="preserve">有效期为</t>
    </r>
    <r>
      <rPr>
        <sz val="11"/>
        <rFont val="微软雅黑"/>
        <family val="2"/>
        <charset val="134"/>
      </rPr>
      <t xml:space="preserve">30</t>
    </r>
    <r>
      <rPr>
        <sz val="11"/>
        <rFont val="Noto Sans CJK SC"/>
        <family val="2"/>
      </rPr>
      <t xml:space="preserve">天，即自</t>
    </r>
    <r>
      <rPr>
        <sz val="11"/>
        <rFont val="微软雅黑"/>
        <family val="2"/>
        <charset val="134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微软雅黑"/>
        <family val="2"/>
        <charset val="134"/>
      </rPr>
      <t xml:space="preserve">07</t>
    </r>
    <r>
      <rPr>
        <sz val="11"/>
        <rFont val="Noto Sans CJK SC"/>
        <family val="2"/>
      </rPr>
      <t xml:space="preserve">月</t>
    </r>
    <r>
      <rPr>
        <sz val="11"/>
        <rFont val="微软雅黑"/>
        <family val="2"/>
        <charset val="134"/>
      </rPr>
      <t xml:space="preserve">17</t>
    </r>
    <r>
      <rPr>
        <sz val="11"/>
        <rFont val="Noto Sans CJK SC"/>
        <family val="2"/>
      </rPr>
      <t xml:space="preserve">日起至</t>
    </r>
    <r>
      <rPr>
        <sz val="11"/>
        <rFont val="微软雅黑"/>
        <family val="2"/>
        <charset val="134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微软雅黑"/>
        <family val="2"/>
        <charset val="134"/>
      </rPr>
      <t xml:space="preserve">08</t>
    </r>
    <r>
      <rPr>
        <sz val="11"/>
        <rFont val="Noto Sans CJK SC"/>
        <family val="2"/>
      </rPr>
      <t xml:space="preserve">月</t>
    </r>
    <r>
      <rPr>
        <sz val="11"/>
        <rFont val="微软雅黑"/>
        <family val="2"/>
        <charset val="134"/>
      </rPr>
      <t xml:space="preserve">15</t>
    </r>
    <r>
      <rPr>
        <sz val="11"/>
        <rFont val="Noto Sans CJK SC"/>
        <family val="2"/>
      </rPr>
      <t xml:space="preserve">日止（</t>
    </r>
    <r>
      <rPr>
        <sz val="11"/>
        <rFont val="微软雅黑"/>
        <family val="2"/>
        <charset val="134"/>
      </rPr>
      <t xml:space="preserve">30</t>
    </r>
    <r>
      <rPr>
        <sz val="11"/>
        <rFont val="Noto Sans CJK SC"/>
        <family val="2"/>
      </rPr>
      <t xml:space="preserve">天）。服务器</t>
    </r>
    <r>
      <rPr>
        <sz val="11"/>
        <rFont val="微软雅黑"/>
        <family val="2"/>
        <charset val="134"/>
      </rPr>
      <t xml:space="preserve">/PC</t>
    </r>
    <r>
      <rPr>
        <sz val="11"/>
        <rFont val="Noto Sans CJK SC"/>
        <family val="2"/>
      </rPr>
      <t xml:space="preserve">产品有效期为</t>
    </r>
    <r>
      <rPr>
        <sz val="11"/>
        <rFont val="微软雅黑"/>
        <family val="2"/>
        <charset val="134"/>
      </rPr>
      <t xml:space="preserve">15</t>
    </r>
    <r>
      <rPr>
        <sz val="11"/>
        <rFont val="Noto Sans CJK SC"/>
        <family val="2"/>
      </rPr>
      <t xml:space="preserve">天，硬盘产品有效期为</t>
    </r>
    <r>
      <rPr>
        <sz val="11"/>
        <rFont val="微软雅黑"/>
        <family val="2"/>
        <charset val="134"/>
      </rPr>
      <t xml:space="preserve">3</t>
    </r>
    <r>
      <rPr>
        <sz val="11"/>
        <rFont val="Noto Sans CJK SC"/>
        <family val="2"/>
      </rPr>
      <t xml:space="preserve">天。</t>
    </r>
  </si>
  <si>
    <r>
      <rPr>
        <sz val="11"/>
        <rFont val="微软雅黑"/>
        <family val="2"/>
        <charset val="134"/>
      </rPr>
      <t xml:space="preserve">3</t>
    </r>
    <r>
      <rPr>
        <sz val="11"/>
        <rFont val="Noto Sans CJK SC"/>
        <family val="2"/>
      </rPr>
      <t xml:space="preserve">、以上报价仅适用于贵司采购上述清单中全部产品的情形，如贵司购买其中部分货物，则价格需另行协商。</t>
    </r>
  </si>
  <si>
    <r>
      <rPr>
        <sz val="11"/>
        <rFont val="微软雅黑"/>
        <family val="2"/>
        <charset val="134"/>
      </rPr>
      <t xml:space="preserve">4</t>
    </r>
    <r>
      <rPr>
        <sz val="11"/>
        <rFont val="Noto Sans CJK SC"/>
        <family val="2"/>
      </rPr>
      <t xml:space="preserve">、以上报价为我司的意向性报价，本项目的最终价格等具体条款以双方签订的购销合同为准。</t>
    </r>
  </si>
  <si>
    <r>
      <rPr>
        <sz val="11"/>
        <rFont val="微软雅黑"/>
        <family val="2"/>
        <charset val="134"/>
      </rPr>
      <t xml:space="preserve">5</t>
    </r>
    <r>
      <rPr>
        <sz val="11"/>
        <rFont val="Noto Sans CJK SC"/>
        <family val="2"/>
      </rPr>
      <t xml:space="preserve">、产品的具体信息以及售后服务等条款可参见我司官网</t>
    </r>
    <r>
      <rPr>
        <sz val="11"/>
        <rFont val="微软雅黑"/>
        <family val="2"/>
        <charset val="134"/>
      </rPr>
      <t xml:space="preserve">https://www.hikvision.com/cn/</t>
    </r>
  </si>
  <si>
    <r>
      <rPr>
        <sz val="11"/>
        <rFont val="微软雅黑"/>
        <family val="2"/>
        <charset val="134"/>
      </rPr>
      <t xml:space="preserve">6</t>
    </r>
    <r>
      <rPr>
        <sz val="11"/>
        <rFont val="Noto Sans CJK SC"/>
        <family val="2"/>
      </rPr>
      <t xml:space="preserve">、登录海康威视合作伙伴平台，可查看更多产品内容</t>
    </r>
  </si>
  <si>
    <t xml:space="preserve">如有问题，请与此项目业务代表联系</t>
  </si>
  <si>
    <t xml:space="preserve">联系人：  赖林生 </t>
  </si>
  <si>
    <t xml:space="preserve">联系电话： 18813298179</t>
  </si>
  <si>
    <t xml:space="preserve">联系地址： 杭州市滨江区阡陌路555号</t>
  </si>
  <si>
    <t xml:space="preserve">报价单位：</t>
  </si>
  <si>
    <t xml:space="preserve">杭州海康威视数字技术股份有限公司 </t>
  </si>
  <si>
    <t xml:space="preserve">报价日期：</t>
  </si>
  <si>
    <r>
      <rPr>
        <b val="true"/>
        <sz val="11"/>
        <rFont val="微软雅黑"/>
        <family val="2"/>
        <charset val="134"/>
      </rPr>
      <t xml:space="preserve">2026</t>
    </r>
    <r>
      <rPr>
        <b val="true"/>
        <sz val="11"/>
        <rFont val="Noto Sans CJK SC"/>
        <family val="2"/>
      </rPr>
      <t xml:space="preserve">年</t>
    </r>
    <r>
      <rPr>
        <b val="true"/>
        <sz val="11"/>
        <rFont val="微软雅黑"/>
        <family val="2"/>
        <charset val="134"/>
      </rPr>
      <t xml:space="preserve">07</t>
    </r>
    <r>
      <rPr>
        <b val="true"/>
        <sz val="11"/>
        <rFont val="Noto Sans CJK SC"/>
        <family val="2"/>
      </rPr>
      <t xml:space="preserve">月</t>
    </r>
    <r>
      <rPr>
        <b val="true"/>
        <sz val="11"/>
        <rFont val="微软雅黑"/>
        <family val="2"/>
        <charset val="134"/>
      </rPr>
      <t xml:space="preserve">17</t>
    </r>
    <r>
      <rPr>
        <b val="true"/>
        <sz val="11"/>
        <rFont val="Noto Sans CJK SC"/>
        <family val="2"/>
      </rPr>
      <t xml:space="preserve">日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</si>
</sst>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Noto Sans CJK SC"/>
      <family val="0"/>
      <charset val="1"/>
    </font>
    <font>
      <sz val="9"/>
      <color rgb="FF808080"/>
      <name val="Noto Sans CJK SC"/>
      <family val="0"/>
      <charset val="1"/>
    </font>
    <font>
      <b val="true"/>
      <sz val="10"/>
      <color rgb="FF1F3864"/>
      <name val="Noto Sans CJK SC"/>
      <family val="0"/>
      <charset val="1"/>
    </font>
    <font>
      <b val="true"/>
      <sz val="10.5"/>
      <color rgb="FF2E74B5"/>
      <name val="Noto Sans CJK SC"/>
      <family val="0"/>
      <charset val="1"/>
    </font>
    <font>
      <sz val="10"/>
      <color rgb="FF000000"/>
      <name val="宋体"/>
      <family val="0"/>
      <charset val="1"/>
    </font>
    <font>
      <sz val="10"/>
      <color rgb="FF000000"/>
      <name val="Noto Sans CJK SC"/>
      <family val="2"/>
      <charset val="1"/>
    </font>
    <font>
      <sz val="9"/>
      <color rgb="FF1F4E79"/>
      <name val="Noto Sans CJK SC"/>
      <family val="2"/>
      <charset val="1"/>
    </font>
    <font>
      <sz val="8.5"/>
      <name val="宋体"/>
      <family val="0"/>
      <charset val="1"/>
    </font>
    <font>
      <sz val="8.5"/>
      <name val="Noto Sans CJK SC"/>
      <family val="2"/>
    </font>
    <font>
      <b val="true"/>
      <sz val="10"/>
      <color rgb="FF000000"/>
      <name val="宋体"/>
      <family val="0"/>
      <charset val="1"/>
    </font>
    <font>
      <sz val="10"/>
      <color rgb="FF000000"/>
      <name val="Noto Sans CJK SC"/>
      <family val="0"/>
      <charset val="1"/>
    </font>
    <font>
      <sz val="9"/>
      <color rgb="FF595959"/>
      <name val="Noto Sans CJK SC"/>
      <family val="2"/>
      <charset val="1"/>
    </font>
    <font>
      <b val="true"/>
      <sz val="10"/>
      <color rgb="FF000000"/>
      <name val="Noto Sans CJK SC"/>
      <family val="0"/>
      <charset val="1"/>
    </font>
    <font>
      <sz val="10"/>
      <color rgb="FF000000"/>
      <name val="Noto Sans CJK SC"/>
      <family val="2"/>
    </font>
    <font>
      <sz val="8.5"/>
      <color rgb="FF000000"/>
      <name val="Noto Sans CJK SC"/>
      <family val="2"/>
      <charset val="1"/>
    </font>
    <font>
      <sz val="9"/>
      <color rgb="FF595959"/>
      <name val="宋体"/>
      <family val="0"/>
      <charset val="1"/>
    </font>
    <font>
      <sz val="9"/>
      <color rgb="FF595959"/>
      <name val="Noto Sans CJK SC"/>
      <family val="2"/>
    </font>
    <font>
      <sz val="8.5"/>
      <color rgb="FF000000"/>
      <name val="宋体"/>
      <family val="0"/>
      <charset val="1"/>
    </font>
    <font>
      <sz val="8.5"/>
      <color rgb="FF000000"/>
      <name val="Noto Sans CJK SC"/>
      <family val="2"/>
    </font>
    <font>
      <sz val="9"/>
      <color rgb="FF1F4E79"/>
      <name val="宋体"/>
      <family val="0"/>
      <charset val="1"/>
    </font>
    <font>
      <sz val="9"/>
      <color rgb="FF1F4E79"/>
      <name val="Noto Sans CJK SC"/>
      <family val="2"/>
    </font>
    <font>
      <b val="true"/>
      <sz val="11"/>
      <color rgb="FF000000"/>
      <name val="Noto Sans CJK SC"/>
      <family val="0"/>
      <charset val="1"/>
    </font>
    <font>
      <sz val="9"/>
      <color rgb="FF1F4E79"/>
      <name val="Noto Sans CJK SC"/>
      <family val="0"/>
      <charset val="1"/>
    </font>
    <font>
      <b val="true"/>
      <sz val="14"/>
      <color rgb="FF1F4E79"/>
      <name val="Noto Sans CJK SC"/>
      <family val="1"/>
      <charset val="1"/>
    </font>
    <font>
      <b val="true"/>
      <sz val="10"/>
      <color rgb="FF1F3864"/>
      <name val="Noto Sans CJK SC"/>
      <family val="1"/>
      <charset val="1"/>
    </font>
    <font>
      <b val="true"/>
      <sz val="10"/>
      <color rgb="FF1F3864"/>
      <name val="黑体"/>
      <family val="3"/>
      <charset val="134"/>
    </font>
    <font>
      <b val="true"/>
      <sz val="10"/>
      <color rgb="FF1F3864"/>
      <name val="Noto Sans CJK SC"/>
      <family val="2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 val="true"/>
      <sz val="10"/>
      <color rgb="FF000000"/>
      <name val="Noto Sans CJK SC"/>
      <family val="1"/>
      <charset val="1"/>
    </font>
    <font>
      <b val="true"/>
      <sz val="10"/>
      <color rgb="FF000000"/>
      <name val="宋体"/>
      <family val="3"/>
      <charset val="134"/>
    </font>
    <font>
      <b val="true"/>
      <sz val="10"/>
      <color rgb="FF000000"/>
      <name val="Noto Sans CJK SC"/>
      <family val="2"/>
    </font>
    <font>
      <b val="true"/>
      <sz val="9"/>
      <color rgb="FF1F4E79"/>
      <name val="Noto Sans CJK SC"/>
      <family val="1"/>
      <charset val="1"/>
    </font>
    <font>
      <b val="true"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</font>
    <font>
      <sz val="11"/>
      <name val="Noto Sans CJK SC"/>
      <family val="2"/>
      <charset val="1"/>
    </font>
    <font>
      <b val="true"/>
      <sz val="11"/>
      <name val="微软雅黑"/>
      <family val="2"/>
      <charset val="134"/>
    </font>
    <font>
      <b val="true"/>
      <sz val="1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66"/>
    <col collapsed="false" customWidth="true" hidden="false" outlineLevel="0" max="5" min="5" style="1" width="5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2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4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6.5" hidden="false" customHeight="true" outlineLevel="0" collapsed="false">
      <c r="A5" s="5" t="s">
        <v>12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15.5" hidden="false" customHeight="true" outlineLevel="0" collapsed="false">
      <c r="A6" s="6" t="n">
        <v>1</v>
      </c>
      <c r="B6" s="7" t="s">
        <v>13</v>
      </c>
      <c r="C6" s="8" t="s">
        <v>14</v>
      </c>
      <c r="D6" s="9" t="s">
        <v>15</v>
      </c>
      <c r="E6" s="10" t="s">
        <v>16</v>
      </c>
      <c r="F6" s="11" t="n">
        <v>58</v>
      </c>
      <c r="G6" s="12" t="s">
        <v>17</v>
      </c>
      <c r="H6" s="13"/>
      <c r="I6" s="14" t="n">
        <f aca="false">IFERROR(F6*H6,"")</f>
        <v>0</v>
      </c>
      <c r="J6" s="15" t="s">
        <v>18</v>
      </c>
    </row>
    <row r="7" customFormat="false" ht="115.5" hidden="false" customHeight="true" outlineLevel="0" collapsed="false">
      <c r="A7" s="6" t="n">
        <v>2</v>
      </c>
      <c r="B7" s="7" t="s">
        <v>19</v>
      </c>
      <c r="C7" s="8" t="s">
        <v>14</v>
      </c>
      <c r="D7" s="9" t="s">
        <v>15</v>
      </c>
      <c r="E7" s="10" t="s">
        <v>16</v>
      </c>
      <c r="F7" s="11" t="n">
        <v>3</v>
      </c>
      <c r="G7" s="12" t="s">
        <v>17</v>
      </c>
      <c r="H7" s="13"/>
      <c r="I7" s="14" t="n">
        <f aca="false">IFERROR(F7*H7,"")</f>
        <v>0</v>
      </c>
      <c r="J7" s="15" t="s">
        <v>20</v>
      </c>
    </row>
    <row r="8" customFormat="false" ht="102" hidden="false" customHeight="true" outlineLevel="0" collapsed="false">
      <c r="A8" s="6" t="n">
        <v>3</v>
      </c>
      <c r="B8" s="7" t="s">
        <v>21</v>
      </c>
      <c r="C8" s="8" t="s">
        <v>22</v>
      </c>
      <c r="D8" s="9" t="s">
        <v>23</v>
      </c>
      <c r="E8" s="10" t="s">
        <v>16</v>
      </c>
      <c r="F8" s="11" t="n">
        <v>41</v>
      </c>
      <c r="G8" s="12" t="s">
        <v>17</v>
      </c>
      <c r="H8" s="13"/>
      <c r="I8" s="14" t="n">
        <f aca="false">IFERROR(F8*H8,"")</f>
        <v>0</v>
      </c>
      <c r="J8" s="15" t="s">
        <v>24</v>
      </c>
    </row>
    <row r="9" customFormat="false" ht="102" hidden="false" customHeight="true" outlineLevel="0" collapsed="false">
      <c r="A9" s="6" t="n">
        <v>4</v>
      </c>
      <c r="B9" s="7" t="s">
        <v>25</v>
      </c>
      <c r="C9" s="8" t="s">
        <v>26</v>
      </c>
      <c r="D9" s="9" t="s">
        <v>27</v>
      </c>
      <c r="E9" s="10" t="s">
        <v>16</v>
      </c>
      <c r="F9" s="11" t="n">
        <v>44</v>
      </c>
      <c r="G9" s="12" t="s">
        <v>17</v>
      </c>
      <c r="H9" s="13"/>
      <c r="I9" s="14" t="n">
        <f aca="false">IFERROR(F9*H9,"")</f>
        <v>0</v>
      </c>
      <c r="J9" s="15" t="s">
        <v>28</v>
      </c>
    </row>
    <row r="10" customFormat="false" ht="15.75" hidden="false" customHeight="true" outlineLevel="0" collapsed="false">
      <c r="A10" s="16" t="s">
        <v>29</v>
      </c>
      <c r="B10" s="16"/>
      <c r="C10" s="16"/>
      <c r="D10" s="16"/>
      <c r="E10" s="17" t="s">
        <v>16</v>
      </c>
      <c r="F10" s="17" t="n">
        <f aca="false">F6+F7+F8+F9</f>
        <v>146</v>
      </c>
      <c r="G10" s="18"/>
      <c r="H10" s="18"/>
      <c r="I10" s="18"/>
      <c r="J10" s="18"/>
    </row>
    <row r="11" customFormat="false" ht="16.5" hidden="false" customHeight="true" outlineLevel="0" collapsed="false">
      <c r="A11" s="5" t="s">
        <v>30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115.5" hidden="false" customHeight="true" outlineLevel="0" collapsed="false">
      <c r="A12" s="6" t="n">
        <v>5</v>
      </c>
      <c r="B12" s="19" t="s">
        <v>31</v>
      </c>
      <c r="C12" s="8" t="s">
        <v>32</v>
      </c>
      <c r="D12" s="9" t="s">
        <v>33</v>
      </c>
      <c r="E12" s="10" t="s">
        <v>16</v>
      </c>
      <c r="F12" s="11" t="n">
        <v>10</v>
      </c>
      <c r="G12" s="12" t="s">
        <v>17</v>
      </c>
      <c r="H12" s="13"/>
      <c r="I12" s="14" t="n">
        <f aca="false">IFERROR(F12*H12,"")</f>
        <v>0</v>
      </c>
      <c r="J12" s="15" t="s">
        <v>34</v>
      </c>
    </row>
    <row r="13" customFormat="false" ht="30" hidden="false" customHeight="true" outlineLevel="0" collapsed="false">
      <c r="A13" s="6" t="n">
        <v>6</v>
      </c>
      <c r="B13" s="19" t="s">
        <v>35</v>
      </c>
      <c r="C13" s="8" t="s">
        <v>36</v>
      </c>
      <c r="D13" s="20" t="s">
        <v>37</v>
      </c>
      <c r="E13" s="10" t="s">
        <v>38</v>
      </c>
      <c r="F13" s="11" t="n">
        <v>193</v>
      </c>
      <c r="G13" s="12" t="s">
        <v>17</v>
      </c>
      <c r="H13" s="13"/>
      <c r="I13" s="14" t="n">
        <f aca="false">IFERROR(F13*H13,"")</f>
        <v>0</v>
      </c>
      <c r="J13" s="15" t="s">
        <v>39</v>
      </c>
    </row>
    <row r="14" customFormat="false" ht="16.5" hidden="false" customHeight="true" outlineLevel="0" collapsed="false">
      <c r="A14" s="5" t="s">
        <v>40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87.75" hidden="false" customHeight="true" outlineLevel="0" collapsed="false">
      <c r="A15" s="6" t="n">
        <v>7</v>
      </c>
      <c r="B15" s="7" t="s">
        <v>41</v>
      </c>
      <c r="C15" s="8" t="s">
        <v>42</v>
      </c>
      <c r="D15" s="9" t="s">
        <v>43</v>
      </c>
      <c r="E15" s="10" t="s">
        <v>16</v>
      </c>
      <c r="F15" s="11" t="n">
        <v>4</v>
      </c>
      <c r="G15" s="12" t="s">
        <v>17</v>
      </c>
      <c r="H15" s="13"/>
      <c r="I15" s="14" t="n">
        <f aca="false">IFERROR(F15*H15,"")</f>
        <v>0</v>
      </c>
      <c r="J15" s="21" t="s">
        <v>44</v>
      </c>
    </row>
    <row r="16" customFormat="false" ht="30" hidden="false" customHeight="true" outlineLevel="0" collapsed="false">
      <c r="A16" s="6" t="n">
        <v>8</v>
      </c>
      <c r="B16" s="7" t="s">
        <v>45</v>
      </c>
      <c r="C16" s="8" t="s">
        <v>46</v>
      </c>
      <c r="D16" s="20" t="s">
        <v>47</v>
      </c>
      <c r="E16" s="10" t="s">
        <v>38</v>
      </c>
      <c r="F16" s="11" t="n">
        <v>3000</v>
      </c>
      <c r="G16" s="12" t="s">
        <v>17</v>
      </c>
      <c r="H16" s="13"/>
      <c r="I16" s="14" t="n">
        <f aca="false">IFERROR(F16*H16,"")</f>
        <v>0</v>
      </c>
      <c r="J16" s="15" t="s">
        <v>48</v>
      </c>
    </row>
    <row r="17" customFormat="false" ht="30" hidden="false" customHeight="true" outlineLevel="0" collapsed="false">
      <c r="A17" s="6" t="n">
        <v>9</v>
      </c>
      <c r="B17" s="7" t="s">
        <v>49</v>
      </c>
      <c r="C17" s="8" t="s">
        <v>50</v>
      </c>
      <c r="D17" s="22" t="s">
        <v>51</v>
      </c>
      <c r="E17" s="10" t="s">
        <v>16</v>
      </c>
      <c r="F17" s="11" t="n">
        <v>1</v>
      </c>
      <c r="G17" s="12" t="s">
        <v>17</v>
      </c>
      <c r="H17" s="13"/>
      <c r="I17" s="14" t="n">
        <f aca="false">IFERROR(F17*H17,"")</f>
        <v>0</v>
      </c>
      <c r="J17" s="15" t="s">
        <v>52</v>
      </c>
    </row>
    <row r="18" customFormat="false" ht="16.5" hidden="false" customHeight="true" outlineLevel="0" collapsed="false">
      <c r="A18" s="5" t="s">
        <v>53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87.75" hidden="false" customHeight="true" outlineLevel="0" collapsed="false">
      <c r="A19" s="6" t="n">
        <v>10</v>
      </c>
      <c r="B19" s="7" t="s">
        <v>54</v>
      </c>
      <c r="C19" s="8" t="s">
        <v>55</v>
      </c>
      <c r="D19" s="9" t="s">
        <v>56</v>
      </c>
      <c r="E19" s="10" t="s">
        <v>16</v>
      </c>
      <c r="F19" s="11" t="n">
        <v>19</v>
      </c>
      <c r="G19" s="12" t="s">
        <v>17</v>
      </c>
      <c r="H19" s="13"/>
      <c r="I19" s="14" t="n">
        <f aca="false">IFERROR(F19*H19,"")</f>
        <v>0</v>
      </c>
      <c r="J19" s="15" t="s">
        <v>57</v>
      </c>
    </row>
    <row r="20" customFormat="false" ht="87.75" hidden="false" customHeight="true" outlineLevel="0" collapsed="false">
      <c r="A20" s="6" t="n">
        <v>11</v>
      </c>
      <c r="B20" s="7" t="s">
        <v>58</v>
      </c>
      <c r="C20" s="8" t="s">
        <v>59</v>
      </c>
      <c r="D20" s="9" t="s">
        <v>60</v>
      </c>
      <c r="E20" s="10" t="s">
        <v>16</v>
      </c>
      <c r="F20" s="11" t="n">
        <v>8</v>
      </c>
      <c r="G20" s="12" t="s">
        <v>17</v>
      </c>
      <c r="H20" s="13"/>
      <c r="I20" s="14" t="n">
        <f aca="false">IFERROR(F20*H20,"")</f>
        <v>0</v>
      </c>
      <c r="J20" s="15" t="s">
        <v>57</v>
      </c>
    </row>
    <row r="21" customFormat="false" ht="30" hidden="false" customHeight="true" outlineLevel="0" collapsed="false">
      <c r="A21" s="6" t="n">
        <v>12</v>
      </c>
      <c r="B21" s="7" t="s">
        <v>61</v>
      </c>
      <c r="C21" s="8" t="s">
        <v>62</v>
      </c>
      <c r="D21" s="20" t="s">
        <v>63</v>
      </c>
      <c r="E21" s="10" t="s">
        <v>64</v>
      </c>
      <c r="F21" s="11" t="n">
        <v>250</v>
      </c>
      <c r="G21" s="12" t="s">
        <v>17</v>
      </c>
      <c r="H21" s="13"/>
      <c r="I21" s="14" t="n">
        <f aca="false">IFERROR(F21*H21,"")</f>
        <v>0</v>
      </c>
      <c r="J21" s="15" t="s">
        <v>65</v>
      </c>
    </row>
    <row r="22" customFormat="false" ht="16.5" hidden="false" customHeight="true" outlineLevel="0" collapsed="false">
      <c r="A22" s="5" t="s">
        <v>66</v>
      </c>
      <c r="B22" s="5"/>
      <c r="C22" s="5"/>
      <c r="D22" s="5"/>
      <c r="E22" s="5"/>
      <c r="F22" s="5"/>
      <c r="G22" s="5"/>
      <c r="H22" s="5"/>
      <c r="I22" s="5"/>
      <c r="J22" s="5"/>
    </row>
    <row r="23" customFormat="false" ht="30" hidden="false" customHeight="true" outlineLevel="0" collapsed="false">
      <c r="A23" s="6" t="n">
        <v>13</v>
      </c>
      <c r="B23" s="19" t="s">
        <v>67</v>
      </c>
      <c r="C23" s="8" t="s">
        <v>68</v>
      </c>
      <c r="D23" s="22" t="s">
        <v>69</v>
      </c>
      <c r="E23" s="10" t="s">
        <v>16</v>
      </c>
      <c r="F23" s="11" t="n">
        <v>2</v>
      </c>
      <c r="G23" s="12" t="s">
        <v>17</v>
      </c>
      <c r="H23" s="13"/>
      <c r="I23" s="14" t="n">
        <f aca="false">IFERROR(F23*H23,"")</f>
        <v>0</v>
      </c>
      <c r="J23" s="15" t="s">
        <v>70</v>
      </c>
    </row>
    <row r="24" customFormat="false" ht="30" hidden="false" customHeight="true" outlineLevel="0" collapsed="false">
      <c r="A24" s="6" t="n">
        <v>14</v>
      </c>
      <c r="B24" s="19" t="s">
        <v>71</v>
      </c>
      <c r="C24" s="8" t="s">
        <v>72</v>
      </c>
      <c r="D24" s="22" t="s">
        <v>73</v>
      </c>
      <c r="E24" s="10" t="s">
        <v>16</v>
      </c>
      <c r="F24" s="11" t="n">
        <v>35</v>
      </c>
      <c r="G24" s="12" t="s">
        <v>17</v>
      </c>
      <c r="H24" s="13"/>
      <c r="I24" s="14" t="n">
        <f aca="false">IFERROR(F24*H24,"")</f>
        <v>0</v>
      </c>
      <c r="J24" s="15" t="s">
        <v>74</v>
      </c>
    </row>
    <row r="25" customFormat="false" ht="30" hidden="false" customHeight="true" outlineLevel="0" collapsed="false">
      <c r="A25" s="6" t="n">
        <v>15</v>
      </c>
      <c r="B25" s="19" t="s">
        <v>75</v>
      </c>
      <c r="C25" s="8" t="s">
        <v>76</v>
      </c>
      <c r="D25" s="22" t="s">
        <v>77</v>
      </c>
      <c r="E25" s="10" t="s">
        <v>16</v>
      </c>
      <c r="F25" s="11" t="n">
        <v>58</v>
      </c>
      <c r="G25" s="12" t="s">
        <v>17</v>
      </c>
      <c r="H25" s="13"/>
      <c r="I25" s="14" t="n">
        <f aca="false">IFERROR(F25*H25,"")</f>
        <v>0</v>
      </c>
      <c r="J25" s="15"/>
    </row>
    <row r="26" customFormat="false" ht="30" hidden="false" customHeight="true" outlineLevel="0" collapsed="false">
      <c r="A26" s="6" t="n">
        <v>16</v>
      </c>
      <c r="B26" s="7" t="s">
        <v>78</v>
      </c>
      <c r="C26" s="8" t="s">
        <v>50</v>
      </c>
      <c r="D26" s="22" t="s">
        <v>79</v>
      </c>
      <c r="E26" s="10" t="s">
        <v>80</v>
      </c>
      <c r="F26" s="11" t="n">
        <v>10</v>
      </c>
      <c r="G26" s="12" t="s">
        <v>17</v>
      </c>
      <c r="H26" s="13"/>
      <c r="I26" s="14" t="n">
        <f aca="false">IFERROR(F26*H26,"")</f>
        <v>0</v>
      </c>
      <c r="J26" s="15"/>
    </row>
    <row r="27" customFormat="false" ht="30" hidden="false" customHeight="true" outlineLevel="0" collapsed="false">
      <c r="A27" s="6" t="n">
        <v>17</v>
      </c>
      <c r="B27" s="7" t="s">
        <v>81</v>
      </c>
      <c r="C27" s="8" t="s">
        <v>82</v>
      </c>
      <c r="D27" s="20" t="s">
        <v>83</v>
      </c>
      <c r="E27" s="10" t="s">
        <v>84</v>
      </c>
      <c r="F27" s="11" t="n">
        <v>160</v>
      </c>
      <c r="G27" s="12" t="s">
        <v>17</v>
      </c>
      <c r="H27" s="13"/>
      <c r="I27" s="14" t="n">
        <f aca="false">IFERROR(F27*H27,"")</f>
        <v>0</v>
      </c>
      <c r="J27" s="15" t="s">
        <v>85</v>
      </c>
    </row>
    <row r="28" customFormat="false" ht="30" hidden="false" customHeight="true" outlineLevel="0" collapsed="false">
      <c r="A28" s="6" t="n">
        <v>18</v>
      </c>
      <c r="B28" s="7" t="s">
        <v>86</v>
      </c>
      <c r="C28" s="8" t="s">
        <v>87</v>
      </c>
      <c r="D28" s="20" t="s">
        <v>88</v>
      </c>
      <c r="E28" s="10" t="s">
        <v>89</v>
      </c>
      <c r="F28" s="11" t="n">
        <v>8000</v>
      </c>
      <c r="G28" s="12" t="s">
        <v>17</v>
      </c>
      <c r="H28" s="13"/>
      <c r="I28" s="14" t="n">
        <f aca="false">IFERROR(F28*H28,"")</f>
        <v>0</v>
      </c>
      <c r="J28" s="15" t="s">
        <v>90</v>
      </c>
    </row>
    <row r="29" customFormat="false" ht="30" hidden="false" customHeight="true" outlineLevel="0" collapsed="false">
      <c r="A29" s="6" t="n">
        <v>19</v>
      </c>
      <c r="B29" s="7" t="s">
        <v>91</v>
      </c>
      <c r="C29" s="23" t="s">
        <v>92</v>
      </c>
      <c r="D29" s="20" t="s">
        <v>93</v>
      </c>
      <c r="E29" s="10" t="s">
        <v>94</v>
      </c>
      <c r="F29" s="11" t="n">
        <v>1</v>
      </c>
      <c r="G29" s="12" t="s">
        <v>17</v>
      </c>
      <c r="H29" s="13"/>
      <c r="I29" s="14" t="n">
        <f aca="false">IFERROR(F29*H29,"")</f>
        <v>0</v>
      </c>
      <c r="J29" s="15" t="s">
        <v>95</v>
      </c>
    </row>
    <row r="30" customFormat="false" ht="60" hidden="false" customHeight="true" outlineLevel="0" collapsed="false">
      <c r="A30" s="6" t="n">
        <v>20</v>
      </c>
      <c r="B30" s="7" t="s">
        <v>96</v>
      </c>
      <c r="C30" s="8" t="s">
        <v>97</v>
      </c>
      <c r="D30" s="20" t="s">
        <v>98</v>
      </c>
      <c r="E30" s="10" t="s">
        <v>16</v>
      </c>
      <c r="F30" s="11" t="n">
        <v>1</v>
      </c>
      <c r="G30" s="12" t="s">
        <v>17</v>
      </c>
      <c r="H30" s="13"/>
      <c r="I30" s="14" t="n">
        <f aca="false">IFERROR(F30*H30,"")</f>
        <v>0</v>
      </c>
      <c r="J30" s="15" t="s">
        <v>99</v>
      </c>
    </row>
    <row r="31" customFormat="false" ht="16.5" hidden="false" customHeight="true" outlineLevel="0" collapsed="false">
      <c r="A31" s="5" t="s">
        <v>100</v>
      </c>
      <c r="B31" s="5"/>
      <c r="C31" s="5"/>
      <c r="D31" s="5"/>
      <c r="E31" s="5"/>
      <c r="F31" s="5"/>
      <c r="G31" s="5"/>
      <c r="H31" s="5"/>
      <c r="I31" s="5"/>
      <c r="J31" s="5"/>
    </row>
    <row r="32" customFormat="false" ht="115.5" hidden="false" customHeight="true" outlineLevel="0" collapsed="false">
      <c r="A32" s="6" t="n">
        <v>21</v>
      </c>
      <c r="B32" s="7" t="s">
        <v>101</v>
      </c>
      <c r="C32" s="8" t="s">
        <v>102</v>
      </c>
      <c r="D32" s="24" t="s">
        <v>103</v>
      </c>
      <c r="E32" s="10" t="s">
        <v>104</v>
      </c>
      <c r="F32" s="11" t="n">
        <v>6</v>
      </c>
      <c r="G32" s="12" t="s">
        <v>17</v>
      </c>
      <c r="H32" s="13"/>
      <c r="I32" s="14" t="n">
        <f aca="false">IFERROR(F32*H32,"")</f>
        <v>0</v>
      </c>
      <c r="J32" s="15" t="s">
        <v>105</v>
      </c>
    </row>
    <row r="33" customFormat="false" ht="115.5" hidden="false" customHeight="true" outlineLevel="0" collapsed="false">
      <c r="A33" s="6" t="n">
        <v>22</v>
      </c>
      <c r="B33" s="19" t="s">
        <v>106</v>
      </c>
      <c r="C33" s="8" t="s">
        <v>107</v>
      </c>
      <c r="D33" s="24" t="s">
        <v>108</v>
      </c>
      <c r="E33" s="10" t="s">
        <v>16</v>
      </c>
      <c r="F33" s="11" t="n">
        <v>1</v>
      </c>
      <c r="G33" s="12" t="s">
        <v>17</v>
      </c>
      <c r="H33" s="13"/>
      <c r="I33" s="14" t="n">
        <f aca="false">IFERROR(F33*H33,"")</f>
        <v>0</v>
      </c>
      <c r="J33" s="15" t="s">
        <v>109</v>
      </c>
    </row>
    <row r="34" customFormat="false" ht="73.5" hidden="false" customHeight="true" outlineLevel="0" collapsed="false">
      <c r="A34" s="6" t="n">
        <v>23</v>
      </c>
      <c r="B34" s="19" t="s">
        <v>110</v>
      </c>
      <c r="C34" s="8" t="s">
        <v>111</v>
      </c>
      <c r="D34" s="9" t="s">
        <v>112</v>
      </c>
      <c r="E34" s="10" t="s">
        <v>16</v>
      </c>
      <c r="F34" s="11" t="n">
        <v>12</v>
      </c>
      <c r="G34" s="12" t="s">
        <v>17</v>
      </c>
      <c r="H34" s="13"/>
      <c r="I34" s="14" t="n">
        <f aca="false">IFERROR(F34*H34,"")</f>
        <v>0</v>
      </c>
      <c r="J34" s="15" t="s">
        <v>113</v>
      </c>
    </row>
    <row r="35" customFormat="false" ht="45.75" hidden="false" customHeight="true" outlineLevel="0" collapsed="false">
      <c r="A35" s="6" t="n">
        <v>24</v>
      </c>
      <c r="B35" s="19" t="s">
        <v>114</v>
      </c>
      <c r="C35" s="8" t="s">
        <v>115</v>
      </c>
      <c r="D35" s="9" t="s">
        <v>116</v>
      </c>
      <c r="E35" s="10" t="s">
        <v>16</v>
      </c>
      <c r="F35" s="11" t="n">
        <v>12</v>
      </c>
      <c r="G35" s="12" t="s">
        <v>17</v>
      </c>
      <c r="H35" s="13"/>
      <c r="I35" s="14" t="n">
        <f aca="false">IFERROR(F35*H35,"")</f>
        <v>0</v>
      </c>
      <c r="J35" s="15" t="s">
        <v>117</v>
      </c>
    </row>
    <row r="36" customFormat="false" ht="30" hidden="false" customHeight="true" outlineLevel="0" collapsed="false">
      <c r="A36" s="6" t="n">
        <v>25</v>
      </c>
      <c r="B36" s="7" t="s">
        <v>118</v>
      </c>
      <c r="C36" s="25" t="s">
        <v>119</v>
      </c>
      <c r="D36" s="20" t="s">
        <v>120</v>
      </c>
      <c r="E36" s="10" t="s">
        <v>16</v>
      </c>
      <c r="F36" s="11" t="n">
        <v>1</v>
      </c>
      <c r="G36" s="26" t="s">
        <v>17</v>
      </c>
      <c r="H36" s="13"/>
      <c r="I36" s="14" t="n">
        <f aca="false">IFERROR(F36*H36,"")</f>
        <v>0</v>
      </c>
      <c r="J36" s="15" t="s">
        <v>121</v>
      </c>
    </row>
    <row r="37" customFormat="false" ht="30" hidden="false" customHeight="true" outlineLevel="0" collapsed="false">
      <c r="A37" s="6" t="n">
        <v>26</v>
      </c>
      <c r="B37" s="7" t="s">
        <v>122</v>
      </c>
      <c r="C37" s="8" t="s">
        <v>123</v>
      </c>
      <c r="D37" s="20" t="s">
        <v>124</v>
      </c>
      <c r="E37" s="10" t="s">
        <v>94</v>
      </c>
      <c r="F37" s="11" t="n">
        <v>1</v>
      </c>
      <c r="G37" s="12" t="s">
        <v>17</v>
      </c>
      <c r="H37" s="13"/>
      <c r="I37" s="14" t="n">
        <f aca="false">IFERROR(F37*H37,"")</f>
        <v>0</v>
      </c>
      <c r="J37" s="15" t="s">
        <v>125</v>
      </c>
    </row>
    <row r="38" customFormat="false" ht="30" hidden="false" customHeight="true" outlineLevel="0" collapsed="false">
      <c r="A38" s="6" t="n">
        <v>27</v>
      </c>
      <c r="B38" s="7" t="s">
        <v>126</v>
      </c>
      <c r="C38" s="23" t="s">
        <v>92</v>
      </c>
      <c r="D38" s="20" t="s">
        <v>127</v>
      </c>
      <c r="E38" s="10" t="s">
        <v>128</v>
      </c>
      <c r="F38" s="11" t="n">
        <v>1</v>
      </c>
      <c r="G38" s="12" t="s">
        <v>17</v>
      </c>
      <c r="H38" s="13"/>
      <c r="I38" s="14" t="n">
        <f aca="false">IFERROR(F38*H38,"")</f>
        <v>0</v>
      </c>
      <c r="J38" s="15" t="s">
        <v>129</v>
      </c>
    </row>
    <row r="39" customFormat="false" ht="87.75" hidden="false" customHeight="true" outlineLevel="0" collapsed="false">
      <c r="A39" s="6" t="n">
        <v>28</v>
      </c>
      <c r="B39" s="7" t="s">
        <v>130</v>
      </c>
      <c r="C39" s="8" t="s">
        <v>131</v>
      </c>
      <c r="D39" s="24" t="s">
        <v>132</v>
      </c>
      <c r="E39" s="10" t="s">
        <v>128</v>
      </c>
      <c r="F39" s="11" t="n">
        <v>1</v>
      </c>
      <c r="G39" s="12" t="s">
        <v>17</v>
      </c>
      <c r="H39" s="13"/>
      <c r="I39" s="14" t="n">
        <f aca="false">IFERROR(F39*H39,"")</f>
        <v>0</v>
      </c>
      <c r="J39" s="15"/>
    </row>
    <row r="40" customFormat="false" ht="87.75" hidden="false" customHeight="true" outlineLevel="0" collapsed="false">
      <c r="A40" s="6" t="n">
        <v>29</v>
      </c>
      <c r="B40" s="7" t="s">
        <v>133</v>
      </c>
      <c r="C40" s="8" t="s">
        <v>134</v>
      </c>
      <c r="D40" s="24" t="s">
        <v>135</v>
      </c>
      <c r="E40" s="10" t="s">
        <v>16</v>
      </c>
      <c r="F40" s="11" t="n">
        <v>2</v>
      </c>
      <c r="G40" s="12" t="s">
        <v>17</v>
      </c>
      <c r="H40" s="13"/>
      <c r="I40" s="14" t="n">
        <f aca="false">IFERROR(F40*H40,"")</f>
        <v>0</v>
      </c>
      <c r="J40" s="15" t="s">
        <v>136</v>
      </c>
    </row>
    <row r="41" customFormat="false" ht="30" hidden="false" customHeight="true" outlineLevel="0" collapsed="false">
      <c r="A41" s="6" t="n">
        <v>30</v>
      </c>
      <c r="B41" s="19" t="s">
        <v>137</v>
      </c>
      <c r="C41" s="8" t="s">
        <v>138</v>
      </c>
      <c r="D41" s="22" t="s">
        <v>139</v>
      </c>
      <c r="E41" s="10" t="s">
        <v>16</v>
      </c>
      <c r="F41" s="11" t="n">
        <v>2</v>
      </c>
      <c r="G41" s="12" t="s">
        <v>17</v>
      </c>
      <c r="H41" s="13"/>
      <c r="I41" s="14" t="n">
        <f aca="false">IFERROR(F41*H41,"")</f>
        <v>0</v>
      </c>
      <c r="J41" s="15"/>
    </row>
    <row r="42" customFormat="false" ht="16.5" hidden="false" customHeight="true" outlineLevel="0" collapsed="false">
      <c r="A42" s="5" t="s">
        <v>140</v>
      </c>
      <c r="B42" s="5"/>
      <c r="C42" s="5"/>
      <c r="D42" s="5"/>
      <c r="E42" s="5"/>
      <c r="F42" s="5"/>
      <c r="G42" s="5"/>
      <c r="H42" s="5"/>
      <c r="I42" s="5"/>
      <c r="J42" s="5"/>
    </row>
    <row r="43" customFormat="false" ht="30" hidden="false" customHeight="true" outlineLevel="0" collapsed="false">
      <c r="A43" s="6" t="n">
        <v>31</v>
      </c>
      <c r="B43" s="7" t="s">
        <v>141</v>
      </c>
      <c r="C43" s="23" t="s">
        <v>92</v>
      </c>
      <c r="D43" s="20" t="s">
        <v>142</v>
      </c>
      <c r="E43" s="10" t="s">
        <v>128</v>
      </c>
      <c r="F43" s="11" t="n">
        <v>146</v>
      </c>
      <c r="G43" s="12" t="s">
        <v>17</v>
      </c>
      <c r="H43" s="13"/>
      <c r="I43" s="14" t="n">
        <f aca="false">IFERROR(F43*H43,"")</f>
        <v>0</v>
      </c>
      <c r="J43" s="15" t="s">
        <v>143</v>
      </c>
    </row>
    <row r="44" customFormat="false" ht="30" hidden="false" customHeight="true" outlineLevel="0" collapsed="false">
      <c r="A44" s="6" t="n">
        <v>32</v>
      </c>
      <c r="B44" s="7" t="s">
        <v>144</v>
      </c>
      <c r="C44" s="8" t="s">
        <v>145</v>
      </c>
      <c r="D44" s="22" t="s">
        <v>146</v>
      </c>
      <c r="E44" s="10" t="s">
        <v>89</v>
      </c>
      <c r="F44" s="11" t="n">
        <v>12500</v>
      </c>
      <c r="G44" s="12" t="s">
        <v>17</v>
      </c>
      <c r="H44" s="13"/>
      <c r="I44" s="14" t="n">
        <f aca="false">IFERROR(F44*H44,"")</f>
        <v>0</v>
      </c>
      <c r="J44" s="15" t="s">
        <v>147</v>
      </c>
    </row>
    <row r="45" customFormat="false" ht="30" hidden="false" customHeight="true" outlineLevel="0" collapsed="false">
      <c r="A45" s="6" t="n">
        <v>33</v>
      </c>
      <c r="B45" s="19" t="s">
        <v>148</v>
      </c>
      <c r="C45" s="8" t="s">
        <v>149</v>
      </c>
      <c r="D45" s="22" t="s">
        <v>150</v>
      </c>
      <c r="E45" s="10" t="s">
        <v>89</v>
      </c>
      <c r="F45" s="11" t="n">
        <v>1000</v>
      </c>
      <c r="G45" s="12" t="s">
        <v>17</v>
      </c>
      <c r="H45" s="13"/>
      <c r="I45" s="14" t="n">
        <f aca="false">IFERROR(F45*H45,"")</f>
        <v>0</v>
      </c>
      <c r="J45" s="15"/>
    </row>
    <row r="46" customFormat="false" ht="30" hidden="false" customHeight="true" outlineLevel="0" collapsed="false">
      <c r="A46" s="6" t="n">
        <v>34</v>
      </c>
      <c r="B46" s="7" t="s">
        <v>151</v>
      </c>
      <c r="C46" s="23" t="s">
        <v>92</v>
      </c>
      <c r="D46" s="20" t="s">
        <v>152</v>
      </c>
      <c r="E46" s="10" t="s">
        <v>94</v>
      </c>
      <c r="F46" s="11" t="n">
        <v>1</v>
      </c>
      <c r="G46" s="12" t="s">
        <v>17</v>
      </c>
      <c r="H46" s="13"/>
      <c r="I46" s="14" t="n">
        <f aca="false">IFERROR(F46*H46,"")</f>
        <v>0</v>
      </c>
      <c r="J46" s="15" t="s">
        <v>153</v>
      </c>
    </row>
    <row r="47" customFormat="false" ht="16.5" hidden="false" customHeight="true" outlineLevel="0" collapsed="false">
      <c r="A47" s="5" t="s">
        <v>154</v>
      </c>
      <c r="B47" s="5"/>
      <c r="C47" s="5"/>
      <c r="D47" s="5"/>
      <c r="E47" s="5"/>
      <c r="F47" s="5"/>
      <c r="G47" s="5"/>
      <c r="H47" s="5"/>
      <c r="I47" s="5"/>
      <c r="J47" s="5"/>
    </row>
    <row r="48" customFormat="false" ht="30" hidden="false" customHeight="true" outlineLevel="0" collapsed="false">
      <c r="A48" s="6" t="n">
        <v>35</v>
      </c>
      <c r="B48" s="19" t="s">
        <v>155</v>
      </c>
      <c r="C48" s="23" t="s">
        <v>92</v>
      </c>
      <c r="D48" s="20" t="s">
        <v>156</v>
      </c>
      <c r="E48" s="10" t="s">
        <v>94</v>
      </c>
      <c r="F48" s="11" t="n">
        <v>1</v>
      </c>
      <c r="G48" s="12" t="s">
        <v>17</v>
      </c>
      <c r="H48" s="13"/>
      <c r="I48" s="14" t="n">
        <f aca="false">IFERROR(F48*H48,"")</f>
        <v>0</v>
      </c>
      <c r="J48" s="15" t="s">
        <v>157</v>
      </c>
    </row>
    <row r="49" customFormat="false" ht="30" hidden="false" customHeight="true" outlineLevel="0" collapsed="false">
      <c r="A49" s="6" t="n">
        <v>36</v>
      </c>
      <c r="B49" s="7" t="s">
        <v>158</v>
      </c>
      <c r="C49" s="23" t="s">
        <v>92</v>
      </c>
      <c r="D49" s="20" t="s">
        <v>159</v>
      </c>
      <c r="E49" s="10" t="s">
        <v>94</v>
      </c>
      <c r="F49" s="11" t="n">
        <v>1</v>
      </c>
      <c r="G49" s="12" t="s">
        <v>17</v>
      </c>
      <c r="H49" s="13"/>
      <c r="I49" s="14" t="n">
        <f aca="false">IFERROR(F49*H49,"")</f>
        <v>0</v>
      </c>
      <c r="J49" s="15"/>
    </row>
    <row r="50" customFormat="false" ht="30" hidden="false" customHeight="true" outlineLevel="0" collapsed="false">
      <c r="A50" s="6" t="n">
        <v>37</v>
      </c>
      <c r="B50" s="7" t="s">
        <v>160</v>
      </c>
      <c r="C50" s="23" t="s">
        <v>92</v>
      </c>
      <c r="D50" s="20" t="s">
        <v>161</v>
      </c>
      <c r="E50" s="10" t="s">
        <v>94</v>
      </c>
      <c r="F50" s="11" t="n">
        <v>1</v>
      </c>
      <c r="G50" s="12" t="s">
        <v>17</v>
      </c>
      <c r="H50" s="13"/>
      <c r="I50" s="14" t="n">
        <f aca="false">IFERROR(F50*H50,"")</f>
        <v>0</v>
      </c>
      <c r="J50" s="15" t="s">
        <v>162</v>
      </c>
    </row>
    <row r="51" customFormat="false" ht="30" hidden="false" customHeight="true" outlineLevel="0" collapsed="false">
      <c r="A51" s="6" t="n">
        <v>38</v>
      </c>
      <c r="B51" s="7" t="s">
        <v>163</v>
      </c>
      <c r="C51" s="23" t="s">
        <v>92</v>
      </c>
      <c r="D51" s="22" t="s">
        <v>164</v>
      </c>
      <c r="E51" s="10" t="s">
        <v>94</v>
      </c>
      <c r="F51" s="11" t="n">
        <v>1</v>
      </c>
      <c r="G51" s="12" t="s">
        <v>17</v>
      </c>
      <c r="H51" s="13"/>
      <c r="I51" s="14" t="n">
        <f aca="false">IFERROR(F51*H51,"")</f>
        <v>0</v>
      </c>
      <c r="J51" s="15" t="s">
        <v>165</v>
      </c>
    </row>
    <row r="52" customFormat="false" ht="21.75" hidden="false" customHeight="true" outlineLevel="0" collapsed="false">
      <c r="A52" s="27" t="s">
        <v>166</v>
      </c>
      <c r="B52" s="27"/>
      <c r="C52" s="27"/>
      <c r="D52" s="27"/>
      <c r="E52" s="27"/>
      <c r="F52" s="27"/>
      <c r="G52" s="27"/>
      <c r="H52" s="27"/>
      <c r="I52" s="28" t="n">
        <f aca="false">SUM(I6:I51)</f>
        <v>0</v>
      </c>
      <c r="J52" s="18"/>
    </row>
    <row r="53" customFormat="false" ht="30" hidden="false" customHeight="true" outlineLevel="0" collapsed="false">
      <c r="A53" s="29" t="s">
        <v>167</v>
      </c>
      <c r="B53" s="29"/>
      <c r="C53" s="29"/>
      <c r="D53" s="29"/>
      <c r="E53" s="29"/>
      <c r="F53" s="29"/>
      <c r="G53" s="29"/>
      <c r="H53" s="29"/>
      <c r="I53" s="29"/>
      <c r="J53" s="29"/>
    </row>
  </sheetData>
  <mergeCells count="13">
    <mergeCell ref="A1:J1"/>
    <mergeCell ref="A2:J2"/>
    <mergeCell ref="A5:J5"/>
    <mergeCell ref="A10:D10"/>
    <mergeCell ref="A11:J11"/>
    <mergeCell ref="A14:J14"/>
    <mergeCell ref="A18:J18"/>
    <mergeCell ref="A22:J22"/>
    <mergeCell ref="A31:J31"/>
    <mergeCell ref="A42:J42"/>
    <mergeCell ref="A47:J47"/>
    <mergeCell ref="A52:H52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8" min="8" style="1" width="26"/>
    <col collapsed="false" customWidth="true" hidden="false" outlineLevel="0" max="12" min="12" style="1" width="20"/>
    <col collapsed="false" customWidth="true" hidden="false" outlineLevel="0" max="59" min="59" style="1" width="8"/>
  </cols>
  <sheetData>
    <row r="1" customFormat="false" ht="21" hidden="false" customHeight="true" outlineLevel="0" collapsed="false">
      <c r="A1" s="30" t="s">
        <v>168</v>
      </c>
      <c r="B1" s="30"/>
      <c r="C1" s="30"/>
      <c r="D1" s="30"/>
      <c r="E1" s="30"/>
      <c r="F1" s="30"/>
      <c r="G1" s="30"/>
      <c r="H1" s="30"/>
    </row>
    <row r="3" customFormat="false" ht="30" hidden="false" customHeight="true" outlineLevel="0" collapsed="false">
      <c r="A3" s="31" t="s">
        <v>2</v>
      </c>
      <c r="B3" s="31" t="s">
        <v>169</v>
      </c>
      <c r="C3" s="31" t="s">
        <v>170</v>
      </c>
      <c r="D3" s="31" t="s">
        <v>171</v>
      </c>
      <c r="E3" s="31" t="s">
        <v>172</v>
      </c>
      <c r="F3" s="32" t="s">
        <v>173</v>
      </c>
      <c r="G3" s="31" t="s">
        <v>174</v>
      </c>
      <c r="H3" s="31" t="s">
        <v>11</v>
      </c>
    </row>
    <row r="4" customFormat="false" ht="15" hidden="false" customHeight="true" outlineLevel="0" collapsed="false">
      <c r="A4" s="33" t="n">
        <v>1</v>
      </c>
      <c r="B4" s="34" t="s">
        <v>175</v>
      </c>
      <c r="C4" s="34" t="s">
        <v>176</v>
      </c>
      <c r="D4" s="33"/>
      <c r="E4" s="33"/>
      <c r="F4" s="33" t="n">
        <v>58</v>
      </c>
      <c r="G4" s="33"/>
      <c r="H4" s="35" t="s">
        <v>177</v>
      </c>
    </row>
    <row r="5" customFormat="false" ht="15" hidden="false" customHeight="true" outlineLevel="0" collapsed="false">
      <c r="A5" s="33" t="n">
        <v>2</v>
      </c>
      <c r="B5" s="34" t="s">
        <v>175</v>
      </c>
      <c r="C5" s="34" t="s">
        <v>178</v>
      </c>
      <c r="D5" s="33"/>
      <c r="E5" s="33"/>
      <c r="F5" s="33" t="n">
        <v>27</v>
      </c>
      <c r="G5" s="33"/>
      <c r="H5" s="35" t="s">
        <v>177</v>
      </c>
    </row>
    <row r="6" customFormat="false" ht="15" hidden="false" customHeight="true" outlineLevel="0" collapsed="false">
      <c r="A6" s="33" t="n">
        <v>3</v>
      </c>
      <c r="B6" s="34" t="s">
        <v>175</v>
      </c>
      <c r="C6" s="34" t="s">
        <v>179</v>
      </c>
      <c r="D6" s="33"/>
      <c r="E6" s="33"/>
      <c r="F6" s="33" t="n">
        <v>8</v>
      </c>
      <c r="G6" s="33"/>
      <c r="H6" s="35" t="s">
        <v>177</v>
      </c>
    </row>
    <row r="7" customFormat="false" ht="15" hidden="false" customHeight="true" outlineLevel="0" collapsed="false">
      <c r="A7" s="33" t="n">
        <v>4</v>
      </c>
      <c r="B7" s="34" t="s">
        <v>175</v>
      </c>
      <c r="C7" s="34" t="s">
        <v>180</v>
      </c>
      <c r="D7" s="33"/>
      <c r="E7" s="33"/>
      <c r="F7" s="33" t="n">
        <v>2</v>
      </c>
      <c r="G7" s="33"/>
      <c r="H7" s="35" t="s">
        <v>177</v>
      </c>
    </row>
    <row r="8" customFormat="false" ht="15" hidden="false" customHeight="true" outlineLevel="0" collapsed="false">
      <c r="A8" s="33" t="n">
        <v>5</v>
      </c>
      <c r="B8" s="34" t="s">
        <v>181</v>
      </c>
      <c r="C8" s="34" t="s">
        <v>182</v>
      </c>
      <c r="D8" s="33"/>
      <c r="E8" s="33"/>
      <c r="F8" s="33"/>
      <c r="G8" s="33" t="n">
        <v>70</v>
      </c>
      <c r="H8" s="36" t="s">
        <v>183</v>
      </c>
    </row>
    <row r="9" customFormat="false" ht="15" hidden="false" customHeight="true" outlineLevel="0" collapsed="false">
      <c r="A9" s="33" t="n">
        <v>6</v>
      </c>
      <c r="B9" s="34" t="s">
        <v>181</v>
      </c>
      <c r="C9" s="34" t="s">
        <v>184</v>
      </c>
      <c r="D9" s="33" t="n">
        <v>58</v>
      </c>
      <c r="E9" s="33"/>
      <c r="F9" s="33"/>
      <c r="G9" s="33"/>
      <c r="H9" s="36" t="s">
        <v>185</v>
      </c>
    </row>
    <row r="10" customFormat="false" ht="15" hidden="false" customHeight="true" outlineLevel="0" collapsed="false">
      <c r="A10" s="33" t="n">
        <v>7</v>
      </c>
      <c r="B10" s="34" t="s">
        <v>186</v>
      </c>
      <c r="C10" s="34" t="s">
        <v>187</v>
      </c>
      <c r="D10" s="33"/>
      <c r="E10" s="33"/>
      <c r="F10" s="33" t="n">
        <v>46</v>
      </c>
      <c r="G10" s="33"/>
      <c r="H10" s="35" t="s">
        <v>177</v>
      </c>
    </row>
    <row r="11" customFormat="false" ht="15" hidden="false" customHeight="true" outlineLevel="0" collapsed="false">
      <c r="A11" s="33" t="n">
        <v>8</v>
      </c>
      <c r="B11" s="34" t="s">
        <v>188</v>
      </c>
      <c r="C11" s="34" t="s">
        <v>189</v>
      </c>
      <c r="D11" s="33" t="n">
        <v>3</v>
      </c>
      <c r="E11" s="33"/>
      <c r="F11" s="33" t="n">
        <v>44</v>
      </c>
      <c r="G11" s="33"/>
      <c r="H11" s="36" t="s">
        <v>190</v>
      </c>
    </row>
    <row r="12" customFormat="false" ht="15" hidden="false" customHeight="true" outlineLevel="0" collapsed="false">
      <c r="A12" s="33" t="n">
        <v>9</v>
      </c>
      <c r="B12" s="37" t="s">
        <v>191</v>
      </c>
      <c r="C12" s="34" t="s">
        <v>192</v>
      </c>
      <c r="D12" s="33"/>
      <c r="E12" s="33"/>
      <c r="F12" s="33" t="n">
        <v>8</v>
      </c>
      <c r="G12" s="33"/>
      <c r="H12" s="35" t="s">
        <v>177</v>
      </c>
    </row>
    <row r="13" customFormat="false" ht="15" hidden="false" customHeight="true" outlineLevel="0" collapsed="false">
      <c r="A13" s="33" t="n">
        <v>10</v>
      </c>
      <c r="B13" s="34" t="s">
        <v>193</v>
      </c>
      <c r="C13" s="34" t="s">
        <v>194</v>
      </c>
      <c r="D13" s="33"/>
      <c r="E13" s="33"/>
      <c r="F13" s="33"/>
      <c r="G13" s="33" t="n">
        <v>10</v>
      </c>
      <c r="H13" s="36" t="s">
        <v>195</v>
      </c>
    </row>
    <row r="14" customFormat="false" ht="15" hidden="false" customHeight="true" outlineLevel="0" collapsed="false">
      <c r="A14" s="33" t="n">
        <v>11</v>
      </c>
      <c r="B14" s="34" t="s">
        <v>193</v>
      </c>
      <c r="C14" s="34" t="s">
        <v>196</v>
      </c>
      <c r="D14" s="33"/>
      <c r="E14" s="33"/>
      <c r="F14" s="33"/>
      <c r="G14" s="33" t="n">
        <v>4</v>
      </c>
      <c r="H14" s="36" t="s">
        <v>195</v>
      </c>
    </row>
    <row r="15" customFormat="false" ht="15" hidden="false" customHeight="true" outlineLevel="0" collapsed="false">
      <c r="A15" s="33" t="n">
        <v>12</v>
      </c>
      <c r="B15" s="34" t="s">
        <v>193</v>
      </c>
      <c r="C15" s="34" t="s">
        <v>197</v>
      </c>
      <c r="D15" s="33"/>
      <c r="E15" s="33"/>
      <c r="F15" s="33"/>
      <c r="G15" s="33" t="n">
        <v>2</v>
      </c>
      <c r="H15" s="36" t="s">
        <v>195</v>
      </c>
    </row>
    <row r="16" customFormat="false" ht="15" hidden="false" customHeight="true" outlineLevel="0" collapsed="false">
      <c r="A16" s="33" t="n">
        <v>13</v>
      </c>
      <c r="B16" s="34" t="s">
        <v>193</v>
      </c>
      <c r="C16" s="34" t="s">
        <v>198</v>
      </c>
      <c r="D16" s="33"/>
      <c r="E16" s="33"/>
      <c r="F16" s="33"/>
      <c r="G16" s="33" t="n">
        <v>6</v>
      </c>
      <c r="H16" s="36" t="s">
        <v>195</v>
      </c>
    </row>
    <row r="17" customFormat="false" ht="24" hidden="false" customHeight="true" outlineLevel="0" collapsed="false">
      <c r="A17" s="33" t="n">
        <v>14</v>
      </c>
      <c r="B17" s="34" t="s">
        <v>199</v>
      </c>
      <c r="C17" s="34" t="s">
        <v>200</v>
      </c>
      <c r="D17" s="33" t="n">
        <v>41</v>
      </c>
      <c r="E17" s="33"/>
      <c r="F17" s="33"/>
      <c r="G17" s="33"/>
      <c r="H17" s="36" t="s">
        <v>201</v>
      </c>
    </row>
    <row r="18" customFormat="false" ht="15" hidden="false" customHeight="true" outlineLevel="0" collapsed="false">
      <c r="A18" s="33" t="n">
        <v>15</v>
      </c>
      <c r="B18" s="34" t="s">
        <v>202</v>
      </c>
      <c r="C18" s="34" t="s">
        <v>203</v>
      </c>
      <c r="D18" s="33"/>
      <c r="E18" s="33" t="n">
        <v>44</v>
      </c>
      <c r="F18" s="33"/>
      <c r="G18" s="33"/>
      <c r="H18" s="36" t="s">
        <v>204</v>
      </c>
    </row>
    <row r="19" customFormat="false" ht="15" hidden="false" customHeight="true" outlineLevel="0" collapsed="false">
      <c r="A19" s="38" t="s">
        <v>205</v>
      </c>
      <c r="B19" s="39" t="s">
        <v>206</v>
      </c>
      <c r="C19" s="39"/>
      <c r="D19" s="38" t="n">
        <f aca="false">SUM(D4:D18)</f>
        <v>102</v>
      </c>
      <c r="E19" s="38" t="n">
        <f aca="false">SUM(E4:E18)</f>
        <v>44</v>
      </c>
      <c r="F19" s="38" t="n">
        <f aca="false">SUM(F4:F18)</f>
        <v>193</v>
      </c>
      <c r="G19" s="38" t="n">
        <f aca="false">SUM(G4:G18)</f>
        <v>92</v>
      </c>
      <c r="H19" s="40" t="s">
        <v>207</v>
      </c>
    </row>
    <row r="20" customFormat="false" ht="16.5" hidden="false" customHeight="true" outlineLevel="0" collapsed="false">
      <c r="A20" s="41" t="s">
        <v>208</v>
      </c>
    </row>
    <row r="21" customFormat="false" ht="16.5" hidden="false" customHeight="true" outlineLevel="0" collapsed="false">
      <c r="A21" s="42" t="s">
        <v>209</v>
      </c>
    </row>
    <row r="22" customFormat="false" ht="16.5" hidden="false" customHeight="true" outlineLevel="0" collapsed="false">
      <c r="A22" s="42" t="s">
        <v>210</v>
      </c>
    </row>
    <row r="23" customFormat="false" ht="16.5" hidden="false" customHeight="true" outlineLevel="0" collapsed="false">
      <c r="A23" s="42" t="s">
        <v>211</v>
      </c>
    </row>
    <row r="24" customFormat="false" ht="16.5" hidden="false" customHeight="true" outlineLevel="0" collapsed="false">
      <c r="A24" s="42" t="s">
        <v>212</v>
      </c>
    </row>
    <row r="25" customFormat="false" ht="16.5" hidden="false" customHeight="true" outlineLevel="0" collapsed="false">
      <c r="A25" s="42" t="s">
        <v>213</v>
      </c>
    </row>
    <row r="26" customFormat="false" ht="16.5" hidden="false" customHeight="true" outlineLevel="0" collapsed="false">
      <c r="A26" s="42" t="s">
        <v>214</v>
      </c>
    </row>
    <row r="27" customFormat="false" ht="16.5" hidden="false" customHeight="true" outlineLevel="0" collapsed="false"/>
    <row r="28" customFormat="false" ht="16.5" hidden="false" customHeight="true" outlineLevel="0" collapsed="false">
      <c r="A28" s="43" t="s">
        <v>215</v>
      </c>
    </row>
    <row r="29" customFormat="false" ht="16.5" hidden="false" customHeight="true" outlineLevel="0" collapsed="false">
      <c r="A29" s="43" t="s">
        <v>216</v>
      </c>
    </row>
    <row r="30" customFormat="false" ht="16.5" hidden="false" customHeight="true" outlineLevel="0" collapsed="false">
      <c r="A30" s="43" t="s">
        <v>217</v>
      </c>
    </row>
    <row r="31" customFormat="false" ht="16.5" hidden="false" customHeight="true" outlineLevel="0" collapsed="false">
      <c r="A31" s="43" t="s">
        <v>218</v>
      </c>
    </row>
    <row r="32" customFormat="false" ht="16.5" hidden="false" customHeight="true" outlineLevel="0" collapsed="false">
      <c r="E32" s="44" t="s">
        <v>219</v>
      </c>
      <c r="F32" s="41" t="s">
        <v>220</v>
      </c>
    </row>
    <row r="33" customFormat="false" ht="16.5" hidden="false" customHeight="true" outlineLevel="0" collapsed="false">
      <c r="E33" s="44" t="s">
        <v>221</v>
      </c>
      <c r="F33" s="45" t="s">
        <v>222</v>
      </c>
    </row>
  </sheetData>
  <mergeCells count="2">
    <mergeCell ref="A1:H1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2026-07-31T14:42:14Z</dcterms:created>
  <dc:creator>openpyxl</dc:creator>
  <dc:description/>
  <dc:language>en-US</dc:language>
  <cp:lastModifiedBy/>
  <dcterms:modified xsi:type="dcterms:W3CDTF">2026-07-31T16:46:12Z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