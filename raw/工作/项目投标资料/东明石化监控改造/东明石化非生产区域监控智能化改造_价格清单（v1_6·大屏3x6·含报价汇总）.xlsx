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报价汇总" sheetId="1" state="visible" r:id="rId3"/>
    <sheet name="价格清单" sheetId="2" state="visible" r:id="rId4"/>
    <sheet name="摄像机点位明细" sheetId="3" state="visible" r:id="rId5"/>
  </sheets>
  <definedNames>
    <definedName function="false" hidden="false" localSheetId="1" name="_xlnm.Print_Titles" vbProcedure="false">价格清单!$4:$4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<sst xmlns="http://schemas.openxmlformats.org/spreadsheetml/2006/main" count="310" uniqueCount="221">
  <si>
    <t xml:space="preserve">东明石化集团 非生产区域视频监控智能化改造项目  报价汇总表</t>
  </si>
  <si>
    <t xml:space="preserve">本表各分项合价及合计由公式自动取自『价格清单』；报价为固定总价、含增值税（税率9%）。</t>
  </si>
  <si>
    <t xml:space="preserve">序号</t>
  </si>
  <si>
    <t xml:space="preserve">项目 / 分部分项</t>
  </si>
  <si>
    <t xml:space="preserve">合价（元）</t>
  </si>
  <si>
    <t xml:space="preserve">备注</t>
  </si>
  <si>
    <t xml:space="preserve">一</t>
  </si>
  <si>
    <t xml:space="preserve">前端采集设备</t>
  </si>
  <si>
    <r>
      <rPr>
        <sz val="9"/>
        <color rgb="FF595959"/>
        <rFont val="Noto Sans CJK SC"/>
        <family val="2"/>
        <charset val="1"/>
      </rPr>
      <t xml:space="preserve">摄像机（周界</t>
    </r>
    <r>
      <rPr>
        <sz val="9"/>
        <color rgb="FF595959"/>
        <rFont val="宋体"/>
        <family val="0"/>
        <charset val="1"/>
      </rPr>
      <t xml:space="preserve">/</t>
    </r>
    <r>
      <rPr>
        <sz val="9"/>
        <color rgb="FF595959"/>
        <rFont val="Noto Sans CJK SC"/>
        <family val="2"/>
        <charset val="1"/>
      </rPr>
      <t xml:space="preserve">重点</t>
    </r>
    <r>
      <rPr>
        <sz val="9"/>
        <color rgb="FF595959"/>
        <rFont val="宋体"/>
        <family val="0"/>
        <charset val="1"/>
      </rPr>
      <t xml:space="preserve">/</t>
    </r>
    <r>
      <rPr>
        <sz val="9"/>
        <color rgb="FF595959"/>
        <rFont val="Noto Sans CJK SC"/>
        <family val="2"/>
        <charset val="1"/>
      </rPr>
      <t xml:space="preserve">门岗</t>
    </r>
    <r>
      <rPr>
        <sz val="9"/>
        <color rgb="FF595959"/>
        <rFont val="宋体"/>
        <family val="0"/>
        <charset val="1"/>
      </rPr>
      <t xml:space="preserve">/</t>
    </r>
    <r>
      <rPr>
        <sz val="9"/>
        <color rgb="FF595959"/>
        <rFont val="Noto Sans CJK SC"/>
        <family val="2"/>
        <charset val="1"/>
      </rPr>
      <t xml:space="preserve">更换）</t>
    </r>
  </si>
  <si>
    <t xml:space="preserve">二</t>
  </si>
  <si>
    <t xml:space="preserve">智能分析设备</t>
  </si>
  <si>
    <r>
      <rPr>
        <sz val="9"/>
        <color rgb="FF595959"/>
        <rFont val="宋体"/>
        <family val="0"/>
        <charset val="1"/>
      </rPr>
      <t xml:space="preserve">AI</t>
    </r>
    <r>
      <rPr>
        <sz val="9"/>
        <color rgb="FF595959"/>
        <rFont val="Noto Sans CJK SC"/>
        <family val="2"/>
        <charset val="1"/>
      </rPr>
      <t xml:space="preserve">边缘服务器及算法授权</t>
    </r>
  </si>
  <si>
    <t xml:space="preserve">三</t>
  </si>
  <si>
    <t xml:space="preserve">平台与软件</t>
  </si>
  <si>
    <r>
      <rPr>
        <sz val="9"/>
        <color rgb="FF595959"/>
        <rFont val="Noto Sans CJK SC"/>
        <family val="2"/>
        <charset val="1"/>
      </rPr>
      <t xml:space="preserve">平台服务器、≥</t>
    </r>
    <r>
      <rPr>
        <sz val="9"/>
        <color rgb="FF595959"/>
        <rFont val="宋体"/>
        <family val="0"/>
        <charset val="1"/>
      </rPr>
      <t xml:space="preserve">3000</t>
    </r>
    <r>
      <rPr>
        <sz val="9"/>
        <color rgb="FF595959"/>
        <rFont val="Noto Sans CJK SC"/>
        <family val="2"/>
        <charset val="1"/>
      </rPr>
      <t xml:space="preserve">路授权、时钟服务器</t>
    </r>
  </si>
  <si>
    <t xml:space="preserve">四</t>
  </si>
  <si>
    <t xml:space="preserve">存储设备</t>
  </si>
  <si>
    <r>
      <rPr>
        <sz val="9"/>
        <color rgb="FF595959"/>
        <rFont val="宋体"/>
        <family val="0"/>
        <charset val="1"/>
      </rPr>
      <t xml:space="preserve">32/64</t>
    </r>
    <r>
      <rPr>
        <sz val="9"/>
        <color rgb="FF595959"/>
        <rFont val="Noto Sans CJK SC"/>
        <family val="2"/>
        <charset val="1"/>
      </rPr>
      <t xml:space="preserve">路</t>
    </r>
    <r>
      <rPr>
        <sz val="9"/>
        <color rgb="FF595959"/>
        <rFont val="宋体"/>
        <family val="0"/>
        <charset val="1"/>
      </rPr>
      <t xml:space="preserve">NVR</t>
    </r>
    <r>
      <rPr>
        <sz val="9"/>
        <color rgb="FF595959"/>
        <rFont val="Noto Sans CJK SC"/>
        <family val="2"/>
        <charset val="1"/>
      </rPr>
      <t xml:space="preserve">（≥</t>
    </r>
    <r>
      <rPr>
        <sz val="9"/>
        <color rgb="FF595959"/>
        <rFont val="宋体"/>
        <family val="0"/>
        <charset val="1"/>
      </rPr>
      <t xml:space="preserve">90</t>
    </r>
    <r>
      <rPr>
        <sz val="9"/>
        <color rgb="FF595959"/>
        <rFont val="Noto Sans CJK SC"/>
        <family val="2"/>
        <charset val="1"/>
      </rPr>
      <t xml:space="preserve">天）</t>
    </r>
  </si>
  <si>
    <t xml:space="preserve">五</t>
  </si>
  <si>
    <t xml:space="preserve">网络传输设备</t>
  </si>
  <si>
    <t xml:space="preserve">华为交换机、光缆、奇安信防火墙</t>
  </si>
  <si>
    <t xml:space="preserve">六</t>
  </si>
  <si>
    <t xml:space="preserve">监控中心及大屏</t>
  </si>
  <si>
    <r>
      <rPr>
        <sz val="9"/>
        <color rgb="FF595959"/>
        <rFont val="宋体"/>
        <family val="0"/>
        <charset val="1"/>
      </rPr>
      <t xml:space="preserve">46</t>
    </r>
    <r>
      <rPr>
        <sz val="9"/>
        <color rgb="FF595959"/>
        <rFont val="Noto Sans CJK SC"/>
        <family val="2"/>
        <charset val="1"/>
      </rPr>
      <t xml:space="preserve">寸无边框</t>
    </r>
    <r>
      <rPr>
        <sz val="9"/>
        <color rgb="FF595959"/>
        <rFont val="宋体"/>
        <family val="0"/>
        <charset val="1"/>
      </rPr>
      <t xml:space="preserve">LCD</t>
    </r>
    <r>
      <rPr>
        <sz val="9"/>
        <color rgb="FF595959"/>
        <rFont val="Noto Sans CJK SC"/>
        <family val="2"/>
        <charset val="1"/>
      </rPr>
      <t xml:space="preserve">拼接</t>
    </r>
    <r>
      <rPr>
        <sz val="9"/>
        <color rgb="FF595959"/>
        <rFont val="宋体"/>
        <family val="0"/>
        <charset val="1"/>
      </rPr>
      <t xml:space="preserve">3×6</t>
    </r>
    <r>
      <rPr>
        <sz val="9"/>
        <color rgb="FF595959"/>
        <rFont val="Noto Sans CJK SC"/>
        <family val="2"/>
        <charset val="1"/>
      </rPr>
      <t xml:space="preserve">（</t>
    </r>
    <r>
      <rPr>
        <sz val="9"/>
        <color rgb="FF595959"/>
        <rFont val="宋体"/>
        <family val="0"/>
        <charset val="1"/>
      </rPr>
      <t xml:space="preserve">18</t>
    </r>
    <r>
      <rPr>
        <sz val="9"/>
        <color rgb="FF595959"/>
        <rFont val="Noto Sans CJK SC"/>
        <family val="2"/>
        <charset val="1"/>
      </rPr>
      <t xml:space="preserve">块）及配套</t>
    </r>
  </si>
  <si>
    <t xml:space="preserve">七</t>
  </si>
  <si>
    <t xml:space="preserve">辅材与施工</t>
  </si>
  <si>
    <t xml:space="preserve">支架立杆、综合布线、安装调试</t>
  </si>
  <si>
    <t xml:space="preserve">八</t>
  </si>
  <si>
    <t xml:space="preserve">服务</t>
  </si>
  <si>
    <r>
      <rPr>
        <sz val="9"/>
        <color rgb="FF595959"/>
        <rFont val="宋体"/>
        <family val="0"/>
        <charset val="1"/>
      </rPr>
      <t xml:space="preserve">IP</t>
    </r>
    <r>
      <rPr>
        <sz val="9"/>
        <color rgb="FF595959"/>
        <rFont val="Noto Sans CJK SC"/>
        <family val="2"/>
        <charset val="1"/>
      </rPr>
      <t xml:space="preserve">规划、联调验收、培训、质保运维</t>
    </r>
  </si>
  <si>
    <t xml:space="preserve">小计（不含税）</t>
  </si>
  <si>
    <t xml:space="preserve">增值税（9%）</t>
  </si>
  <si>
    <t xml:space="preserve">合计（固定总价，含税9%）</t>
  </si>
  <si>
    <t xml:space="preserve">↔ 与『价格清单』联动</t>
  </si>
  <si>
    <t xml:space="preserve">人民币（大写）</t>
  </si>
  <si>
    <t xml:space="preserve">贰佰叁拾柒万肆仟捌佰零柒元玖角陆分</t>
  </si>
  <si>
    <t xml:space="preserve">东明石化集团 非生产区域视频监控智能化改造项目  价格清单（工程量清单）</t>
  </si>
  <si>
    <t xml:space="preserve">固定总价报价（含税，税率9%）；型号/参数/数量/单价以工程量清单为准，合价=数量×单价，底部自动合计。</t>
  </si>
  <si>
    <t xml:space="preserve">设备/材料名称</t>
  </si>
  <si>
    <t xml:space="preserve">品牌/型号</t>
  </si>
  <si>
    <t xml:space="preserve">主要技术参数 / 规格</t>
  </si>
  <si>
    <t xml:space="preserve">单位</t>
  </si>
  <si>
    <t xml:space="preserve">数量</t>
  </si>
  <si>
    <t xml:space="preserve">性质</t>
  </si>
  <si>
    <t xml:space="preserve">单价(元)</t>
  </si>
  <si>
    <t xml:space="preserve">合价(元)</t>
  </si>
  <si>
    <t xml:space="preserve">一、前端采集设备</t>
  </si>
  <si>
    <t xml:space="preserve">网络高清枪型摄像机（周界补盲）</t>
  </si>
  <si>
    <r>
      <rPr>
        <sz val="9"/>
        <color rgb="FF1F4E79"/>
        <rFont val="Noto Sans CJK SC"/>
        <family val="2"/>
        <charset val="1"/>
      </rPr>
      <t xml:space="preserve">海康威视
</t>
    </r>
    <r>
      <rPr>
        <sz val="9"/>
        <color rgb="FF1F4E79"/>
        <rFont val="宋体"/>
        <family val="0"/>
        <charset val="1"/>
      </rPr>
      <t xml:space="preserve">DS-2CD2T4HJX-SZBZ</t>
    </r>
  </si>
  <si>
    <r>
      <rPr>
        <sz val="8.5"/>
        <color rgb="FF000000"/>
        <rFont val="宋体"/>
        <family val="0"/>
        <charset val="1"/>
      </rPr>
      <t xml:space="preserve">400</t>
    </r>
    <r>
      <rPr>
        <sz val="8.5"/>
        <color rgb="FF000000"/>
        <rFont val="Noto Sans CJK SC"/>
        <family val="2"/>
        <charset val="1"/>
      </rPr>
      <t xml:space="preserve">万定焦智能筒型网络摄像机
采用深度学习硬件及算法，支持越界侦测，区域入侵侦测，进入区域侦测和离开区域侦测，支持联动声光报警
最高分辨率可达</t>
    </r>
    <r>
      <rPr>
        <sz val="8.5"/>
        <color rgb="FF000000"/>
        <rFont val="宋体"/>
        <family val="0"/>
        <charset val="1"/>
      </rPr>
      <t xml:space="preserve">2688 × 1520 @25 fps</t>
    </r>
    <r>
      <rPr>
        <sz val="8.5"/>
        <color rgb="FF000000"/>
        <rFont val="Noto Sans CJK SC"/>
        <family val="2"/>
        <charset val="1"/>
      </rPr>
      <t xml:space="preserve">，在该分辨率下可输出实时图像
支持背光补偿，强光抑制，</t>
    </r>
    <r>
      <rPr>
        <sz val="8.5"/>
        <color rgb="FF000000"/>
        <rFont val="宋体"/>
        <family val="0"/>
        <charset val="1"/>
      </rPr>
      <t xml:space="preserve">3D</t>
    </r>
    <r>
      <rPr>
        <sz val="8.5"/>
        <color rgb="FF000000"/>
        <rFont val="Noto Sans CJK SC"/>
        <family val="2"/>
        <charset val="1"/>
      </rPr>
      <t xml:space="preserve">数字降噪，</t>
    </r>
    <r>
      <rPr>
        <sz val="8.5"/>
        <color rgb="FF000000"/>
        <rFont val="宋体"/>
        <family val="0"/>
        <charset val="1"/>
      </rPr>
      <t xml:space="preserve">120 dB</t>
    </r>
    <r>
      <rPr>
        <sz val="8.5"/>
        <color rgb="FF000000"/>
        <rFont val="Noto Sans CJK SC"/>
        <family val="2"/>
        <charset val="1"/>
      </rPr>
      <t xml:space="preserve">宽动态
支持</t>
    </r>
    <r>
      <rPr>
        <sz val="8.5"/>
        <color rgb="FF000000"/>
        <rFont val="宋体"/>
        <family val="0"/>
        <charset val="1"/>
      </rPr>
      <t xml:space="preserve">ROI</t>
    </r>
    <r>
      <rPr>
        <sz val="8.5"/>
        <color rgb="FF000000"/>
        <rFont val="Noto Sans CJK SC"/>
        <family val="2"/>
        <charset val="1"/>
      </rPr>
      <t xml:space="preserve">感兴趣区域增强编码，支持</t>
    </r>
    <r>
      <rPr>
        <sz val="8.5"/>
        <color rgb="FF000000"/>
        <rFont val="宋体"/>
        <family val="0"/>
        <charset val="1"/>
      </rPr>
      <t xml:space="preserve">Smart265/264</t>
    </r>
    <r>
      <rPr>
        <sz val="8.5"/>
        <color rgb="FF000000"/>
        <rFont val="Noto Sans CJK SC"/>
        <family val="2"/>
        <charset val="1"/>
      </rPr>
      <t xml:space="preserve">编码，可根据场景情况自适应调整码率分配，有效节省存储成本
支持萤石平台，海康互联接入
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个内置麦克风，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个内置扬声器，支持双向语音对讲
支持最大</t>
    </r>
    <r>
      <rPr>
        <sz val="8.5"/>
        <color rgb="FF000000"/>
        <rFont val="宋体"/>
        <family val="0"/>
        <charset val="1"/>
      </rPr>
      <t xml:space="preserve">256 GB MicroSD/MicroSDHC/MicroSDXC</t>
    </r>
    <r>
      <rPr>
        <sz val="8.5"/>
        <color rgb="FF000000"/>
        <rFont val="Noto Sans CJK SC"/>
        <family val="2"/>
        <charset val="1"/>
      </rPr>
      <t xml:space="preserve">卡本地存储
支持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路报警输入，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路报警输出（报警输出最大支持</t>
    </r>
    <r>
      <rPr>
        <sz val="8.5"/>
        <color rgb="FF000000"/>
        <rFont val="宋体"/>
        <family val="0"/>
        <charset val="1"/>
      </rPr>
      <t xml:space="preserve">AC24 V/DC24 V</t>
    </r>
    <r>
      <rPr>
        <sz val="8.5"/>
        <color rgb="FF000000"/>
        <rFont val="Noto Sans CJK SC"/>
        <family val="2"/>
        <charset val="1"/>
      </rPr>
      <t xml:space="preserve">，</t>
    </r>
    <r>
      <rPr>
        <sz val="8.5"/>
        <color rgb="FF000000"/>
        <rFont val="宋体"/>
        <family val="0"/>
        <charset val="1"/>
      </rPr>
      <t xml:space="preserve">1 A</t>
    </r>
    <r>
      <rPr>
        <sz val="8.5"/>
        <color rgb="FF000000"/>
        <rFont val="Noto Sans CJK SC"/>
        <family val="2"/>
        <charset val="1"/>
      </rPr>
      <t xml:space="preserve">），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路音频输入，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路音频输出
</t>
    </r>
    <r>
      <rPr>
        <sz val="8.5"/>
        <color rgb="FF000000"/>
        <rFont val="宋体"/>
        <family val="0"/>
        <charset val="1"/>
      </rPr>
      <t xml:space="preserve">FWDA4-LS</t>
    </r>
    <r>
      <rPr>
        <sz val="8.5"/>
        <color rgb="FF000000"/>
        <rFont val="Noto Sans CJK SC"/>
        <family val="2"/>
        <charset val="1"/>
      </rPr>
      <t xml:space="preserve">型号支持：</t>
    </r>
    <r>
      <rPr>
        <sz val="8.5"/>
        <color rgb="FF000000"/>
        <rFont val="宋体"/>
        <family val="0"/>
        <charset val="1"/>
      </rPr>
      <t xml:space="preserve">DC12 V</t>
    </r>
    <r>
      <rPr>
        <sz val="8.5"/>
        <color rgb="FF000000"/>
        <rFont val="Noto Sans CJK SC"/>
        <family val="2"/>
        <charset val="1"/>
      </rPr>
      <t xml:space="preserve">，</t>
    </r>
    <r>
      <rPr>
        <sz val="8.5"/>
        <color rgb="FF000000"/>
        <rFont val="宋体"/>
        <family val="0"/>
        <charset val="1"/>
      </rPr>
      <t xml:space="preserve">100 mA</t>
    </r>
    <r>
      <rPr>
        <sz val="8.5"/>
        <color rgb="FF000000"/>
        <rFont val="Noto Sans CJK SC"/>
        <family val="2"/>
        <charset val="1"/>
      </rPr>
      <t xml:space="preserve">电源输出，可用于拾音器供电
支持白光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红外双补光，红外最远可达</t>
    </r>
    <r>
      <rPr>
        <sz val="8.5"/>
        <color rgb="FF000000"/>
        <rFont val="宋体"/>
        <family val="0"/>
        <charset val="1"/>
      </rPr>
      <t xml:space="preserve">50 m</t>
    </r>
    <r>
      <rPr>
        <sz val="8.5"/>
        <color rgb="FF000000"/>
        <rFont val="Noto Sans CJK SC"/>
        <family val="2"/>
        <charset val="1"/>
      </rPr>
      <t xml:space="preserve">，白光最远可达</t>
    </r>
    <r>
      <rPr>
        <sz val="8.5"/>
        <color rgb="FF000000"/>
        <rFont val="宋体"/>
        <family val="0"/>
        <charset val="1"/>
      </rPr>
      <t xml:space="preserve">30 m
</t>
    </r>
    <r>
      <rPr>
        <sz val="8.5"/>
        <color rgb="FF000000"/>
        <rFont val="Noto Sans CJK SC"/>
        <family val="2"/>
        <charset val="1"/>
      </rPr>
      <t xml:space="preserve">符合</t>
    </r>
    <r>
      <rPr>
        <sz val="8.5"/>
        <color rgb="FF000000"/>
        <rFont val="宋体"/>
        <family val="0"/>
        <charset val="1"/>
      </rPr>
      <t xml:space="preserve">IP66</t>
    </r>
    <r>
      <rPr>
        <sz val="8.5"/>
        <color rgb="FF000000"/>
        <rFont val="Noto Sans CJK SC"/>
        <family val="2"/>
        <charset val="1"/>
      </rPr>
      <t xml:space="preserve">防尘防水设计，可靠性高
支持对运动人脸抓拍和属性分析，支持快速抓拍和优选抓拍两种模式，支持对不同目标进行检测、抓拍，最多同时检测</t>
    </r>
    <r>
      <rPr>
        <sz val="8.5"/>
        <color rgb="FF000000"/>
        <rFont val="宋体"/>
        <family val="0"/>
        <charset val="1"/>
      </rPr>
      <t xml:space="preserve">10</t>
    </r>
    <r>
      <rPr>
        <sz val="8.5"/>
        <color rgb="FF000000"/>
        <rFont val="Noto Sans CJK SC"/>
        <family val="2"/>
        <charset val="1"/>
      </rPr>
      <t xml:space="preserve">张人脸
自研观澜编码</t>
    </r>
    <r>
      <rPr>
        <sz val="8.5"/>
        <color rgb="FF000000"/>
        <rFont val="宋体"/>
        <family val="0"/>
        <charset val="1"/>
      </rPr>
      <t xml:space="preserve">Lite</t>
    </r>
    <r>
      <rPr>
        <sz val="8.5"/>
        <color rgb="FF000000"/>
        <rFont val="Noto Sans CJK SC"/>
        <family val="2"/>
        <charset val="1"/>
      </rPr>
      <t xml:space="preserve">，省存储，画质稳
传感器类型：</t>
    </r>
    <r>
      <rPr>
        <sz val="8.5"/>
        <color rgb="FF000000"/>
        <rFont val="宋体"/>
        <family val="0"/>
        <charset val="1"/>
      </rPr>
      <t xml:space="preserve">1/3" Progressive Scan CMOS
</t>
    </r>
    <r>
      <rPr>
        <sz val="8.5"/>
        <color rgb="FF000000"/>
        <rFont val="Noto Sans CJK SC"/>
        <family val="2"/>
        <charset val="1"/>
      </rPr>
      <t xml:space="preserve">最低照度：彩色：</t>
    </r>
    <r>
      <rPr>
        <sz val="8.5"/>
        <color rgb="FF000000"/>
        <rFont val="宋体"/>
        <family val="0"/>
        <charset val="1"/>
      </rPr>
      <t xml:space="preserve">0.005 Lux
</t>
    </r>
    <r>
      <rPr>
        <sz val="8.5"/>
        <color rgb="FF000000"/>
        <rFont val="Noto Sans CJK SC"/>
        <family val="2"/>
        <charset val="1"/>
      </rPr>
      <t xml:space="preserve">宽动态：</t>
    </r>
    <r>
      <rPr>
        <sz val="8.5"/>
        <color rgb="FF000000"/>
        <rFont val="宋体"/>
        <family val="0"/>
        <charset val="1"/>
      </rPr>
      <t xml:space="preserve">120 dB 
</t>
    </r>
    <r>
      <rPr>
        <sz val="8.5"/>
        <color rgb="FF000000"/>
        <rFont val="Noto Sans CJK SC"/>
        <family val="2"/>
        <charset val="1"/>
      </rPr>
      <t xml:space="preserve">焦距</t>
    </r>
    <r>
      <rPr>
        <sz val="8.5"/>
        <color rgb="FF000000"/>
        <rFont val="宋体"/>
        <family val="0"/>
        <charset val="1"/>
      </rPr>
      <t xml:space="preserve">&amp;</t>
    </r>
    <r>
      <rPr>
        <sz val="8.5"/>
        <color rgb="FF000000"/>
        <rFont val="Noto Sans CJK SC"/>
        <family val="2"/>
        <charset val="1"/>
      </rPr>
      <t xml:space="preserve">视场角：</t>
    </r>
    <r>
      <rPr>
        <sz val="8.5"/>
        <color rgb="FF000000"/>
        <rFont val="宋体"/>
        <family val="0"/>
        <charset val="1"/>
      </rPr>
      <t xml:space="preserve">4 mm</t>
    </r>
    <r>
      <rPr>
        <sz val="8.5"/>
        <color rgb="FF000000"/>
        <rFont val="Noto Sans CJK SC"/>
        <family val="2"/>
        <charset val="1"/>
      </rPr>
      <t xml:space="preserve">，水平视场角：</t>
    </r>
    <r>
      <rPr>
        <sz val="8.5"/>
        <color rgb="FF000000"/>
        <rFont val="宋体"/>
        <family val="0"/>
        <charset val="1"/>
      </rPr>
      <t xml:space="preserve">78.3°</t>
    </r>
    <r>
      <rPr>
        <sz val="8.5"/>
        <color rgb="FF000000"/>
        <rFont val="Noto Sans CJK SC"/>
        <family val="2"/>
        <charset val="1"/>
      </rPr>
      <t xml:space="preserve">，垂直视场角：</t>
    </r>
    <r>
      <rPr>
        <sz val="8.5"/>
        <color rgb="FF000000"/>
        <rFont val="宋体"/>
        <family val="0"/>
        <charset val="1"/>
      </rPr>
      <t xml:space="preserve">42.9°</t>
    </r>
    <r>
      <rPr>
        <sz val="8.5"/>
        <color rgb="FF000000"/>
        <rFont val="Noto Sans CJK SC"/>
        <family val="2"/>
        <charset val="1"/>
      </rPr>
      <t xml:space="preserve">，对角视场角：</t>
    </r>
    <r>
      <rPr>
        <sz val="8.5"/>
        <color rgb="FF000000"/>
        <rFont val="宋体"/>
        <family val="0"/>
        <charset val="1"/>
      </rPr>
      <t xml:space="preserve">91.2°
6 mm</t>
    </r>
    <r>
      <rPr>
        <sz val="8.5"/>
        <color rgb="FF000000"/>
        <rFont val="Noto Sans CJK SC"/>
        <family val="2"/>
        <charset val="1"/>
      </rPr>
      <t xml:space="preserve">，水平视场角：</t>
    </r>
    <r>
      <rPr>
        <sz val="8.5"/>
        <color rgb="FF000000"/>
        <rFont val="宋体"/>
        <family val="0"/>
        <charset val="1"/>
      </rPr>
      <t xml:space="preserve">49.1°</t>
    </r>
    <r>
      <rPr>
        <sz val="8.5"/>
        <color rgb="FF000000"/>
        <rFont val="Noto Sans CJK SC"/>
        <family val="2"/>
        <charset val="1"/>
      </rPr>
      <t xml:space="preserve">，垂直视场角：</t>
    </r>
    <r>
      <rPr>
        <sz val="8.5"/>
        <color rgb="FF000000"/>
        <rFont val="宋体"/>
        <family val="0"/>
        <charset val="1"/>
      </rPr>
      <t xml:space="preserve">26.3°</t>
    </r>
    <r>
      <rPr>
        <sz val="8.5"/>
        <color rgb="FF000000"/>
        <rFont val="Noto Sans CJK SC"/>
        <family val="2"/>
        <charset val="1"/>
      </rPr>
      <t xml:space="preserve">，对角视场角：</t>
    </r>
    <r>
      <rPr>
        <sz val="8.5"/>
        <color rgb="FF000000"/>
        <rFont val="宋体"/>
        <family val="0"/>
        <charset val="1"/>
      </rPr>
      <t xml:space="preserve">57.2°
8 mm</t>
    </r>
    <r>
      <rPr>
        <sz val="8.5"/>
        <color rgb="FF000000"/>
        <rFont val="Noto Sans CJK SC"/>
        <family val="2"/>
        <charset val="1"/>
      </rPr>
      <t xml:space="preserve">，水平视场角：</t>
    </r>
    <r>
      <rPr>
        <sz val="8.5"/>
        <color rgb="FF000000"/>
        <rFont val="宋体"/>
        <family val="0"/>
        <charset val="1"/>
      </rPr>
      <t xml:space="preserve">37.5°</t>
    </r>
    <r>
      <rPr>
        <sz val="8.5"/>
        <color rgb="FF000000"/>
        <rFont val="Noto Sans CJK SC"/>
        <family val="2"/>
        <charset val="1"/>
      </rPr>
      <t xml:space="preserve">，垂直视场角：</t>
    </r>
    <r>
      <rPr>
        <sz val="8.5"/>
        <color rgb="FF000000"/>
        <rFont val="宋体"/>
        <family val="0"/>
        <charset val="1"/>
      </rPr>
      <t xml:space="preserve">20.7°</t>
    </r>
    <r>
      <rPr>
        <sz val="8.5"/>
        <color rgb="FF000000"/>
        <rFont val="Noto Sans CJK SC"/>
        <family val="2"/>
        <charset val="1"/>
      </rPr>
      <t xml:space="preserve">，对角视场角：</t>
    </r>
    <r>
      <rPr>
        <sz val="8.5"/>
        <color rgb="FF000000"/>
        <rFont val="宋体"/>
        <family val="0"/>
        <charset val="1"/>
      </rPr>
      <t xml:space="preserve">43.3°
</t>
    </r>
    <r>
      <rPr>
        <sz val="8.5"/>
        <color rgb="FF000000"/>
        <rFont val="Noto Sans CJK SC"/>
        <family val="2"/>
        <charset val="1"/>
      </rPr>
      <t xml:space="preserve">补光灯类型：智能补光，可切换白光灯、红外灯
补光距离：红外光最远可达</t>
    </r>
    <r>
      <rPr>
        <sz val="8.5"/>
        <color rgb="FF000000"/>
        <rFont val="宋体"/>
        <family val="0"/>
        <charset val="1"/>
      </rPr>
      <t xml:space="preserve">50 m</t>
    </r>
    <r>
      <rPr>
        <sz val="8.5"/>
        <color rgb="FF000000"/>
        <rFont val="Noto Sans CJK SC"/>
        <family val="2"/>
        <charset val="1"/>
      </rPr>
      <t xml:space="preserve">，白光最远可达</t>
    </r>
    <r>
      <rPr>
        <sz val="8.5"/>
        <color rgb="FF000000"/>
        <rFont val="宋体"/>
        <family val="0"/>
        <charset val="1"/>
      </rPr>
      <t xml:space="preserve">30 m
</t>
    </r>
    <r>
      <rPr>
        <sz val="8.5"/>
        <color rgb="FF000000"/>
        <rFont val="Noto Sans CJK SC"/>
        <family val="2"/>
        <charset val="1"/>
      </rPr>
      <t xml:space="preserve">防补光过曝：支持 
最大图像尺寸：</t>
    </r>
    <r>
      <rPr>
        <sz val="8.5"/>
        <color rgb="FF000000"/>
        <rFont val="宋体"/>
        <family val="0"/>
        <charset val="1"/>
      </rPr>
      <t xml:space="preserve">2688 × 1520
</t>
    </r>
    <r>
      <rPr>
        <sz val="8.5"/>
        <color rgb="FF000000"/>
        <rFont val="Noto Sans CJK SC"/>
        <family val="2"/>
        <charset val="1"/>
      </rPr>
      <t xml:space="preserve">视频压缩标准：主码流：</t>
    </r>
    <r>
      <rPr>
        <sz val="8.5"/>
        <color rgb="FF000000"/>
        <rFont val="宋体"/>
        <family val="0"/>
        <charset val="1"/>
      </rPr>
      <t xml:space="preserve">H.265/H.264
</t>
    </r>
    <r>
      <rPr>
        <sz val="8.5"/>
        <color rgb="FF000000"/>
        <rFont val="Noto Sans CJK SC"/>
        <family val="2"/>
        <charset val="1"/>
      </rPr>
      <t xml:space="preserve">子码流：</t>
    </r>
    <r>
      <rPr>
        <sz val="8.5"/>
        <color rgb="FF000000"/>
        <rFont val="宋体"/>
        <family val="0"/>
        <charset val="1"/>
      </rPr>
      <t xml:space="preserve">H.265/H.264/MJPEG
</t>
    </r>
    <r>
      <rPr>
        <sz val="8.5"/>
        <color rgb="FF000000"/>
        <rFont val="Noto Sans CJK SC"/>
        <family val="2"/>
        <charset val="1"/>
      </rPr>
      <t xml:space="preserve">第三码流：</t>
    </r>
    <r>
      <rPr>
        <sz val="8.5"/>
        <color rgb="FF000000"/>
        <rFont val="宋体"/>
        <family val="0"/>
        <charset val="1"/>
      </rPr>
      <t xml:space="preserve">H.265/H.264 
</t>
    </r>
    <r>
      <rPr>
        <sz val="8.5"/>
        <color rgb="FF000000"/>
        <rFont val="Noto Sans CJK SC"/>
        <family val="2"/>
        <charset val="1"/>
      </rPr>
      <t xml:space="preserve">网络：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个</t>
    </r>
    <r>
      <rPr>
        <sz val="8.5"/>
        <color rgb="FF000000"/>
        <rFont val="宋体"/>
        <family val="0"/>
        <charset val="1"/>
      </rPr>
      <t xml:space="preserve">RJ45 10 M/100 M</t>
    </r>
    <r>
      <rPr>
        <sz val="8.5"/>
        <color rgb="FF000000"/>
        <rFont val="Noto Sans CJK SC"/>
        <family val="2"/>
        <charset val="1"/>
      </rPr>
      <t xml:space="preserve">自适应以太网口
</t>
    </r>
    <r>
      <rPr>
        <sz val="8.5"/>
        <color rgb="FF000000"/>
        <rFont val="宋体"/>
        <family val="0"/>
        <charset val="1"/>
      </rPr>
      <t xml:space="preserve">SD</t>
    </r>
    <r>
      <rPr>
        <sz val="8.5"/>
        <color rgb="FF000000"/>
        <rFont val="Noto Sans CJK SC"/>
        <family val="2"/>
        <charset val="1"/>
      </rPr>
      <t xml:space="preserve">卡扩展：内置</t>
    </r>
    <r>
      <rPr>
        <sz val="8.5"/>
        <color rgb="FF000000"/>
        <rFont val="宋体"/>
        <family val="0"/>
        <charset val="1"/>
      </rPr>
      <t xml:space="preserve">MicroSD/MicroSDHC/MicroSDXC </t>
    </r>
    <r>
      <rPr>
        <sz val="8.5"/>
        <color rgb="FF000000"/>
        <rFont val="Noto Sans CJK SC"/>
        <family val="2"/>
        <charset val="1"/>
      </rPr>
      <t xml:space="preserve">插槽，最大支持</t>
    </r>
    <r>
      <rPr>
        <sz val="8.5"/>
        <color rgb="FF000000"/>
        <rFont val="宋体"/>
        <family val="0"/>
        <charset val="1"/>
      </rPr>
      <t xml:space="preserve">256 GB
</t>
    </r>
    <r>
      <rPr>
        <sz val="8.5"/>
        <color rgb="FF000000"/>
        <rFont val="Noto Sans CJK SC"/>
        <family val="2"/>
        <charset val="1"/>
      </rPr>
      <t xml:space="preserve">音频：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路输入（</t>
    </r>
    <r>
      <rPr>
        <sz val="8.5"/>
        <color rgb="FF000000"/>
        <rFont val="宋体"/>
        <family val="0"/>
        <charset val="1"/>
      </rPr>
      <t xml:space="preserve">Line in</t>
    </r>
    <r>
      <rPr>
        <sz val="8.5"/>
        <color rgb="FF000000"/>
        <rFont val="Noto Sans CJK SC"/>
        <family val="2"/>
        <charset val="1"/>
      </rPr>
      <t xml:space="preserve">）：</t>
    </r>
    <r>
      <rPr>
        <sz val="8.5"/>
        <color rgb="FF000000"/>
        <rFont val="宋体"/>
        <family val="0"/>
        <charset val="1"/>
      </rPr>
      <t xml:space="preserve">2</t>
    </r>
    <r>
      <rPr>
        <sz val="8.5"/>
        <color rgb="FF000000"/>
        <rFont val="Noto Sans CJK SC"/>
        <family val="2"/>
        <charset val="1"/>
      </rPr>
      <t xml:space="preserve">芯端子，最大输入幅值：</t>
    </r>
    <r>
      <rPr>
        <sz val="8.5"/>
        <color rgb="FF000000"/>
        <rFont val="宋体"/>
        <family val="0"/>
        <charset val="1"/>
      </rPr>
      <t xml:space="preserve">3.3 Vpp</t>
    </r>
    <r>
      <rPr>
        <sz val="8.5"/>
        <color rgb="FF000000"/>
        <rFont val="Noto Sans CJK SC"/>
        <family val="2"/>
        <charset val="1"/>
      </rPr>
      <t xml:space="preserve">，输入阻抗：</t>
    </r>
    <r>
      <rPr>
        <sz val="8.5"/>
        <color rgb="FF000000"/>
        <rFont val="宋体"/>
        <family val="0"/>
        <charset val="1"/>
      </rPr>
      <t xml:space="preserve">2.2 kΩ</t>
    </r>
    <r>
      <rPr>
        <sz val="8.5"/>
        <color rgb="FF000000"/>
        <rFont val="Noto Sans CJK SC"/>
        <family val="2"/>
        <charset val="1"/>
      </rPr>
      <t xml:space="preserve">，接口类型：非平衡
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路输出（</t>
    </r>
    <r>
      <rPr>
        <sz val="8.5"/>
        <color rgb="FF000000"/>
        <rFont val="宋体"/>
        <family val="0"/>
        <charset val="1"/>
      </rPr>
      <t xml:space="preserve">Line out</t>
    </r>
    <r>
      <rPr>
        <sz val="8.5"/>
        <color rgb="FF000000"/>
        <rFont val="Noto Sans CJK SC"/>
        <family val="2"/>
        <charset val="1"/>
      </rPr>
      <t xml:space="preserve">）：</t>
    </r>
    <r>
      <rPr>
        <sz val="8.5"/>
        <color rgb="FF000000"/>
        <rFont val="宋体"/>
        <family val="0"/>
        <charset val="1"/>
      </rPr>
      <t xml:space="preserve">2</t>
    </r>
    <r>
      <rPr>
        <sz val="8.5"/>
        <color rgb="FF000000"/>
        <rFont val="Noto Sans CJK SC"/>
        <family val="2"/>
        <charset val="1"/>
      </rPr>
      <t xml:space="preserve">芯端子，最大输出幅值：</t>
    </r>
    <r>
      <rPr>
        <sz val="8.5"/>
        <color rgb="FF000000"/>
        <rFont val="宋体"/>
        <family val="0"/>
        <charset val="1"/>
      </rPr>
      <t xml:space="preserve">3.3 Vpp</t>
    </r>
    <r>
      <rPr>
        <sz val="8.5"/>
        <color rgb="FF000000"/>
        <rFont val="Noto Sans CJK SC"/>
        <family val="2"/>
        <charset val="1"/>
      </rPr>
      <t xml:space="preserve">，输出阻抗：</t>
    </r>
    <r>
      <rPr>
        <sz val="8.5"/>
        <color rgb="FF000000"/>
        <rFont val="宋体"/>
        <family val="0"/>
        <charset val="1"/>
      </rPr>
      <t xml:space="preserve">100 Ω</t>
    </r>
    <r>
      <rPr>
        <sz val="8.5"/>
        <color rgb="FF000000"/>
        <rFont val="Noto Sans CJK SC"/>
        <family val="2"/>
        <charset val="1"/>
      </rPr>
      <t xml:space="preserve">，接口类型：非平衡
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个内置麦克风，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个内置扬声器
报警：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路输入，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路输出（报警输出最大支持</t>
    </r>
    <r>
      <rPr>
        <sz val="8.5"/>
        <color rgb="FF000000"/>
        <rFont val="宋体"/>
        <family val="0"/>
        <charset val="1"/>
      </rPr>
      <t xml:space="preserve">AC24 V/DC24 V</t>
    </r>
    <r>
      <rPr>
        <sz val="8.5"/>
        <color rgb="FF000000"/>
        <rFont val="Noto Sans CJK SC"/>
        <family val="2"/>
        <charset val="1"/>
      </rPr>
      <t xml:space="preserve">，</t>
    </r>
    <r>
      <rPr>
        <sz val="8.5"/>
        <color rgb="FF000000"/>
        <rFont val="宋体"/>
        <family val="0"/>
        <charset val="1"/>
      </rPr>
      <t xml:space="preserve">1 A</t>
    </r>
    <r>
      <rPr>
        <sz val="8.5"/>
        <color rgb="FF000000"/>
        <rFont val="Noto Sans CJK SC"/>
        <family val="2"/>
        <charset val="1"/>
      </rPr>
      <t xml:space="preserve">）
复位：支持
电源输出：</t>
    </r>
    <r>
      <rPr>
        <sz val="8.5"/>
        <color rgb="FF000000"/>
        <rFont val="宋体"/>
        <family val="0"/>
        <charset val="1"/>
      </rPr>
      <t xml:space="preserve">DC12 V</t>
    </r>
    <r>
      <rPr>
        <sz val="8.5"/>
        <color rgb="FF000000"/>
        <rFont val="Noto Sans CJK SC"/>
        <family val="2"/>
        <charset val="1"/>
      </rPr>
      <t xml:space="preserve">，</t>
    </r>
    <r>
      <rPr>
        <sz val="8.5"/>
        <color rgb="FF000000"/>
        <rFont val="宋体"/>
        <family val="0"/>
        <charset val="1"/>
      </rPr>
      <t xml:space="preserve">100 mA</t>
    </r>
    <r>
      <rPr>
        <sz val="8.5"/>
        <color rgb="FF000000"/>
        <rFont val="Noto Sans CJK SC"/>
        <family val="2"/>
        <charset val="1"/>
      </rPr>
      <t xml:space="preserve">，可用于拾音器供电 
智能警戒：区域入侵侦测，越界侦测，进入区域侦测，离开区域侦测（支持人形、车形检测） 
产品尺寸：</t>
    </r>
    <r>
      <rPr>
        <sz val="8.5"/>
        <color rgb="FF000000"/>
        <rFont val="宋体"/>
        <family val="0"/>
        <charset val="1"/>
      </rPr>
      <t xml:space="preserve">2.8 mm</t>
    </r>
    <r>
      <rPr>
        <sz val="8.5"/>
        <color rgb="FF000000"/>
        <rFont val="Noto Sans CJK SC"/>
        <family val="2"/>
        <charset val="1"/>
      </rPr>
      <t xml:space="preserve">焦距段型号：
</t>
    </r>
    <r>
      <rPr>
        <sz val="8.5"/>
        <color rgb="FF000000"/>
        <rFont val="宋体"/>
        <family val="0"/>
        <charset val="1"/>
      </rPr>
      <t xml:space="preserve">182.8 × 92.7 × 87.6 mm
</t>
    </r>
    <r>
      <rPr>
        <sz val="8.5"/>
        <color rgb="FF000000"/>
        <rFont val="Noto Sans CJK SC"/>
        <family val="2"/>
        <charset val="1"/>
      </rPr>
      <t xml:space="preserve">其他焦距段型号：
</t>
    </r>
    <r>
      <rPr>
        <sz val="8.5"/>
        <color rgb="FF000000"/>
        <rFont val="宋体"/>
        <family val="0"/>
        <charset val="1"/>
      </rPr>
      <t xml:space="preserve">189.4 × 92.7 × 87.6 mm
</t>
    </r>
    <r>
      <rPr>
        <sz val="8.5"/>
        <color rgb="FF000000"/>
        <rFont val="Noto Sans CJK SC"/>
        <family val="2"/>
        <charset val="1"/>
      </rPr>
      <t xml:space="preserve">设备重量：</t>
    </r>
    <r>
      <rPr>
        <sz val="8.5"/>
        <color rgb="FF000000"/>
        <rFont val="宋体"/>
        <family val="0"/>
        <charset val="1"/>
      </rPr>
      <t xml:space="preserve">FWDA4-LS</t>
    </r>
    <r>
      <rPr>
        <sz val="8.5"/>
        <color rgb="FF000000"/>
        <rFont val="Noto Sans CJK SC"/>
        <family val="2"/>
        <charset val="1"/>
      </rPr>
      <t xml:space="preserve">型号：</t>
    </r>
    <r>
      <rPr>
        <sz val="8.5"/>
        <color rgb="FF000000"/>
        <rFont val="宋体"/>
        <family val="0"/>
        <charset val="1"/>
      </rPr>
      <t xml:space="preserve">630 g
FDWDA4-LS</t>
    </r>
    <r>
      <rPr>
        <sz val="8.5"/>
        <color rgb="FF000000"/>
        <rFont val="Noto Sans CJK SC"/>
        <family val="2"/>
        <charset val="1"/>
      </rPr>
      <t xml:space="preserve">型号：</t>
    </r>
    <r>
      <rPr>
        <sz val="8.5"/>
        <color rgb="FF000000"/>
        <rFont val="宋体"/>
        <family val="0"/>
        <charset val="1"/>
      </rPr>
      <t xml:space="preserve">610 g
</t>
    </r>
    <r>
      <rPr>
        <sz val="8.5"/>
        <color rgb="FF000000"/>
        <rFont val="Noto Sans CJK SC"/>
        <family val="2"/>
        <charset val="1"/>
      </rPr>
      <t xml:space="preserve">包装尺寸：</t>
    </r>
    <r>
      <rPr>
        <sz val="8.5"/>
        <color rgb="FF000000"/>
        <rFont val="宋体"/>
        <family val="0"/>
        <charset val="1"/>
      </rPr>
      <t xml:space="preserve">235 × 120 × 125 mm
</t>
    </r>
    <r>
      <rPr>
        <sz val="8.5"/>
        <color rgb="FF000000"/>
        <rFont val="Noto Sans CJK SC"/>
        <family val="2"/>
        <charset val="1"/>
      </rPr>
      <t xml:space="preserve">带包装重量：</t>
    </r>
    <r>
      <rPr>
        <sz val="8.5"/>
        <color rgb="FF000000"/>
        <rFont val="宋体"/>
        <family val="0"/>
        <charset val="1"/>
      </rPr>
      <t xml:space="preserve">FWDA4-LS</t>
    </r>
    <r>
      <rPr>
        <sz val="8.5"/>
        <color rgb="FF000000"/>
        <rFont val="Noto Sans CJK SC"/>
        <family val="2"/>
        <charset val="1"/>
      </rPr>
      <t xml:space="preserve">型号：</t>
    </r>
    <r>
      <rPr>
        <sz val="8.5"/>
        <color rgb="FF000000"/>
        <rFont val="宋体"/>
        <family val="0"/>
        <charset val="1"/>
      </rPr>
      <t xml:space="preserve">830 g
FDWDA4-LS</t>
    </r>
    <r>
      <rPr>
        <sz val="8.5"/>
        <color rgb="FF000000"/>
        <rFont val="Noto Sans CJK SC"/>
        <family val="2"/>
        <charset val="1"/>
      </rPr>
      <t xml:space="preserve">型号：</t>
    </r>
    <r>
      <rPr>
        <sz val="8.5"/>
        <color rgb="FF000000"/>
        <rFont val="宋体"/>
        <family val="0"/>
        <charset val="1"/>
      </rPr>
      <t xml:space="preserve">810 g
</t>
    </r>
    <r>
      <rPr>
        <sz val="8.5"/>
        <color rgb="FF000000"/>
        <rFont val="Noto Sans CJK SC"/>
        <family val="2"/>
        <charset val="1"/>
      </rPr>
      <t xml:space="preserve">启动及工作温湿度：</t>
    </r>
    <r>
      <rPr>
        <sz val="8.5"/>
        <color rgb="FF000000"/>
        <rFont val="宋体"/>
        <family val="0"/>
        <charset val="1"/>
      </rPr>
      <t xml:space="preserve">-30 ℃~60 ℃</t>
    </r>
    <r>
      <rPr>
        <sz val="8.5"/>
        <color rgb="FF000000"/>
        <rFont val="Noto Sans CJK SC"/>
        <family val="2"/>
        <charset val="1"/>
      </rPr>
      <t xml:space="preserve">，湿度小于</t>
    </r>
    <r>
      <rPr>
        <sz val="8.5"/>
        <color rgb="FF000000"/>
        <rFont val="宋体"/>
        <family val="0"/>
        <charset val="1"/>
      </rPr>
      <t xml:space="preserve">95%</t>
    </r>
    <r>
      <rPr>
        <sz val="8.5"/>
        <color rgb="FF000000"/>
        <rFont val="Noto Sans CJK SC"/>
        <family val="2"/>
        <charset val="1"/>
      </rPr>
      <t xml:space="preserve">（无凝结）
电流及功耗：</t>
    </r>
    <r>
      <rPr>
        <sz val="8.5"/>
        <color rgb="FF000000"/>
        <rFont val="宋体"/>
        <family val="0"/>
        <charset val="1"/>
      </rPr>
      <t xml:space="preserve">DC</t>
    </r>
    <r>
      <rPr>
        <sz val="8.5"/>
        <color rgb="FF000000"/>
        <rFont val="Noto Sans CJK SC"/>
        <family val="2"/>
        <charset val="1"/>
      </rPr>
      <t xml:space="preserve">：</t>
    </r>
    <r>
      <rPr>
        <sz val="8.5"/>
        <color rgb="FF000000"/>
        <rFont val="宋体"/>
        <family val="0"/>
        <charset val="1"/>
      </rPr>
      <t xml:space="preserve">12v,0.87A,MAX:10.5W
POE</t>
    </r>
    <r>
      <rPr>
        <sz val="8.5"/>
        <color rgb="FF000000"/>
        <rFont val="Noto Sans CJK SC"/>
        <family val="2"/>
        <charset val="1"/>
      </rPr>
      <t xml:space="preserve">：</t>
    </r>
    <r>
      <rPr>
        <sz val="8.5"/>
        <color rgb="FF000000"/>
        <rFont val="宋体"/>
        <family val="0"/>
        <charset val="1"/>
      </rPr>
      <t xml:space="preserve">PoE(IEEE 802.3af class 3)</t>
    </r>
    <r>
      <rPr>
        <sz val="8.5"/>
        <color rgb="FF000000"/>
        <rFont val="Noto Sans CJK SC"/>
        <family val="2"/>
        <charset val="1"/>
      </rPr>
      <t xml:space="preserve">，</t>
    </r>
    <r>
      <rPr>
        <sz val="8.5"/>
        <color rgb="FF000000"/>
        <rFont val="宋体"/>
        <family val="0"/>
        <charset val="1"/>
      </rPr>
      <t xml:space="preserve">MAX</t>
    </r>
    <r>
      <rPr>
        <sz val="8.5"/>
        <color rgb="FF000000"/>
        <rFont val="Noto Sans CJK SC"/>
        <family val="2"/>
        <charset val="1"/>
      </rPr>
      <t xml:space="preserve">：</t>
    </r>
    <r>
      <rPr>
        <sz val="8.5"/>
        <color rgb="FF000000"/>
        <rFont val="宋体"/>
        <family val="0"/>
        <charset val="1"/>
      </rPr>
      <t xml:space="preserve">12W
*FWDA4-LS</t>
    </r>
    <r>
      <rPr>
        <sz val="8.5"/>
        <color rgb="FF000000"/>
        <rFont val="Noto Sans CJK SC"/>
        <family val="2"/>
        <charset val="1"/>
      </rPr>
      <t xml:space="preserve">型号支持</t>
    </r>
    <r>
      <rPr>
        <sz val="8.5"/>
        <color rgb="FF000000"/>
        <rFont val="宋体"/>
        <family val="0"/>
        <charset val="1"/>
      </rPr>
      <t xml:space="preserve">PoE
</t>
    </r>
    <r>
      <rPr>
        <sz val="8.5"/>
        <color rgb="FF000000"/>
        <rFont val="Noto Sans CJK SC"/>
        <family val="2"/>
        <charset val="1"/>
      </rPr>
      <t xml:space="preserve">供电方式：</t>
    </r>
    <r>
      <rPr>
        <sz val="8.5"/>
        <color rgb="FF000000"/>
        <rFont val="宋体"/>
        <family val="0"/>
        <charset val="1"/>
      </rPr>
      <t xml:space="preserve">DC</t>
    </r>
    <r>
      <rPr>
        <sz val="8.5"/>
        <color rgb="FF000000"/>
        <rFont val="Noto Sans CJK SC"/>
        <family val="2"/>
        <charset val="1"/>
      </rPr>
      <t xml:space="preserve">：</t>
    </r>
    <r>
      <rPr>
        <sz val="8.5"/>
        <color rgb="FF000000"/>
        <rFont val="宋体"/>
        <family val="0"/>
        <charset val="1"/>
      </rPr>
      <t xml:space="preserve">12 V ± 25%</t>
    </r>
    <r>
      <rPr>
        <sz val="8.5"/>
        <color rgb="FF000000"/>
        <rFont val="Noto Sans CJK SC"/>
        <family val="2"/>
        <charset val="1"/>
      </rPr>
      <t xml:space="preserve">，支持防反接保护
</t>
    </r>
    <r>
      <rPr>
        <sz val="8.5"/>
        <color rgb="FF000000"/>
        <rFont val="宋体"/>
        <family val="0"/>
        <charset val="1"/>
      </rPr>
      <t xml:space="preserve">PoE</t>
    </r>
    <r>
      <rPr>
        <sz val="8.5"/>
        <color rgb="FF000000"/>
        <rFont val="Noto Sans CJK SC"/>
        <family val="2"/>
        <charset val="1"/>
      </rPr>
      <t xml:space="preserve">：</t>
    </r>
    <r>
      <rPr>
        <sz val="8.5"/>
        <color rgb="FF000000"/>
        <rFont val="宋体"/>
        <family val="0"/>
        <charset val="1"/>
      </rPr>
      <t xml:space="preserve">802.3af</t>
    </r>
    <r>
      <rPr>
        <sz val="8.5"/>
        <color rgb="FF000000"/>
        <rFont val="Noto Sans CJK SC"/>
        <family val="2"/>
        <charset val="1"/>
      </rPr>
      <t xml:space="preserve">，</t>
    </r>
    <r>
      <rPr>
        <sz val="8.5"/>
        <color rgb="FF000000"/>
        <rFont val="宋体"/>
        <family val="0"/>
        <charset val="1"/>
      </rPr>
      <t xml:space="preserve">Class 3
*FWDA4-LS</t>
    </r>
    <r>
      <rPr>
        <sz val="8.5"/>
        <color rgb="FF000000"/>
        <rFont val="Noto Sans CJK SC"/>
        <family val="2"/>
        <charset val="1"/>
      </rPr>
      <t xml:space="preserve">型号支持</t>
    </r>
    <r>
      <rPr>
        <sz val="8.5"/>
        <color rgb="FF000000"/>
        <rFont val="宋体"/>
        <family val="0"/>
        <charset val="1"/>
      </rPr>
      <t xml:space="preserve">PoE
</t>
    </r>
    <r>
      <rPr>
        <sz val="8.5"/>
        <color rgb="FF000000"/>
        <rFont val="Noto Sans CJK SC"/>
        <family val="2"/>
        <charset val="1"/>
      </rPr>
      <t xml:space="preserve">电源接口类型：</t>
    </r>
    <r>
      <rPr>
        <sz val="8.5"/>
        <color rgb="FF000000"/>
        <rFont val="宋体"/>
        <family val="0"/>
        <charset val="1"/>
      </rPr>
      <t xml:space="preserve">Ø5.5 mm</t>
    </r>
    <r>
      <rPr>
        <sz val="8.5"/>
        <color rgb="FF000000"/>
        <rFont val="Noto Sans CJK SC"/>
        <family val="2"/>
        <charset val="1"/>
      </rPr>
      <t xml:space="preserve">圆口 
防护：</t>
    </r>
    <r>
      <rPr>
        <sz val="8.5"/>
        <color rgb="FF000000"/>
        <rFont val="宋体"/>
        <family val="0"/>
        <charset val="1"/>
      </rPr>
      <t xml:space="preserve">IP66 </t>
    </r>
  </si>
  <si>
    <t xml:space="preserve">台</t>
  </si>
  <si>
    <t xml:space="preserve">新增</t>
  </si>
  <si>
    <t xml:space="preserve">华汪围墙周界补盲</t>
  </si>
  <si>
    <t xml:space="preserve">网络高清枪型摄像机（重点部位补盲）</t>
  </si>
  <si>
    <r>
      <rPr>
        <sz val="9"/>
        <color rgb="FF595959"/>
        <rFont val="Noto Sans CJK SC"/>
        <family val="2"/>
        <charset val="1"/>
      </rPr>
      <t xml:space="preserve">东明港运围墙</t>
    </r>
    <r>
      <rPr>
        <sz val="9"/>
        <color rgb="FF595959"/>
        <rFont val="宋体"/>
        <family val="0"/>
        <charset val="1"/>
      </rPr>
      <t xml:space="preserve">/</t>
    </r>
    <r>
      <rPr>
        <sz val="9"/>
        <color rgb="FF595959"/>
        <rFont val="Noto Sans CJK SC"/>
        <family val="2"/>
        <charset val="1"/>
      </rPr>
      <t xml:space="preserve">重点设备</t>
    </r>
  </si>
  <si>
    <r>
      <rPr>
        <sz val="10"/>
        <color rgb="FF000000"/>
        <rFont val="Noto Sans CJK SC"/>
        <family val="2"/>
        <charset val="1"/>
      </rPr>
      <t xml:space="preserve">宽动态卡口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枪型摄像机（门岗补盲）</t>
    </r>
  </si>
  <si>
    <r>
      <rPr>
        <sz val="9"/>
        <color rgb="FF1F4E79"/>
        <rFont val="Noto Sans CJK SC"/>
        <family val="2"/>
        <charset val="1"/>
      </rPr>
      <t xml:space="preserve">海康威视
</t>
    </r>
    <r>
      <rPr>
        <sz val="9"/>
        <color rgb="FF1F4E79"/>
        <rFont val="宋体"/>
        <family val="0"/>
        <charset val="1"/>
      </rPr>
      <t xml:space="preserve">DS-2CD224HJX-SZBZ</t>
    </r>
  </si>
  <si>
    <r>
      <rPr>
        <sz val="8.5"/>
        <color rgb="FF000000"/>
        <rFont val="Noto Sans CJK SC"/>
        <family val="2"/>
        <charset val="1"/>
      </rPr>
      <t xml:space="preserve">海康威视轻智能筒型网络摄像机，支持鳞镜补光、</t>
    </r>
    <r>
      <rPr>
        <sz val="8.5"/>
        <color rgb="FF000000"/>
        <rFont val="宋体"/>
        <family val="0"/>
        <charset val="1"/>
      </rPr>
      <t xml:space="preserve">F1.0</t>
    </r>
    <r>
      <rPr>
        <sz val="8.5"/>
        <color rgb="FF000000"/>
        <rFont val="Noto Sans CJK SC"/>
        <family val="2"/>
        <charset val="1"/>
      </rPr>
      <t xml:space="preserve">光圈镜头，夜间成像效果更出色
采用</t>
    </r>
    <r>
      <rPr>
        <sz val="8.5"/>
        <color rgb="FF000000"/>
        <rFont val="宋体"/>
        <family val="0"/>
        <charset val="1"/>
      </rPr>
      <t xml:space="preserve">1/1.8"</t>
    </r>
    <r>
      <rPr>
        <sz val="8.5"/>
        <color rgb="FF000000"/>
        <rFont val="Noto Sans CJK SC"/>
        <family val="2"/>
        <charset val="1"/>
      </rPr>
      <t xml:space="preserve">背照式传感器，相比传统摄像机前照式传感器，增加的进光量对图像质量有明显的改善作用，</t>
    </r>
    <r>
      <rPr>
        <sz val="8.5"/>
        <color rgb="FF000000"/>
        <rFont val="宋体"/>
        <family val="0"/>
        <charset val="1"/>
      </rPr>
      <t xml:space="preserve">F1.0</t>
    </r>
    <r>
      <rPr>
        <sz val="8.5"/>
        <color rgb="FF000000"/>
        <rFont val="Noto Sans CJK SC"/>
        <family val="2"/>
        <charset val="1"/>
      </rPr>
      <t xml:space="preserve">超大光圈镜头，日夜臻全彩成像
支持智能资源模式：人脸抓拍（默认），</t>
    </r>
    <r>
      <rPr>
        <sz val="8.5"/>
        <color rgb="FF000000"/>
        <rFont val="宋体"/>
        <family val="0"/>
        <charset val="1"/>
      </rPr>
      <t xml:space="preserve">Smart</t>
    </r>
    <r>
      <rPr>
        <sz val="8.5"/>
        <color rgb="FF000000"/>
        <rFont val="Noto Sans CJK SC"/>
        <family val="2"/>
        <charset val="1"/>
      </rPr>
      <t xml:space="preserve">事件，热度图，人数统计，道路监控，普通监控
适用于混行道路、重点出入口、园区、路口路段等需要进行人车管理的场景
鳞镜补光：采用隐藏式灯珠设计，通过鳞甲密布排列形成的镜面反射出光，见光不见灯；增加发光面积，降低聚光效果，补光柔和均匀
</t>
    </r>
    <r>
      <rPr>
        <sz val="8.5"/>
        <color rgb="FF000000"/>
        <rFont val="宋体"/>
        <family val="0"/>
        <charset val="1"/>
      </rPr>
      <t xml:space="preserve">Smart</t>
    </r>
    <r>
      <rPr>
        <sz val="8.5"/>
        <color rgb="FF000000"/>
        <rFont val="Noto Sans CJK SC"/>
        <family val="2"/>
        <charset val="1"/>
      </rPr>
      <t xml:space="preserve">录像：支持断网续传功能保证录像不丢失，配合</t>
    </r>
    <r>
      <rPr>
        <sz val="8.5"/>
        <color rgb="FF000000"/>
        <rFont val="宋体"/>
        <family val="0"/>
        <charset val="1"/>
      </rPr>
      <t xml:space="preserve">Smart NVR/SD</t>
    </r>
    <r>
      <rPr>
        <sz val="8.5"/>
        <color rgb="FF000000"/>
        <rFont val="Noto Sans CJK SC"/>
        <family val="2"/>
        <charset val="1"/>
      </rPr>
      <t xml:space="preserve">卡实现事件录像的智能后检索、分析和浓缩播放，</t>
    </r>
    <r>
      <rPr>
        <sz val="8.5"/>
        <color rgb="FF000000"/>
        <rFont val="宋体"/>
        <family val="0"/>
        <charset val="1"/>
      </rPr>
      <t xml:space="preserve">Smart</t>
    </r>
    <r>
      <rPr>
        <sz val="8.5"/>
        <color rgb="FF000000"/>
        <rFont val="Noto Sans CJK SC"/>
        <family val="2"/>
        <charset val="1"/>
      </rPr>
      <t xml:space="preserve">编码：支持低码率、低延时、</t>
    </r>
    <r>
      <rPr>
        <sz val="8.5"/>
        <color rgb="FF000000"/>
        <rFont val="宋体"/>
        <family val="0"/>
        <charset val="1"/>
      </rPr>
      <t xml:space="preserve">ROI</t>
    </r>
    <r>
      <rPr>
        <sz val="8.5"/>
        <color rgb="FF000000"/>
        <rFont val="Noto Sans CJK SC"/>
        <family val="2"/>
        <charset val="1"/>
      </rPr>
      <t xml:space="preserve">感兴趣区域增强编码、</t>
    </r>
    <r>
      <rPr>
        <sz val="8.5"/>
        <color rgb="FF000000"/>
        <rFont val="宋体"/>
        <family val="0"/>
        <charset val="1"/>
      </rPr>
      <t xml:space="preserve">SVC</t>
    </r>
    <r>
      <rPr>
        <sz val="8.5"/>
        <color rgb="FF000000"/>
        <rFont val="Noto Sans CJK SC"/>
        <family val="2"/>
        <charset val="1"/>
      </rPr>
      <t xml:space="preserve">自适应编码技术，支持</t>
    </r>
    <r>
      <rPr>
        <sz val="8.5"/>
        <color rgb="FF000000"/>
        <rFont val="宋体"/>
        <family val="0"/>
        <charset val="1"/>
      </rPr>
      <t xml:space="preserve">Smart265</t>
    </r>
    <r>
      <rPr>
        <sz val="8.5"/>
        <color rgb="FF000000"/>
        <rFont val="Noto Sans CJK SC"/>
        <family val="2"/>
        <charset val="1"/>
      </rPr>
      <t xml:space="preserve">编码
系统功能：支持开放型网络视频接口、</t>
    </r>
    <r>
      <rPr>
        <sz val="8.5"/>
        <color rgb="FF000000"/>
        <rFont val="宋体"/>
        <family val="0"/>
        <charset val="1"/>
      </rPr>
      <t xml:space="preserve">ISAPI</t>
    </r>
    <r>
      <rPr>
        <sz val="8.5"/>
        <color rgb="FF000000"/>
        <rFont val="Noto Sans CJK SC"/>
        <family val="2"/>
        <charset val="1"/>
      </rPr>
      <t xml:space="preserve">、</t>
    </r>
    <r>
      <rPr>
        <sz val="8.5"/>
        <color rgb="FF000000"/>
        <rFont val="宋体"/>
        <family val="0"/>
        <charset val="1"/>
      </rPr>
      <t xml:space="preserve">GB/T28181</t>
    </r>
    <r>
      <rPr>
        <sz val="8.5"/>
        <color rgb="FF000000"/>
        <rFont val="Noto Sans CJK SC"/>
        <family val="2"/>
        <charset val="1"/>
      </rPr>
      <t xml:space="preserve">和</t>
    </r>
    <r>
      <rPr>
        <sz val="8.5"/>
        <color rgb="FF000000"/>
        <rFont val="宋体"/>
        <family val="0"/>
        <charset val="1"/>
      </rPr>
      <t xml:space="preserve">E-HOME</t>
    </r>
    <r>
      <rPr>
        <sz val="8.5"/>
        <color rgb="FF000000"/>
        <rFont val="Noto Sans CJK SC"/>
        <family val="2"/>
        <charset val="1"/>
      </rPr>
      <t xml:space="preserve">协议接入；支持三码流技术，支持同时</t>
    </r>
    <r>
      <rPr>
        <sz val="8.5"/>
        <color rgb="FF000000"/>
        <rFont val="宋体"/>
        <family val="0"/>
        <charset val="1"/>
      </rPr>
      <t xml:space="preserve">20</t>
    </r>
    <r>
      <rPr>
        <sz val="8.5"/>
        <color rgb="FF000000"/>
        <rFont val="Noto Sans CJK SC"/>
        <family val="2"/>
        <charset val="1"/>
      </rPr>
      <t xml:space="preserve">路取流；支持萤石平台接入
宽动态：支持宽动态范围达</t>
    </r>
    <r>
      <rPr>
        <sz val="8.5"/>
        <color rgb="FF000000"/>
        <rFont val="宋体"/>
        <family val="0"/>
        <charset val="1"/>
      </rPr>
      <t xml:space="preserve">120 dB</t>
    </r>
    <r>
      <rPr>
        <sz val="8.5"/>
        <color rgb="FF000000"/>
        <rFont val="Noto Sans CJK SC"/>
        <family val="2"/>
        <charset val="1"/>
      </rPr>
      <t xml:space="preserve">，适合逆光环境监控
图像相关：支持</t>
    </r>
    <r>
      <rPr>
        <sz val="8.5"/>
        <color rgb="FF000000"/>
        <rFont val="宋体"/>
        <family val="0"/>
        <charset val="1"/>
      </rPr>
      <t xml:space="preserve">400</t>
    </r>
    <r>
      <rPr>
        <sz val="8.5"/>
        <color rgb="FF000000"/>
        <rFont val="Noto Sans CJK SC"/>
        <family val="2"/>
        <charset val="1"/>
      </rPr>
      <t xml:space="preserve">万像素 </t>
    </r>
    <r>
      <rPr>
        <sz val="8.5"/>
        <color rgb="FF000000"/>
        <rFont val="宋体"/>
        <family val="0"/>
        <charset val="1"/>
      </rPr>
      <t xml:space="preserve">@60 fps</t>
    </r>
    <r>
      <rPr>
        <sz val="8.5"/>
        <color rgb="FF000000"/>
        <rFont val="Noto Sans CJK SC"/>
        <family val="2"/>
        <charset val="1"/>
      </rPr>
      <t xml:space="preserve">实时帧率，图像更流畅；支持透雾，电子防抖，并具有多种白平衡模式，适合各种场景需求
安全服务：支持三级用户权限管理，支持授权的用户和密码，支持</t>
    </r>
    <r>
      <rPr>
        <sz val="8.5"/>
        <color rgb="FF000000"/>
        <rFont val="宋体"/>
        <family val="0"/>
        <charset val="1"/>
      </rPr>
      <t xml:space="preserve">IP</t>
    </r>
    <r>
      <rPr>
        <sz val="8.5"/>
        <color rgb="FF000000"/>
        <rFont val="Noto Sans CJK SC"/>
        <family val="2"/>
        <charset val="1"/>
      </rPr>
      <t xml:space="preserve">地址过滤
接口功能：内置</t>
    </r>
    <r>
      <rPr>
        <sz val="8.5"/>
        <color rgb="FF000000"/>
        <rFont val="宋体"/>
        <family val="0"/>
        <charset val="1"/>
      </rPr>
      <t xml:space="preserve">MicroSD/MicroSDHC/MicroSDXC</t>
    </r>
    <r>
      <rPr>
        <sz val="8.5"/>
        <color rgb="FF000000"/>
        <rFont val="Noto Sans CJK SC"/>
        <family val="2"/>
        <charset val="1"/>
      </rPr>
      <t xml:space="preserve">插槽，最大支持</t>
    </r>
    <r>
      <rPr>
        <sz val="8.5"/>
        <color rgb="FF000000"/>
        <rFont val="宋体"/>
        <family val="0"/>
        <charset val="1"/>
      </rPr>
      <t xml:space="preserve">512 GB</t>
    </r>
    <r>
      <rPr>
        <sz val="8.5"/>
        <color rgb="FF000000"/>
        <rFont val="Noto Sans CJK SC"/>
        <family val="2"/>
        <charset val="1"/>
      </rPr>
      <t xml:space="preserve">；支持</t>
    </r>
    <r>
      <rPr>
        <sz val="8.5"/>
        <color rgb="FF000000"/>
        <rFont val="宋体"/>
        <family val="0"/>
        <charset val="1"/>
      </rPr>
      <t xml:space="preserve">10 M/100 M</t>
    </r>
    <r>
      <rPr>
        <sz val="8.5"/>
        <color rgb="FF000000"/>
        <rFont val="Noto Sans CJK SC"/>
        <family val="2"/>
        <charset val="1"/>
      </rPr>
      <t xml:space="preserve">自适应网口；支持一对报警输入输出
支持电量检测：支持设备功耗检测，支持设备功耗报表展示，报表类型支持日报表和周报表（默认日报表，单位瓦时（</t>
    </r>
    <r>
      <rPr>
        <sz val="8.5"/>
        <color rgb="FF000000"/>
        <rFont val="宋体"/>
        <family val="0"/>
        <charset val="1"/>
      </rPr>
      <t xml:space="preserve">Wh</t>
    </r>
    <r>
      <rPr>
        <sz val="8.5"/>
        <color rgb="FF000000"/>
        <rFont val="Noto Sans CJK SC"/>
        <family val="2"/>
        <charset val="1"/>
      </rPr>
      <t xml:space="preserve">））
</t>
    </r>
    <r>
      <rPr>
        <sz val="8.5"/>
        <color rgb="FF000000"/>
        <rFont val="宋体"/>
        <family val="0"/>
        <charset val="1"/>
      </rPr>
      <t xml:space="preserve">Smart</t>
    </r>
    <r>
      <rPr>
        <sz val="8.5"/>
        <color rgb="FF000000"/>
        <rFont val="Noto Sans CJK SC"/>
        <family val="2"/>
        <charset val="1"/>
      </rPr>
      <t xml:space="preserve">事件模式：徘徊侦测，人员聚集侦测，快速运动侦测，停车侦测，物品拿取侦测，物品遗留侦测，场景变更侦测，音频陡升侦测，音频陡降侦测，音频有无侦测，虚焦侦测，支持联动声光预警
传感器类型：</t>
    </r>
    <r>
      <rPr>
        <sz val="8.5"/>
        <color rgb="FF000000"/>
        <rFont val="宋体"/>
        <family val="0"/>
        <charset val="1"/>
      </rPr>
      <t xml:space="preserve">1/1.8" Progressive Scan CMOS
</t>
    </r>
    <r>
      <rPr>
        <sz val="8.5"/>
        <color rgb="FF000000"/>
        <rFont val="Noto Sans CJK SC"/>
        <family val="2"/>
        <charset val="1"/>
      </rPr>
      <t xml:space="preserve">最低照度：彩色：</t>
    </r>
    <r>
      <rPr>
        <sz val="8.5"/>
        <color rgb="FF000000"/>
        <rFont val="宋体"/>
        <family val="0"/>
        <charset val="1"/>
      </rPr>
      <t xml:space="preserve">0.0005 Lux @</t>
    </r>
    <r>
      <rPr>
        <sz val="8.5"/>
        <color rgb="FF000000"/>
        <rFont val="Noto Sans CJK SC"/>
        <family val="2"/>
        <charset val="1"/>
      </rPr>
      <t xml:space="preserve">（</t>
    </r>
    <r>
      <rPr>
        <sz val="8.5"/>
        <color rgb="FF000000"/>
        <rFont val="宋体"/>
        <family val="0"/>
        <charset val="1"/>
      </rPr>
      <t xml:space="preserve">F1.0</t>
    </r>
    <r>
      <rPr>
        <sz val="8.5"/>
        <color rgb="FF000000"/>
        <rFont val="Noto Sans CJK SC"/>
        <family val="2"/>
        <charset val="1"/>
      </rPr>
      <t xml:space="preserve">，</t>
    </r>
    <r>
      <rPr>
        <sz val="8.5"/>
        <color rgb="FF000000"/>
        <rFont val="宋体"/>
        <family val="0"/>
        <charset val="1"/>
      </rPr>
      <t xml:space="preserve">AGC ON</t>
    </r>
    <r>
      <rPr>
        <sz val="8.5"/>
        <color rgb="FF000000"/>
        <rFont val="Noto Sans CJK SC"/>
        <family val="2"/>
        <charset val="1"/>
      </rPr>
      <t xml:space="preserve">），</t>
    </r>
    <r>
      <rPr>
        <sz val="8.5"/>
        <color rgb="FF000000"/>
        <rFont val="宋体"/>
        <family val="0"/>
        <charset val="1"/>
      </rPr>
      <t xml:space="preserve">0 Lux with Light
</t>
    </r>
    <r>
      <rPr>
        <sz val="8.5"/>
        <color rgb="FF000000"/>
        <rFont val="Noto Sans CJK SC"/>
        <family val="2"/>
        <charset val="1"/>
      </rPr>
      <t xml:space="preserve">宽动态：</t>
    </r>
    <r>
      <rPr>
        <sz val="8.5"/>
        <color rgb="FF000000"/>
        <rFont val="宋体"/>
        <family val="0"/>
        <charset val="1"/>
      </rPr>
      <t xml:space="preserve">120 dB 
</t>
    </r>
    <r>
      <rPr>
        <sz val="8.5"/>
        <color rgb="FF000000"/>
        <rFont val="Noto Sans CJK SC"/>
        <family val="2"/>
        <charset val="1"/>
      </rPr>
      <t xml:space="preserve">焦距</t>
    </r>
    <r>
      <rPr>
        <sz val="8.5"/>
        <color rgb="FF000000"/>
        <rFont val="宋体"/>
        <family val="0"/>
        <charset val="1"/>
      </rPr>
      <t xml:space="preserve">&amp;</t>
    </r>
    <r>
      <rPr>
        <sz val="8.5"/>
        <color rgb="FF000000"/>
        <rFont val="Noto Sans CJK SC"/>
        <family val="2"/>
        <charset val="1"/>
      </rPr>
      <t xml:space="preserve">视场角：</t>
    </r>
    <r>
      <rPr>
        <sz val="8.5"/>
        <color rgb="FF000000"/>
        <rFont val="宋体"/>
        <family val="0"/>
        <charset val="1"/>
      </rPr>
      <t xml:space="preserve">2.8 mm</t>
    </r>
    <r>
      <rPr>
        <sz val="8.5"/>
        <color rgb="FF000000"/>
        <rFont val="Noto Sans CJK SC"/>
        <family val="2"/>
        <charset val="1"/>
      </rPr>
      <t xml:space="preserve">：水平视场角：</t>
    </r>
    <r>
      <rPr>
        <sz val="8.5"/>
        <color rgb="FF000000"/>
        <rFont val="宋体"/>
        <family val="0"/>
        <charset val="1"/>
      </rPr>
      <t xml:space="preserve">105.7°</t>
    </r>
    <r>
      <rPr>
        <sz val="8.5"/>
        <color rgb="FF000000"/>
        <rFont val="Noto Sans CJK SC"/>
        <family val="2"/>
        <charset val="1"/>
      </rPr>
      <t xml:space="preserve">，垂直视场角：</t>
    </r>
    <r>
      <rPr>
        <sz val="8.5"/>
        <color rgb="FF000000"/>
        <rFont val="宋体"/>
        <family val="0"/>
        <charset val="1"/>
      </rPr>
      <t xml:space="preserve">57.3°</t>
    </r>
    <r>
      <rPr>
        <sz val="8.5"/>
        <color rgb="FF000000"/>
        <rFont val="Noto Sans CJK SC"/>
        <family val="2"/>
        <charset val="1"/>
      </rPr>
      <t xml:space="preserve">，对角视场角：</t>
    </r>
    <r>
      <rPr>
        <sz val="8.5"/>
        <color rgb="FF000000"/>
        <rFont val="宋体"/>
        <family val="0"/>
        <charset val="1"/>
      </rPr>
      <t xml:space="preserve">124.9°
4 mm</t>
    </r>
    <r>
      <rPr>
        <sz val="8.5"/>
        <color rgb="FF000000"/>
        <rFont val="Noto Sans CJK SC"/>
        <family val="2"/>
        <charset val="1"/>
      </rPr>
      <t xml:space="preserve">：水平视场角：</t>
    </r>
    <r>
      <rPr>
        <sz val="8.5"/>
        <color rgb="FF000000"/>
        <rFont val="宋体"/>
        <family val="0"/>
        <charset val="1"/>
      </rPr>
      <t xml:space="preserve">88.7°</t>
    </r>
    <r>
      <rPr>
        <sz val="8.5"/>
        <color rgb="FF000000"/>
        <rFont val="Noto Sans CJK SC"/>
        <family val="2"/>
        <charset val="1"/>
      </rPr>
      <t xml:space="preserve">，垂直视场角：</t>
    </r>
    <r>
      <rPr>
        <sz val="8.5"/>
        <color rgb="FF000000"/>
        <rFont val="宋体"/>
        <family val="0"/>
        <charset val="1"/>
      </rPr>
      <t xml:space="preserve">44.7°</t>
    </r>
    <r>
      <rPr>
        <sz val="8.5"/>
        <color rgb="FF000000"/>
        <rFont val="Noto Sans CJK SC"/>
        <family val="2"/>
        <charset val="1"/>
      </rPr>
      <t xml:space="preserve">，对角视场角：</t>
    </r>
    <r>
      <rPr>
        <sz val="8.5"/>
        <color rgb="FF000000"/>
        <rFont val="宋体"/>
        <family val="0"/>
        <charset val="1"/>
      </rPr>
      <t xml:space="preserve">107.5°
6 mm</t>
    </r>
    <r>
      <rPr>
        <sz val="8.5"/>
        <color rgb="FF000000"/>
        <rFont val="Noto Sans CJK SC"/>
        <family val="2"/>
        <charset val="1"/>
      </rPr>
      <t xml:space="preserve">：水平视场角：</t>
    </r>
    <r>
      <rPr>
        <sz val="8.5"/>
        <color rgb="FF000000"/>
        <rFont val="宋体"/>
        <family val="0"/>
        <charset val="1"/>
      </rPr>
      <t xml:space="preserve">54.8°</t>
    </r>
    <r>
      <rPr>
        <sz val="8.5"/>
        <color rgb="FF000000"/>
        <rFont val="Noto Sans CJK SC"/>
        <family val="2"/>
        <charset val="1"/>
      </rPr>
      <t xml:space="preserve">，垂直视场角：</t>
    </r>
    <r>
      <rPr>
        <sz val="8.5"/>
        <color rgb="FF000000"/>
        <rFont val="宋体"/>
        <family val="0"/>
        <charset val="1"/>
      </rPr>
      <t xml:space="preserve">29.2°</t>
    </r>
    <r>
      <rPr>
        <sz val="8.5"/>
        <color rgb="FF000000"/>
        <rFont val="Noto Sans CJK SC"/>
        <family val="2"/>
        <charset val="1"/>
      </rPr>
      <t xml:space="preserve">，对角视场角：</t>
    </r>
    <r>
      <rPr>
        <sz val="8.5"/>
        <color rgb="FF000000"/>
        <rFont val="宋体"/>
        <family val="0"/>
        <charset val="1"/>
      </rPr>
      <t xml:space="preserve">64.2°
8 mm</t>
    </r>
    <r>
      <rPr>
        <sz val="8.5"/>
        <color rgb="FF000000"/>
        <rFont val="Noto Sans CJK SC"/>
        <family val="2"/>
        <charset val="1"/>
      </rPr>
      <t xml:space="preserve">：水平视场角：</t>
    </r>
    <r>
      <rPr>
        <sz val="8.5"/>
        <color rgb="FF000000"/>
        <rFont val="宋体"/>
        <family val="0"/>
        <charset val="1"/>
      </rPr>
      <t xml:space="preserve">40.7°</t>
    </r>
    <r>
      <rPr>
        <sz val="8.5"/>
        <color rgb="FF000000"/>
        <rFont val="Noto Sans CJK SC"/>
        <family val="2"/>
        <charset val="1"/>
      </rPr>
      <t xml:space="preserve">，垂直视场角：</t>
    </r>
    <r>
      <rPr>
        <sz val="8.5"/>
        <color rgb="FF000000"/>
        <rFont val="宋体"/>
        <family val="0"/>
        <charset val="1"/>
      </rPr>
      <t xml:space="preserve">22.9°</t>
    </r>
    <r>
      <rPr>
        <sz val="8.5"/>
        <color rgb="FF000000"/>
        <rFont val="Noto Sans CJK SC"/>
        <family val="2"/>
        <charset val="1"/>
      </rPr>
      <t xml:space="preserve">，对角视场角：</t>
    </r>
    <r>
      <rPr>
        <sz val="8.5"/>
        <color rgb="FF000000"/>
        <rFont val="宋体"/>
        <family val="0"/>
        <charset val="1"/>
      </rPr>
      <t xml:space="preserve">46.6° 
</t>
    </r>
    <r>
      <rPr>
        <sz val="8.5"/>
        <color rgb="FF000000"/>
        <rFont val="Noto Sans CJK SC"/>
        <family val="2"/>
        <charset val="1"/>
      </rPr>
      <t xml:space="preserve">补光灯类型：鳞镜补光，暖白光，</t>
    </r>
    <r>
      <rPr>
        <sz val="8.5"/>
        <color rgb="FF000000"/>
        <rFont val="宋体"/>
        <family val="0"/>
        <charset val="1"/>
      </rPr>
      <t xml:space="preserve">4</t>
    </r>
    <r>
      <rPr>
        <sz val="8.5"/>
        <color rgb="FF000000"/>
        <rFont val="Noto Sans CJK SC"/>
        <family val="2"/>
        <charset val="1"/>
      </rPr>
      <t xml:space="preserve">颗灯珠
补光距离：白光：普通监控：最远可达</t>
    </r>
    <r>
      <rPr>
        <sz val="8.5"/>
        <color rgb="FF000000"/>
        <rFont val="宋体"/>
        <family val="0"/>
        <charset val="1"/>
      </rPr>
      <t xml:space="preserve">30 m</t>
    </r>
    <r>
      <rPr>
        <sz val="8.5"/>
        <color rgb="FF000000"/>
        <rFont val="Noto Sans CJK SC"/>
        <family val="2"/>
        <charset val="1"/>
      </rPr>
      <t xml:space="preserve">，人脸抓拍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识别：最远可达</t>
    </r>
    <r>
      <rPr>
        <sz val="8.5"/>
        <color rgb="FF000000"/>
        <rFont val="宋体"/>
        <family val="0"/>
        <charset val="1"/>
      </rPr>
      <t xml:space="preserve">5 m
</t>
    </r>
    <r>
      <rPr>
        <sz val="8.5"/>
        <color rgb="FF000000"/>
        <rFont val="Noto Sans CJK SC"/>
        <family val="2"/>
        <charset val="1"/>
      </rPr>
      <t xml:space="preserve">防补光过曝：支持防补光过曝开启和关闭，开启下支持自动和手动，手动支持根据距离等级控制补光灯亮度 
最大图像尺寸：</t>
    </r>
    <r>
      <rPr>
        <sz val="8.5"/>
        <color rgb="FF000000"/>
        <rFont val="宋体"/>
        <family val="0"/>
        <charset val="1"/>
      </rPr>
      <t xml:space="preserve">2560 × 1440
</t>
    </r>
    <r>
      <rPr>
        <sz val="8.5"/>
        <color rgb="FF000000"/>
        <rFont val="Noto Sans CJK SC"/>
        <family val="2"/>
        <charset val="1"/>
      </rPr>
      <t xml:space="preserve">视频压缩标准：</t>
    </r>
    <r>
      <rPr>
        <sz val="8.5"/>
        <color rgb="FF000000"/>
        <rFont val="宋体"/>
        <family val="0"/>
        <charset val="1"/>
      </rPr>
      <t xml:space="preserve">H.265/H.264/MJPEG 
</t>
    </r>
    <r>
      <rPr>
        <sz val="8.5"/>
        <color rgb="FF000000"/>
        <rFont val="Noto Sans CJK SC"/>
        <family val="2"/>
        <charset val="1"/>
      </rPr>
      <t xml:space="preserve">网络：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个</t>
    </r>
    <r>
      <rPr>
        <sz val="8.5"/>
        <color rgb="FF000000"/>
        <rFont val="宋体"/>
        <family val="0"/>
        <charset val="1"/>
      </rPr>
      <t xml:space="preserve">RJ45 10 M/100 M</t>
    </r>
    <r>
      <rPr>
        <sz val="8.5"/>
        <color rgb="FF000000"/>
        <rFont val="Noto Sans CJK SC"/>
        <family val="2"/>
        <charset val="1"/>
      </rPr>
      <t xml:space="preserve">自适应以太网口
</t>
    </r>
    <r>
      <rPr>
        <sz val="8.5"/>
        <color rgb="FF000000"/>
        <rFont val="宋体"/>
        <family val="0"/>
        <charset val="1"/>
      </rPr>
      <t xml:space="preserve">SD</t>
    </r>
    <r>
      <rPr>
        <sz val="8.5"/>
        <color rgb="FF000000"/>
        <rFont val="Noto Sans CJK SC"/>
        <family val="2"/>
        <charset val="1"/>
      </rPr>
      <t xml:space="preserve">卡扩展：内置</t>
    </r>
    <r>
      <rPr>
        <sz val="8.5"/>
        <color rgb="FF000000"/>
        <rFont val="宋体"/>
        <family val="0"/>
        <charset val="1"/>
      </rPr>
      <t xml:space="preserve">MicroSD/MicroSDHC/MicroSDXC </t>
    </r>
    <r>
      <rPr>
        <sz val="8.5"/>
        <color rgb="FF000000"/>
        <rFont val="Noto Sans CJK SC"/>
        <family val="2"/>
        <charset val="1"/>
      </rPr>
      <t xml:space="preserve">插槽，最大支持</t>
    </r>
    <r>
      <rPr>
        <sz val="8.5"/>
        <color rgb="FF000000"/>
        <rFont val="宋体"/>
        <family val="0"/>
        <charset val="1"/>
      </rPr>
      <t xml:space="preserve">512 GB
</t>
    </r>
    <r>
      <rPr>
        <sz val="8.5"/>
        <color rgb="FF000000"/>
        <rFont val="Noto Sans CJK SC"/>
        <family val="2"/>
        <charset val="1"/>
      </rPr>
      <t xml:space="preserve">音频：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路输入（</t>
    </r>
    <r>
      <rPr>
        <sz val="8.5"/>
        <color rgb="FF000000"/>
        <rFont val="宋体"/>
        <family val="0"/>
        <charset val="1"/>
      </rPr>
      <t xml:space="preserve">Line in</t>
    </r>
    <r>
      <rPr>
        <sz val="8.5"/>
        <color rgb="FF000000"/>
        <rFont val="Noto Sans CJK SC"/>
        <family val="2"/>
        <charset val="1"/>
      </rPr>
      <t xml:space="preserve">），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路输出（</t>
    </r>
    <r>
      <rPr>
        <sz val="8.5"/>
        <color rgb="FF000000"/>
        <rFont val="宋体"/>
        <family val="0"/>
        <charset val="1"/>
      </rPr>
      <t xml:space="preserve">Line out</t>
    </r>
    <r>
      <rPr>
        <sz val="8.5"/>
        <color rgb="FF000000"/>
        <rFont val="Noto Sans CJK SC"/>
        <family val="2"/>
        <charset val="1"/>
      </rPr>
      <t xml:space="preserve">），</t>
    </r>
    <r>
      <rPr>
        <sz val="8.5"/>
        <color rgb="FF000000"/>
        <rFont val="宋体"/>
        <family val="0"/>
        <charset val="1"/>
      </rPr>
      <t xml:space="preserve">2</t>
    </r>
    <r>
      <rPr>
        <sz val="8.5"/>
        <color rgb="FF000000"/>
        <rFont val="Noto Sans CJK SC"/>
        <family val="2"/>
        <charset val="1"/>
      </rPr>
      <t xml:space="preserve">个内置麦克风，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个内置扬声器
报警：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路输入，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路输出（报警输入支持开关量，报警输出最大支持</t>
    </r>
    <r>
      <rPr>
        <sz val="8.5"/>
        <color rgb="FF000000"/>
        <rFont val="宋体"/>
        <family val="0"/>
        <charset val="1"/>
      </rPr>
      <t xml:space="preserve">DC12 V</t>
    </r>
    <r>
      <rPr>
        <sz val="8.5"/>
        <color rgb="FF000000"/>
        <rFont val="Noto Sans CJK SC"/>
        <family val="2"/>
        <charset val="1"/>
      </rPr>
      <t xml:space="preserve">，</t>
    </r>
    <r>
      <rPr>
        <sz val="8.5"/>
        <color rgb="FF000000"/>
        <rFont val="宋体"/>
        <family val="0"/>
        <charset val="1"/>
      </rPr>
      <t xml:space="preserve">30 mA</t>
    </r>
    <r>
      <rPr>
        <sz val="8.5"/>
        <color rgb="FF000000"/>
        <rFont val="Noto Sans CJK SC"/>
        <family val="2"/>
        <charset val="1"/>
      </rPr>
      <t xml:space="preserve">） 
</t>
    </r>
    <r>
      <rPr>
        <sz val="8.5"/>
        <color rgb="FF000000"/>
        <rFont val="宋体"/>
        <family val="0"/>
        <charset val="1"/>
      </rPr>
      <t xml:space="preserve">RS-485</t>
    </r>
    <r>
      <rPr>
        <sz val="8.5"/>
        <color rgb="FF000000"/>
        <rFont val="Noto Sans CJK SC"/>
        <family val="2"/>
        <charset val="1"/>
      </rPr>
      <t xml:space="preserve">：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个</t>
    </r>
    <r>
      <rPr>
        <sz val="8.5"/>
        <color rgb="FF000000"/>
        <rFont val="宋体"/>
        <family val="0"/>
        <charset val="1"/>
      </rPr>
      <t xml:space="preserve">RS-485</t>
    </r>
    <r>
      <rPr>
        <sz val="8.5"/>
        <color rgb="FF000000"/>
        <rFont val="Noto Sans CJK SC"/>
        <family val="2"/>
        <charset val="1"/>
      </rPr>
      <t xml:space="preserve">接口，半双工模式，支持自适应</t>
    </r>
    <r>
      <rPr>
        <sz val="8.5"/>
        <color rgb="FF000000"/>
        <rFont val="宋体"/>
        <family val="0"/>
        <charset val="1"/>
      </rPr>
      <t xml:space="preserve">HIKVISION</t>
    </r>
    <r>
      <rPr>
        <sz val="8.5"/>
        <color rgb="FF000000"/>
        <rFont val="Noto Sans CJK SC"/>
        <family val="2"/>
        <charset val="1"/>
      </rPr>
      <t xml:space="preserve">，</t>
    </r>
    <r>
      <rPr>
        <sz val="8.5"/>
        <color rgb="FF000000"/>
        <rFont val="宋体"/>
        <family val="0"/>
        <charset val="1"/>
      </rPr>
      <t xml:space="preserve">PELCO-P</t>
    </r>
    <r>
      <rPr>
        <sz val="8.5"/>
        <color rgb="FF000000"/>
        <rFont val="Noto Sans CJK SC"/>
        <family val="2"/>
        <charset val="1"/>
      </rPr>
      <t xml:space="preserve">和</t>
    </r>
    <r>
      <rPr>
        <sz val="8.5"/>
        <color rgb="FF000000"/>
        <rFont val="宋体"/>
        <family val="0"/>
        <charset val="1"/>
      </rPr>
      <t xml:space="preserve">PELCO-D</t>
    </r>
    <r>
      <rPr>
        <sz val="8.5"/>
        <color rgb="FF000000"/>
        <rFont val="Noto Sans CJK SC"/>
        <family val="2"/>
        <charset val="1"/>
      </rPr>
      <t xml:space="preserve">协议 
复位：支持
电源输出：支持</t>
    </r>
    <r>
      <rPr>
        <sz val="8.5"/>
        <color rgb="FF000000"/>
        <rFont val="宋体"/>
        <family val="0"/>
        <charset val="1"/>
      </rPr>
      <t xml:space="preserve">DC12 V</t>
    </r>
    <r>
      <rPr>
        <sz val="8.5"/>
        <color rgb="FF000000"/>
        <rFont val="Noto Sans CJK SC"/>
        <family val="2"/>
        <charset val="1"/>
      </rPr>
      <t xml:space="preserve">，</t>
    </r>
    <r>
      <rPr>
        <sz val="8.5"/>
        <color rgb="FF000000"/>
        <rFont val="宋体"/>
        <family val="0"/>
        <charset val="1"/>
      </rPr>
      <t xml:space="preserve">100 mA 
</t>
    </r>
    <r>
      <rPr>
        <sz val="8.5"/>
        <color rgb="FF000000"/>
        <rFont val="Noto Sans CJK SC"/>
        <family val="2"/>
        <charset val="1"/>
      </rPr>
      <t xml:space="preserve">接口类型：外甩线 
产品尺寸：</t>
    </r>
    <r>
      <rPr>
        <sz val="8.5"/>
        <color rgb="FF000000"/>
        <rFont val="宋体"/>
        <family val="0"/>
        <charset val="1"/>
      </rPr>
      <t xml:space="preserve">180.3 × 99.2 × 94 mm
</t>
    </r>
    <r>
      <rPr>
        <sz val="8.5"/>
        <color rgb="FF000000"/>
        <rFont val="Noto Sans CJK SC"/>
        <family val="2"/>
        <charset val="1"/>
      </rPr>
      <t xml:space="preserve">包装尺寸：</t>
    </r>
    <r>
      <rPr>
        <sz val="8.5"/>
        <color rgb="FF000000"/>
        <rFont val="宋体"/>
        <family val="0"/>
        <charset val="1"/>
      </rPr>
      <t xml:space="preserve">315 × 137 × 141 mm
</t>
    </r>
    <r>
      <rPr>
        <sz val="8.5"/>
        <color rgb="FF000000"/>
        <rFont val="Noto Sans CJK SC"/>
        <family val="2"/>
        <charset val="1"/>
      </rPr>
      <t xml:space="preserve">设备重量：</t>
    </r>
    <r>
      <rPr>
        <sz val="8.5"/>
        <color rgb="FF000000"/>
        <rFont val="宋体"/>
        <family val="0"/>
        <charset val="1"/>
      </rPr>
      <t xml:space="preserve">750 g
</t>
    </r>
    <r>
      <rPr>
        <sz val="8.5"/>
        <color rgb="FF000000"/>
        <rFont val="Noto Sans CJK SC"/>
        <family val="2"/>
        <charset val="1"/>
      </rPr>
      <t xml:space="preserve">带包装重量：</t>
    </r>
    <r>
      <rPr>
        <sz val="8.5"/>
        <color rgb="FF000000"/>
        <rFont val="宋体"/>
        <family val="0"/>
        <charset val="1"/>
      </rPr>
      <t xml:space="preserve">1080 g
</t>
    </r>
    <r>
      <rPr>
        <sz val="8.5"/>
        <color rgb="FF000000"/>
        <rFont val="Noto Sans CJK SC"/>
        <family val="2"/>
        <charset val="1"/>
      </rPr>
      <t xml:space="preserve">存储温湿度：</t>
    </r>
    <r>
      <rPr>
        <sz val="8.5"/>
        <color rgb="FF000000"/>
        <rFont val="宋体"/>
        <family val="0"/>
        <charset val="1"/>
      </rPr>
      <t xml:space="preserve">-30 °C~60 °C</t>
    </r>
    <r>
      <rPr>
        <sz val="8.5"/>
        <color rgb="FF000000"/>
        <rFont val="Noto Sans CJK SC"/>
        <family val="2"/>
        <charset val="1"/>
      </rPr>
      <t xml:space="preserve">，湿度小于</t>
    </r>
    <r>
      <rPr>
        <sz val="8.5"/>
        <color rgb="FF000000"/>
        <rFont val="宋体"/>
        <family val="0"/>
        <charset val="1"/>
      </rPr>
      <t xml:space="preserve">95%</t>
    </r>
    <r>
      <rPr>
        <sz val="8.5"/>
        <color rgb="FF000000"/>
        <rFont val="Noto Sans CJK SC"/>
        <family val="2"/>
        <charset val="1"/>
      </rPr>
      <t xml:space="preserve">（无凝结）
启动和工作温湿度：</t>
    </r>
    <r>
      <rPr>
        <sz val="8.5"/>
        <color rgb="FF000000"/>
        <rFont val="宋体"/>
        <family val="0"/>
        <charset val="1"/>
      </rPr>
      <t xml:space="preserve">-30 °C~60 °C</t>
    </r>
    <r>
      <rPr>
        <sz val="8.5"/>
        <color rgb="FF000000"/>
        <rFont val="Noto Sans CJK SC"/>
        <family val="2"/>
        <charset val="1"/>
      </rPr>
      <t xml:space="preserve">，湿度小于</t>
    </r>
    <r>
      <rPr>
        <sz val="8.5"/>
        <color rgb="FF000000"/>
        <rFont val="宋体"/>
        <family val="0"/>
        <charset val="1"/>
      </rPr>
      <t xml:space="preserve">95%</t>
    </r>
    <r>
      <rPr>
        <sz val="8.5"/>
        <color rgb="FF000000"/>
        <rFont val="Noto Sans CJK SC"/>
        <family val="2"/>
        <charset val="1"/>
      </rPr>
      <t xml:space="preserve">（无凝结）
电流及功耗：</t>
    </r>
    <r>
      <rPr>
        <sz val="8.5"/>
        <color rgb="FF000000"/>
        <rFont val="宋体"/>
        <family val="0"/>
        <charset val="1"/>
      </rPr>
      <t xml:space="preserve">DC</t>
    </r>
    <r>
      <rPr>
        <sz val="8.5"/>
        <color rgb="FF000000"/>
        <rFont val="Noto Sans CJK SC"/>
        <family val="2"/>
        <charset val="1"/>
      </rPr>
      <t xml:space="preserve">：</t>
    </r>
    <r>
      <rPr>
        <sz val="8.5"/>
        <color rgb="FF000000"/>
        <rFont val="宋体"/>
        <family val="0"/>
        <charset val="1"/>
      </rPr>
      <t xml:space="preserve">12 V</t>
    </r>
    <r>
      <rPr>
        <sz val="8.5"/>
        <color rgb="FF000000"/>
        <rFont val="Noto Sans CJK SC"/>
        <family val="2"/>
        <charset val="1"/>
      </rPr>
      <t xml:space="preserve">，</t>
    </r>
    <r>
      <rPr>
        <sz val="8.5"/>
        <color rgb="FF000000"/>
        <rFont val="宋体"/>
        <family val="0"/>
        <charset val="1"/>
      </rPr>
      <t xml:space="preserve">1.1 A</t>
    </r>
    <r>
      <rPr>
        <sz val="8.5"/>
        <color rgb="FF000000"/>
        <rFont val="Noto Sans CJK SC"/>
        <family val="2"/>
        <charset val="1"/>
      </rPr>
      <t xml:space="preserve">，最大功耗：</t>
    </r>
    <r>
      <rPr>
        <sz val="8.5"/>
        <color rgb="FF000000"/>
        <rFont val="宋体"/>
        <family val="0"/>
        <charset val="1"/>
      </rPr>
      <t xml:space="preserve">13.2 W
PoE</t>
    </r>
    <r>
      <rPr>
        <sz val="8.5"/>
        <color rgb="FF000000"/>
        <rFont val="Noto Sans CJK SC"/>
        <family val="2"/>
        <charset val="1"/>
      </rPr>
      <t xml:space="preserve">：</t>
    </r>
    <r>
      <rPr>
        <sz val="8.5"/>
        <color rgb="FF000000"/>
        <rFont val="宋体"/>
        <family val="0"/>
        <charset val="1"/>
      </rPr>
      <t xml:space="preserve">802.3at</t>
    </r>
    <r>
      <rPr>
        <sz val="8.5"/>
        <color rgb="FF000000"/>
        <rFont val="Noto Sans CJK SC"/>
        <family val="2"/>
        <charset val="1"/>
      </rPr>
      <t xml:space="preserve">，</t>
    </r>
    <r>
      <rPr>
        <sz val="8.5"/>
        <color rgb="FF000000"/>
        <rFont val="宋体"/>
        <family val="0"/>
        <charset val="1"/>
      </rPr>
      <t xml:space="preserve">42.5 V~57 V</t>
    </r>
    <r>
      <rPr>
        <sz val="8.5"/>
        <color rgb="FF000000"/>
        <rFont val="Noto Sans CJK SC"/>
        <family val="2"/>
        <charset val="1"/>
      </rPr>
      <t xml:space="preserve">，</t>
    </r>
    <r>
      <rPr>
        <sz val="8.5"/>
        <color rgb="FF000000"/>
        <rFont val="宋体"/>
        <family val="0"/>
        <charset val="1"/>
      </rPr>
      <t xml:space="preserve">0.35 A~0.26 A</t>
    </r>
    <r>
      <rPr>
        <sz val="8.5"/>
        <color rgb="FF000000"/>
        <rFont val="Noto Sans CJK SC"/>
        <family val="2"/>
        <charset val="1"/>
      </rPr>
      <t xml:space="preserve">，最大功耗：</t>
    </r>
    <r>
      <rPr>
        <sz val="8.5"/>
        <color rgb="FF000000"/>
        <rFont val="宋体"/>
        <family val="0"/>
        <charset val="1"/>
      </rPr>
      <t xml:space="preserve">14.7 W
</t>
    </r>
    <r>
      <rPr>
        <sz val="8.5"/>
        <color rgb="FF000000"/>
        <rFont val="Noto Sans CJK SC"/>
        <family val="2"/>
        <charset val="1"/>
      </rPr>
      <t xml:space="preserve">供电方式：</t>
    </r>
    <r>
      <rPr>
        <sz val="8.5"/>
        <color rgb="FF000000"/>
        <rFont val="宋体"/>
        <family val="0"/>
        <charset val="1"/>
      </rPr>
      <t xml:space="preserve">DC</t>
    </r>
    <r>
      <rPr>
        <sz val="8.5"/>
        <color rgb="FF000000"/>
        <rFont val="Noto Sans CJK SC"/>
        <family val="2"/>
        <charset val="1"/>
      </rPr>
      <t xml:space="preserve">：</t>
    </r>
    <r>
      <rPr>
        <sz val="8.5"/>
        <color rgb="FF000000"/>
        <rFont val="宋体"/>
        <family val="0"/>
        <charset val="1"/>
      </rPr>
      <t xml:space="preserve">12 V ± 20%</t>
    </r>
    <r>
      <rPr>
        <sz val="8.5"/>
        <color rgb="FF000000"/>
        <rFont val="Noto Sans CJK SC"/>
        <family val="2"/>
        <charset val="1"/>
      </rPr>
      <t xml:space="preserve">，支持防反接保护
</t>
    </r>
    <r>
      <rPr>
        <sz val="8.5"/>
        <color rgb="FF000000"/>
        <rFont val="宋体"/>
        <family val="0"/>
        <charset val="1"/>
      </rPr>
      <t xml:space="preserve">PoE</t>
    </r>
    <r>
      <rPr>
        <sz val="8.5"/>
        <color rgb="FF000000"/>
        <rFont val="Noto Sans CJK SC"/>
        <family val="2"/>
        <charset val="1"/>
      </rPr>
      <t xml:space="preserve">：</t>
    </r>
    <r>
      <rPr>
        <sz val="8.5"/>
        <color rgb="FF000000"/>
        <rFont val="宋体"/>
        <family val="0"/>
        <charset val="1"/>
      </rPr>
      <t xml:space="preserve">802.3at</t>
    </r>
    <r>
      <rPr>
        <sz val="8.5"/>
        <color rgb="FF000000"/>
        <rFont val="Noto Sans CJK SC"/>
        <family val="2"/>
        <charset val="1"/>
      </rPr>
      <t xml:space="preserve">，</t>
    </r>
    <r>
      <rPr>
        <sz val="8.5"/>
        <color rgb="FF000000"/>
        <rFont val="宋体"/>
        <family val="0"/>
        <charset val="1"/>
      </rPr>
      <t xml:space="preserve">Type 2</t>
    </r>
    <r>
      <rPr>
        <sz val="8.5"/>
        <color rgb="FF000000"/>
        <rFont val="Noto Sans CJK SC"/>
        <family val="2"/>
        <charset val="1"/>
      </rPr>
      <t xml:space="preserve">，</t>
    </r>
    <r>
      <rPr>
        <sz val="8.5"/>
        <color rgb="FF000000"/>
        <rFont val="宋体"/>
        <family val="0"/>
        <charset val="1"/>
      </rPr>
      <t xml:space="preserve">Class 4
</t>
    </r>
    <r>
      <rPr>
        <sz val="8.5"/>
        <color rgb="FF000000"/>
        <rFont val="Noto Sans CJK SC"/>
        <family val="2"/>
        <charset val="1"/>
      </rPr>
      <t xml:space="preserve">电源接口类型：</t>
    </r>
    <r>
      <rPr>
        <sz val="8.5"/>
        <color rgb="FF000000"/>
        <rFont val="宋体"/>
        <family val="0"/>
        <charset val="1"/>
      </rPr>
      <t xml:space="preserve">3</t>
    </r>
    <r>
      <rPr>
        <sz val="8.5"/>
        <color rgb="FF000000"/>
        <rFont val="Noto Sans CJK SC"/>
        <family val="2"/>
        <charset val="1"/>
      </rPr>
      <t xml:space="preserve">芯电源接口
线缆长度：</t>
    </r>
    <r>
      <rPr>
        <sz val="8.5"/>
        <color rgb="FF000000"/>
        <rFont val="宋体"/>
        <family val="0"/>
        <charset val="1"/>
      </rPr>
      <t xml:space="preserve">35 cm 
</t>
    </r>
    <r>
      <rPr>
        <sz val="8.5"/>
        <color rgb="FF000000"/>
        <rFont val="Noto Sans CJK SC"/>
        <family val="2"/>
        <charset val="1"/>
      </rPr>
      <t xml:space="preserve">防护：</t>
    </r>
    <r>
      <rPr>
        <sz val="8.5"/>
        <color rgb="FF000000"/>
        <rFont val="宋体"/>
        <family val="0"/>
        <charset val="1"/>
      </rPr>
      <t xml:space="preserve">IP67 </t>
    </r>
  </si>
  <si>
    <t xml:space="preserve">润华实业各门岗</t>
  </si>
  <si>
    <t xml:space="preserve">网络摄像机（老旧更换）</t>
  </si>
  <si>
    <r>
      <rPr>
        <sz val="8.5"/>
        <color rgb="FF000000"/>
        <rFont val="Noto Sans CJK SC"/>
        <family val="2"/>
        <charset val="1"/>
      </rPr>
      <t xml:space="preserve">全彩级高灵敏度传感器，</t>
    </r>
    <r>
      <rPr>
        <sz val="8.5"/>
        <color rgb="FF000000"/>
        <rFont val="宋体"/>
        <family val="0"/>
        <charset val="1"/>
      </rPr>
      <t xml:space="preserve">F1.0</t>
    </r>
    <r>
      <rPr>
        <sz val="8.5"/>
        <color rgb="FF000000"/>
        <rFont val="Noto Sans CJK SC"/>
        <family val="2"/>
        <charset val="1"/>
      </rPr>
      <t xml:space="preserve">超大光圈镜头，提供更清晰的视频流输入
海康自研</t>
    </r>
    <r>
      <rPr>
        <sz val="8.5"/>
        <color rgb="FF000000"/>
        <rFont val="宋体"/>
        <family val="0"/>
        <charset val="1"/>
      </rPr>
      <t xml:space="preserve">AI ISP</t>
    </r>
    <r>
      <rPr>
        <sz val="8.5"/>
        <color rgb="FF000000"/>
        <rFont val="Noto Sans CJK SC"/>
        <family val="2"/>
        <charset val="1"/>
      </rPr>
      <t xml:space="preserve">图像处理引擎，影像随场景自适应，夜视效果随时在线
最高分辨率可达</t>
    </r>
    <r>
      <rPr>
        <sz val="8.5"/>
        <color rgb="FF000000"/>
        <rFont val="宋体"/>
        <family val="0"/>
        <charset val="1"/>
      </rPr>
      <t xml:space="preserve">2560 × 1440 @25 fps</t>
    </r>
    <r>
      <rPr>
        <sz val="8.5"/>
        <color rgb="FF000000"/>
        <rFont val="Noto Sans CJK SC"/>
        <family val="2"/>
        <charset val="1"/>
      </rPr>
      <t xml:space="preserve">，在该分辨率下可输出实时图像
内置麦克风</t>
    </r>
    <r>
      <rPr>
        <sz val="8.5"/>
        <color rgb="FF000000"/>
        <rFont val="宋体"/>
        <family val="0"/>
        <charset val="1"/>
      </rPr>
      <t xml:space="preserve">&amp;</t>
    </r>
    <r>
      <rPr>
        <sz val="8.5"/>
        <color rgb="FF000000"/>
        <rFont val="Noto Sans CJK SC"/>
        <family val="2"/>
        <charset val="1"/>
      </rPr>
      <t xml:space="preserve">扬声器，喊话对讲全兼顾
人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车目标分类，报警精准减打扰
支持背光补偿，强光抑制，</t>
    </r>
    <r>
      <rPr>
        <sz val="8.5"/>
        <color rgb="FF000000"/>
        <rFont val="宋体"/>
        <family val="0"/>
        <charset val="1"/>
      </rPr>
      <t xml:space="preserve">3D</t>
    </r>
    <r>
      <rPr>
        <sz val="8.5"/>
        <color rgb="FF000000"/>
        <rFont val="Noto Sans CJK SC"/>
        <family val="2"/>
        <charset val="1"/>
      </rPr>
      <t xml:space="preserve">数字降噪，</t>
    </r>
    <r>
      <rPr>
        <sz val="8.5"/>
        <color rgb="FF000000"/>
        <rFont val="宋体"/>
        <family val="0"/>
        <charset val="1"/>
      </rPr>
      <t xml:space="preserve">120 dB</t>
    </r>
    <r>
      <rPr>
        <sz val="8.5"/>
        <color rgb="FF000000"/>
        <rFont val="Noto Sans CJK SC"/>
        <family val="2"/>
        <charset val="1"/>
      </rPr>
      <t xml:space="preserve">宽动态适应不同监控环境
海康自研超级智能编码，省存储，画质稳
支持柔光灯补光，照射距离最远可达</t>
    </r>
    <r>
      <rPr>
        <sz val="8.5"/>
        <color rgb="FF000000"/>
        <rFont val="宋体"/>
        <family val="0"/>
        <charset val="1"/>
      </rPr>
      <t xml:space="preserve">30 m
</t>
    </r>
    <r>
      <rPr>
        <sz val="8.5"/>
        <color rgb="FF000000"/>
        <rFont val="Noto Sans CJK SC"/>
        <family val="2"/>
        <charset val="1"/>
      </rPr>
      <t xml:space="preserve">符合</t>
    </r>
    <r>
      <rPr>
        <sz val="8.5"/>
        <color rgb="FF000000"/>
        <rFont val="宋体"/>
        <family val="0"/>
        <charset val="1"/>
      </rPr>
      <t xml:space="preserve">IP67</t>
    </r>
    <r>
      <rPr>
        <sz val="8.5"/>
        <color rgb="FF000000"/>
        <rFont val="Noto Sans CJK SC"/>
        <family val="2"/>
        <charset val="1"/>
      </rPr>
      <t xml:space="preserve">防尘防水设计，可靠性高
在大模型的加持下，对人、机动车等高价值目标进行解析，通过</t>
    </r>
    <r>
      <rPr>
        <sz val="8.5"/>
        <color rgb="FF000000"/>
        <rFont val="宋体"/>
        <family val="0"/>
        <charset val="1"/>
      </rPr>
      <t xml:space="preserve">ROI</t>
    </r>
    <r>
      <rPr>
        <sz val="8.5"/>
        <color rgb="FF000000"/>
        <rFont val="Noto Sans CJK SC"/>
        <family val="2"/>
        <charset val="1"/>
      </rPr>
      <t xml:space="preserve">分割技术，分离前景目标与背景区域，前景采用常规编码保障细节完整，背景实施高效压缩降低存储占用，兼顾画质与效率
传感器类型：</t>
    </r>
    <r>
      <rPr>
        <sz val="8.5"/>
        <color rgb="FF000000"/>
        <rFont val="宋体"/>
        <family val="0"/>
        <charset val="1"/>
      </rPr>
      <t xml:space="preserve">1/1.8" Progressive Scan CMOS
</t>
    </r>
    <r>
      <rPr>
        <sz val="8.5"/>
        <color rgb="FF000000"/>
        <rFont val="Noto Sans CJK SC"/>
        <family val="2"/>
        <charset val="1"/>
      </rPr>
      <t xml:space="preserve">最低照度：彩色：</t>
    </r>
    <r>
      <rPr>
        <sz val="8.5"/>
        <color rgb="FF000000"/>
        <rFont val="宋体"/>
        <family val="0"/>
        <charset val="1"/>
      </rPr>
      <t xml:space="preserve">0.0005 Lux
</t>
    </r>
    <r>
      <rPr>
        <sz val="8.5"/>
        <color rgb="FF000000"/>
        <rFont val="Noto Sans CJK SC"/>
        <family val="2"/>
        <charset val="1"/>
      </rPr>
      <t xml:space="preserve">宽动态：</t>
    </r>
    <r>
      <rPr>
        <sz val="8.5"/>
        <color rgb="FF000000"/>
        <rFont val="宋体"/>
        <family val="0"/>
        <charset val="1"/>
      </rPr>
      <t xml:space="preserve">120 dB 
</t>
    </r>
    <r>
      <rPr>
        <sz val="8.5"/>
        <color rgb="FF000000"/>
        <rFont val="Noto Sans CJK SC"/>
        <family val="2"/>
        <charset val="1"/>
      </rPr>
      <t xml:space="preserve">焦距</t>
    </r>
    <r>
      <rPr>
        <sz val="8.5"/>
        <color rgb="FF000000"/>
        <rFont val="宋体"/>
        <family val="0"/>
        <charset val="1"/>
      </rPr>
      <t xml:space="preserve">&amp;</t>
    </r>
    <r>
      <rPr>
        <sz val="8.5"/>
        <color rgb="FF000000"/>
        <rFont val="Noto Sans CJK SC"/>
        <family val="2"/>
        <charset val="1"/>
      </rPr>
      <t xml:space="preserve">视场角：</t>
    </r>
    <r>
      <rPr>
        <sz val="8.5"/>
        <color rgb="FF000000"/>
        <rFont val="宋体"/>
        <family val="0"/>
        <charset val="1"/>
      </rPr>
      <t xml:space="preserve">2.8 mm</t>
    </r>
    <r>
      <rPr>
        <sz val="8.5"/>
        <color rgb="FF000000"/>
        <rFont val="Noto Sans CJK SC"/>
        <family val="2"/>
        <charset val="1"/>
      </rPr>
      <t xml:space="preserve">，水平视场角：</t>
    </r>
    <r>
      <rPr>
        <sz val="8.5"/>
        <color rgb="FF000000"/>
        <rFont val="宋体"/>
        <family val="0"/>
        <charset val="1"/>
      </rPr>
      <t xml:space="preserve">105.7°</t>
    </r>
    <r>
      <rPr>
        <sz val="8.5"/>
        <color rgb="FF000000"/>
        <rFont val="Noto Sans CJK SC"/>
        <family val="2"/>
        <charset val="1"/>
      </rPr>
      <t xml:space="preserve">，垂直视场角：</t>
    </r>
    <r>
      <rPr>
        <sz val="8.5"/>
        <color rgb="FF000000"/>
        <rFont val="宋体"/>
        <family val="0"/>
        <charset val="1"/>
      </rPr>
      <t xml:space="preserve">57.2°</t>
    </r>
    <r>
      <rPr>
        <sz val="8.5"/>
        <color rgb="FF000000"/>
        <rFont val="Noto Sans CJK SC"/>
        <family val="2"/>
        <charset val="1"/>
      </rPr>
      <t xml:space="preserve">，对角视场角：</t>
    </r>
    <r>
      <rPr>
        <sz val="8.5"/>
        <color rgb="FF000000"/>
        <rFont val="宋体"/>
        <family val="0"/>
        <charset val="1"/>
      </rPr>
      <t xml:space="preserve">124.5°
4 mm</t>
    </r>
    <r>
      <rPr>
        <sz val="8.5"/>
        <color rgb="FF000000"/>
        <rFont val="Noto Sans CJK SC"/>
        <family val="2"/>
        <charset val="1"/>
      </rPr>
      <t xml:space="preserve">，水平视场角：</t>
    </r>
    <r>
      <rPr>
        <sz val="8.5"/>
        <color rgb="FF000000"/>
        <rFont val="宋体"/>
        <family val="0"/>
        <charset val="1"/>
      </rPr>
      <t xml:space="preserve">88.7°</t>
    </r>
    <r>
      <rPr>
        <sz val="8.5"/>
        <color rgb="FF000000"/>
        <rFont val="Noto Sans CJK SC"/>
        <family val="2"/>
        <charset val="1"/>
      </rPr>
      <t xml:space="preserve">，垂直视场角：</t>
    </r>
    <r>
      <rPr>
        <sz val="8.5"/>
        <color rgb="FF000000"/>
        <rFont val="宋体"/>
        <family val="0"/>
        <charset val="1"/>
      </rPr>
      <t xml:space="preserve">44.7°</t>
    </r>
    <r>
      <rPr>
        <sz val="8.5"/>
        <color rgb="FF000000"/>
        <rFont val="Noto Sans CJK SC"/>
        <family val="2"/>
        <charset val="1"/>
      </rPr>
      <t xml:space="preserve">，对角视场角：</t>
    </r>
    <r>
      <rPr>
        <sz val="8.5"/>
        <color rgb="FF000000"/>
        <rFont val="宋体"/>
        <family val="0"/>
        <charset val="1"/>
      </rPr>
      <t xml:space="preserve">107.5°
6 mm</t>
    </r>
    <r>
      <rPr>
        <sz val="8.5"/>
        <color rgb="FF000000"/>
        <rFont val="Noto Sans CJK SC"/>
        <family val="2"/>
        <charset val="1"/>
      </rPr>
      <t xml:space="preserve">，水平视场角：</t>
    </r>
    <r>
      <rPr>
        <sz val="8.5"/>
        <color rgb="FF000000"/>
        <rFont val="宋体"/>
        <family val="0"/>
        <charset val="1"/>
      </rPr>
      <t xml:space="preserve">55.2°</t>
    </r>
    <r>
      <rPr>
        <sz val="8.5"/>
        <color rgb="FF000000"/>
        <rFont val="Noto Sans CJK SC"/>
        <family val="2"/>
        <charset val="1"/>
      </rPr>
      <t xml:space="preserve">，垂直视场角：</t>
    </r>
    <r>
      <rPr>
        <sz val="8.5"/>
        <color rgb="FF000000"/>
        <rFont val="宋体"/>
        <family val="0"/>
        <charset val="1"/>
      </rPr>
      <t xml:space="preserve">29.3°</t>
    </r>
    <r>
      <rPr>
        <sz val="8.5"/>
        <color rgb="FF000000"/>
        <rFont val="Noto Sans CJK SC"/>
        <family val="2"/>
        <charset val="1"/>
      </rPr>
      <t xml:space="preserve">，对角视场角：</t>
    </r>
    <r>
      <rPr>
        <sz val="8.5"/>
        <color rgb="FF000000"/>
        <rFont val="宋体"/>
        <family val="0"/>
        <charset val="1"/>
      </rPr>
      <t xml:space="preserve">64.6°
8 mm</t>
    </r>
    <r>
      <rPr>
        <sz val="8.5"/>
        <color rgb="FF000000"/>
        <rFont val="Noto Sans CJK SC"/>
        <family val="2"/>
        <charset val="1"/>
      </rPr>
      <t xml:space="preserve">，水平视场角：</t>
    </r>
    <r>
      <rPr>
        <sz val="8.5"/>
        <color rgb="FF000000"/>
        <rFont val="宋体"/>
        <family val="0"/>
        <charset val="1"/>
      </rPr>
      <t xml:space="preserve">38.8°</t>
    </r>
    <r>
      <rPr>
        <sz val="8.5"/>
        <color rgb="FF000000"/>
        <rFont val="Noto Sans CJK SC"/>
        <family val="2"/>
        <charset val="1"/>
      </rPr>
      <t xml:space="preserve">，垂直视场角：</t>
    </r>
    <r>
      <rPr>
        <sz val="8.5"/>
        <color rgb="FF000000"/>
        <rFont val="宋体"/>
        <family val="0"/>
        <charset val="1"/>
      </rPr>
      <t xml:space="preserve">21.1°</t>
    </r>
    <r>
      <rPr>
        <sz val="8.5"/>
        <color rgb="FF000000"/>
        <rFont val="Noto Sans CJK SC"/>
        <family val="2"/>
        <charset val="1"/>
      </rPr>
      <t xml:space="preserve">，对角视场角：</t>
    </r>
    <r>
      <rPr>
        <sz val="8.5"/>
        <color rgb="FF000000"/>
        <rFont val="宋体"/>
        <family val="0"/>
        <charset val="1"/>
      </rPr>
      <t xml:space="preserve">45.2° 
</t>
    </r>
    <r>
      <rPr>
        <sz val="8.5"/>
        <color rgb="FF000000"/>
        <rFont val="Noto Sans CJK SC"/>
        <family val="2"/>
        <charset val="1"/>
      </rPr>
      <t xml:space="preserve">补光距离：最远可达</t>
    </r>
    <r>
      <rPr>
        <sz val="8.5"/>
        <color rgb="FF000000"/>
        <rFont val="宋体"/>
        <family val="0"/>
        <charset val="1"/>
      </rPr>
      <t xml:space="preserve">30 m
</t>
    </r>
    <r>
      <rPr>
        <sz val="8.5"/>
        <color rgb="FF000000"/>
        <rFont val="Noto Sans CJK SC"/>
        <family val="2"/>
        <charset val="1"/>
      </rPr>
      <t xml:space="preserve">防补光过曝：支持
补光灯类型：柔光灯 
最大图像尺寸：</t>
    </r>
    <r>
      <rPr>
        <sz val="8.5"/>
        <color rgb="FF000000"/>
        <rFont val="宋体"/>
        <family val="0"/>
        <charset val="1"/>
      </rPr>
      <t xml:space="preserve">2560 × 1440
</t>
    </r>
    <r>
      <rPr>
        <sz val="8.5"/>
        <color rgb="FF000000"/>
        <rFont val="Noto Sans CJK SC"/>
        <family val="2"/>
        <charset val="1"/>
      </rPr>
      <t xml:space="preserve">视频压缩标准：主码流：</t>
    </r>
    <r>
      <rPr>
        <sz val="8.5"/>
        <color rgb="FF000000"/>
        <rFont val="宋体"/>
        <family val="0"/>
        <charset val="1"/>
      </rPr>
      <t xml:space="preserve">H.265/H.264</t>
    </r>
    <r>
      <rPr>
        <sz val="8.5"/>
        <color rgb="FF000000"/>
        <rFont val="Noto Sans CJK SC"/>
        <family val="2"/>
        <charset val="1"/>
      </rPr>
      <t xml:space="preserve">，支持超级智能编码
子码流：</t>
    </r>
    <r>
      <rPr>
        <sz val="8.5"/>
        <color rgb="FF000000"/>
        <rFont val="宋体"/>
        <family val="0"/>
        <charset val="1"/>
      </rPr>
      <t xml:space="preserve">H.265/H.264/MJPEG
</t>
    </r>
    <r>
      <rPr>
        <sz val="8.5"/>
        <color rgb="FF000000"/>
        <rFont val="Noto Sans CJK SC"/>
        <family val="2"/>
        <charset val="1"/>
      </rPr>
      <t xml:space="preserve">第三码流：</t>
    </r>
    <r>
      <rPr>
        <sz val="8.5"/>
        <color rgb="FF000000"/>
        <rFont val="宋体"/>
        <family val="0"/>
        <charset val="1"/>
      </rPr>
      <t xml:space="preserve">H.265/H.264 
</t>
    </r>
    <r>
      <rPr>
        <sz val="8.5"/>
        <color rgb="FF000000"/>
        <rFont val="Noto Sans CJK SC"/>
        <family val="2"/>
        <charset val="1"/>
      </rPr>
      <t xml:space="preserve">音频：支持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个内置麦克风
支持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个内置扬声器
网络：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个</t>
    </r>
    <r>
      <rPr>
        <sz val="8.5"/>
        <color rgb="FF000000"/>
        <rFont val="宋体"/>
        <family val="0"/>
        <charset val="1"/>
      </rPr>
      <t xml:space="preserve">RJ45 10 M/100 M</t>
    </r>
    <r>
      <rPr>
        <sz val="8.5"/>
        <color rgb="FF000000"/>
        <rFont val="Noto Sans CJK SC"/>
        <family val="2"/>
        <charset val="1"/>
      </rPr>
      <t xml:space="preserve">自适应以太网口 
恢复出厂设置：支持客户端或浏览器恢复
启动和工作温湿度：</t>
    </r>
    <r>
      <rPr>
        <sz val="8.5"/>
        <color rgb="FF000000"/>
        <rFont val="宋体"/>
        <family val="0"/>
        <charset val="1"/>
      </rPr>
      <t xml:space="preserve">-30 °C~60 °C</t>
    </r>
    <r>
      <rPr>
        <sz val="8.5"/>
        <color rgb="FF000000"/>
        <rFont val="Noto Sans CJK SC"/>
        <family val="2"/>
        <charset val="1"/>
      </rPr>
      <t xml:space="preserve">，湿度小于</t>
    </r>
    <r>
      <rPr>
        <sz val="8.5"/>
        <color rgb="FF000000"/>
        <rFont val="宋体"/>
        <family val="0"/>
        <charset val="1"/>
      </rPr>
      <t xml:space="preserve">95%</t>
    </r>
    <r>
      <rPr>
        <sz val="8.5"/>
        <color rgb="FF000000"/>
        <rFont val="Noto Sans CJK SC"/>
        <family val="2"/>
        <charset val="1"/>
      </rPr>
      <t xml:space="preserve">（无凝结）
供电方式：</t>
    </r>
    <r>
      <rPr>
        <sz val="8.5"/>
        <color rgb="FF000000"/>
        <rFont val="宋体"/>
        <family val="0"/>
        <charset val="1"/>
      </rPr>
      <t xml:space="preserve">DC</t>
    </r>
    <r>
      <rPr>
        <sz val="8.5"/>
        <color rgb="FF000000"/>
        <rFont val="Noto Sans CJK SC"/>
        <family val="2"/>
        <charset val="1"/>
      </rPr>
      <t xml:space="preserve">：</t>
    </r>
    <r>
      <rPr>
        <sz val="8.5"/>
        <color rgb="FF000000"/>
        <rFont val="宋体"/>
        <family val="0"/>
        <charset val="1"/>
      </rPr>
      <t xml:space="preserve">12 V ± 25%</t>
    </r>
    <r>
      <rPr>
        <sz val="8.5"/>
        <color rgb="FF000000"/>
        <rFont val="Noto Sans CJK SC"/>
        <family val="2"/>
        <charset val="1"/>
      </rPr>
      <t xml:space="preserve">，支持防反接保护
</t>
    </r>
    <r>
      <rPr>
        <sz val="8.5"/>
        <color rgb="FF000000"/>
        <rFont val="宋体"/>
        <family val="0"/>
        <charset val="1"/>
      </rPr>
      <t xml:space="preserve">PoE</t>
    </r>
    <r>
      <rPr>
        <sz val="8.5"/>
        <color rgb="FF000000"/>
        <rFont val="Noto Sans CJK SC"/>
        <family val="2"/>
        <charset val="1"/>
      </rPr>
      <t xml:space="preserve">：</t>
    </r>
    <r>
      <rPr>
        <sz val="8.5"/>
        <color rgb="FF000000"/>
        <rFont val="宋体"/>
        <family val="0"/>
        <charset val="1"/>
      </rPr>
      <t xml:space="preserve">IEEE 802.3af</t>
    </r>
    <r>
      <rPr>
        <sz val="8.5"/>
        <color rgb="FF000000"/>
        <rFont val="Noto Sans CJK SC"/>
        <family val="2"/>
        <charset val="1"/>
      </rPr>
      <t xml:space="preserve">，</t>
    </r>
    <r>
      <rPr>
        <sz val="8.5"/>
        <color rgb="FF000000"/>
        <rFont val="宋体"/>
        <family val="0"/>
        <charset val="1"/>
      </rPr>
      <t xml:space="preserve">CLASS 3
</t>
    </r>
    <r>
      <rPr>
        <sz val="8.5"/>
        <color rgb="FF000000"/>
        <rFont val="Noto Sans CJK SC"/>
        <family val="2"/>
        <charset val="1"/>
      </rPr>
      <t xml:space="preserve">电流及功耗：</t>
    </r>
    <r>
      <rPr>
        <sz val="8.5"/>
        <color rgb="FF000000"/>
        <rFont val="宋体"/>
        <family val="0"/>
        <charset val="1"/>
      </rPr>
      <t xml:space="preserve">DC</t>
    </r>
    <r>
      <rPr>
        <sz val="8.5"/>
        <color rgb="FF000000"/>
        <rFont val="Noto Sans CJK SC"/>
        <family val="2"/>
        <charset val="1"/>
      </rPr>
      <t xml:space="preserve">：</t>
    </r>
    <r>
      <rPr>
        <sz val="8.5"/>
        <color rgb="FF000000"/>
        <rFont val="宋体"/>
        <family val="0"/>
        <charset val="1"/>
      </rPr>
      <t xml:space="preserve">12 V</t>
    </r>
    <r>
      <rPr>
        <sz val="8.5"/>
        <color rgb="FF000000"/>
        <rFont val="Noto Sans CJK SC"/>
        <family val="2"/>
        <charset val="1"/>
      </rPr>
      <t xml:space="preserve">，</t>
    </r>
    <r>
      <rPr>
        <sz val="8.5"/>
        <color rgb="FF000000"/>
        <rFont val="宋体"/>
        <family val="0"/>
        <charset val="1"/>
      </rPr>
      <t xml:space="preserve">0.75 A</t>
    </r>
    <r>
      <rPr>
        <sz val="8.5"/>
        <color rgb="FF000000"/>
        <rFont val="Noto Sans CJK SC"/>
        <family val="2"/>
        <charset val="1"/>
      </rPr>
      <t xml:space="preserve">，最大功耗：</t>
    </r>
    <r>
      <rPr>
        <sz val="8.5"/>
        <color rgb="FF000000"/>
        <rFont val="宋体"/>
        <family val="0"/>
        <charset val="1"/>
      </rPr>
      <t xml:space="preserve">9 W
PoE</t>
    </r>
    <r>
      <rPr>
        <sz val="8.5"/>
        <color rgb="FF000000"/>
        <rFont val="Noto Sans CJK SC"/>
        <family val="2"/>
        <charset val="1"/>
      </rPr>
      <t xml:space="preserve">：</t>
    </r>
    <r>
      <rPr>
        <sz val="8.5"/>
        <color rgb="FF000000"/>
        <rFont val="宋体"/>
        <family val="0"/>
        <charset val="1"/>
      </rPr>
      <t xml:space="preserve">IEEE 802.3af</t>
    </r>
    <r>
      <rPr>
        <sz val="8.5"/>
        <color rgb="FF000000"/>
        <rFont val="Noto Sans CJK SC"/>
        <family val="2"/>
        <charset val="1"/>
      </rPr>
      <t xml:space="preserve">，</t>
    </r>
    <r>
      <rPr>
        <sz val="8.5"/>
        <color rgb="FF000000"/>
        <rFont val="宋体"/>
        <family val="0"/>
        <charset val="1"/>
      </rPr>
      <t xml:space="preserve">CLASS 3</t>
    </r>
    <r>
      <rPr>
        <sz val="8.5"/>
        <color rgb="FF000000"/>
        <rFont val="Noto Sans CJK SC"/>
        <family val="2"/>
        <charset val="1"/>
      </rPr>
      <t xml:space="preserve">，最大功耗：</t>
    </r>
    <r>
      <rPr>
        <sz val="8.5"/>
        <color rgb="FF000000"/>
        <rFont val="宋体"/>
        <family val="0"/>
        <charset val="1"/>
      </rPr>
      <t xml:space="preserve">10.5W
</t>
    </r>
    <r>
      <rPr>
        <sz val="8.5"/>
        <color rgb="FF000000"/>
        <rFont val="Noto Sans CJK SC"/>
        <family val="2"/>
        <charset val="1"/>
      </rPr>
      <t xml:space="preserve">电源接口类型：</t>
    </r>
    <r>
      <rPr>
        <sz val="8.5"/>
        <color rgb="FF000000"/>
        <rFont val="宋体"/>
        <family val="0"/>
        <charset val="1"/>
      </rPr>
      <t xml:space="preserve">Ø5.5 mm</t>
    </r>
    <r>
      <rPr>
        <sz val="8.5"/>
        <color rgb="FF000000"/>
        <rFont val="Noto Sans CJK SC"/>
        <family val="2"/>
        <charset val="1"/>
      </rPr>
      <t xml:space="preserve">圆口
产品尺寸：</t>
    </r>
    <r>
      <rPr>
        <sz val="8.5"/>
        <color rgb="FF000000"/>
        <rFont val="宋体"/>
        <family val="0"/>
        <charset val="1"/>
      </rPr>
      <t xml:space="preserve">2.8 mm</t>
    </r>
    <r>
      <rPr>
        <sz val="8.5"/>
        <color rgb="FF000000"/>
        <rFont val="Noto Sans CJK SC"/>
        <family val="2"/>
        <charset val="1"/>
      </rPr>
      <t xml:space="preserve">焦距段型号：
</t>
    </r>
    <r>
      <rPr>
        <sz val="8.5"/>
        <color rgb="FF000000"/>
        <rFont val="宋体"/>
        <family val="0"/>
        <charset val="1"/>
      </rPr>
      <t xml:space="preserve">182.8 × 92.7 × 87.6 mm
</t>
    </r>
    <r>
      <rPr>
        <sz val="8.5"/>
        <color rgb="FF000000"/>
        <rFont val="Noto Sans CJK SC"/>
        <family val="2"/>
        <charset val="1"/>
      </rPr>
      <t xml:space="preserve">其他焦距段型号：
</t>
    </r>
    <r>
      <rPr>
        <sz val="8.5"/>
        <color rgb="FF000000"/>
        <rFont val="宋体"/>
        <family val="0"/>
        <charset val="1"/>
      </rPr>
      <t xml:space="preserve">189.4  × 92.7 × 87.6 mm
</t>
    </r>
    <r>
      <rPr>
        <sz val="8.5"/>
        <color rgb="FF000000"/>
        <rFont val="Noto Sans CJK SC"/>
        <family val="2"/>
        <charset val="1"/>
      </rPr>
      <t xml:space="preserve">包装尺寸：</t>
    </r>
    <r>
      <rPr>
        <sz val="8.5"/>
        <color rgb="FF000000"/>
        <rFont val="宋体"/>
        <family val="0"/>
        <charset val="1"/>
      </rPr>
      <t xml:space="preserve">235 × 120 × 125 mm
</t>
    </r>
    <r>
      <rPr>
        <sz val="8.5"/>
        <color rgb="FF000000"/>
        <rFont val="Noto Sans CJK SC"/>
        <family val="2"/>
        <charset val="1"/>
      </rPr>
      <t xml:space="preserve">设备重量：</t>
    </r>
    <r>
      <rPr>
        <sz val="8.5"/>
        <color rgb="FF000000"/>
        <rFont val="宋体"/>
        <family val="0"/>
        <charset val="1"/>
      </rPr>
      <t xml:space="preserve">575 g
</t>
    </r>
    <r>
      <rPr>
        <sz val="8.5"/>
        <color rgb="FF000000"/>
        <rFont val="Noto Sans CJK SC"/>
        <family val="2"/>
        <charset val="1"/>
      </rPr>
      <t xml:space="preserve">带包装重量：</t>
    </r>
    <r>
      <rPr>
        <sz val="8.5"/>
        <color rgb="FF000000"/>
        <rFont val="宋体"/>
        <family val="0"/>
        <charset val="1"/>
      </rPr>
      <t xml:space="preserve">705 g 
</t>
    </r>
    <r>
      <rPr>
        <sz val="8.5"/>
        <color rgb="FF000000"/>
        <rFont val="Noto Sans CJK SC"/>
        <family val="2"/>
        <charset val="1"/>
      </rPr>
      <t xml:space="preserve">防护：</t>
    </r>
    <r>
      <rPr>
        <sz val="8.5"/>
        <color rgb="FF000000"/>
        <rFont val="宋体"/>
        <family val="0"/>
        <charset val="1"/>
      </rPr>
      <t xml:space="preserve">IP67 </t>
    </r>
  </si>
  <si>
    <t xml:space="preserve">各区域老旧点位，以勘查为准（观澜算法）</t>
  </si>
  <si>
    <t xml:space="preserve">前端摄像机小计</t>
  </si>
  <si>
    <t xml:space="preserve">二、智能分析设备</t>
  </si>
  <si>
    <r>
      <rPr>
        <sz val="10"/>
        <color rgb="FF000000"/>
        <rFont val="宋体"/>
        <family val="0"/>
        <charset val="1"/>
      </rPr>
      <t xml:space="preserve">AI</t>
    </r>
    <r>
      <rPr>
        <sz val="10"/>
        <color rgb="FF000000"/>
        <rFont val="Noto Sans CJK SC"/>
        <family val="2"/>
        <charset val="1"/>
      </rPr>
      <t xml:space="preserve">边缘算力分析服务器</t>
    </r>
  </si>
  <si>
    <r>
      <rPr>
        <sz val="9"/>
        <color rgb="FF1F4E79"/>
        <rFont val="Noto Sans CJK SC"/>
        <family val="2"/>
        <charset val="1"/>
      </rPr>
      <t xml:space="preserve">海康威视
</t>
    </r>
    <r>
      <rPr>
        <sz val="9"/>
        <color rgb="FF1F4E79"/>
        <rFont val="宋体"/>
        <family val="0"/>
        <charset val="1"/>
      </rPr>
      <t xml:space="preserve">iDS-8664NX-I9/X</t>
    </r>
  </si>
  <si>
    <r>
      <rPr>
        <sz val="8.5"/>
        <color rgb="FF000000"/>
        <rFont val="宋体"/>
        <family val="0"/>
        <charset val="1"/>
      </rPr>
      <t xml:space="preserve">2U</t>
    </r>
    <r>
      <rPr>
        <sz val="8.5"/>
        <color rgb="FF000000"/>
        <rFont val="Noto Sans CJK SC"/>
        <family val="2"/>
        <charset val="1"/>
      </rPr>
      <t xml:space="preserve">机架</t>
    </r>
    <r>
      <rPr>
        <sz val="8.5"/>
        <color rgb="FF000000"/>
        <rFont val="宋体"/>
        <family val="0"/>
        <charset val="1"/>
      </rPr>
      <t xml:space="preserve">9</t>
    </r>
    <r>
      <rPr>
        <sz val="8.5"/>
        <color rgb="FF000000"/>
        <rFont val="Noto Sans CJK SC"/>
        <family val="2"/>
        <charset val="1"/>
      </rPr>
      <t xml:space="preserve">盘位存算一体边缘计算主机，内置</t>
    </r>
    <r>
      <rPr>
        <sz val="8.5"/>
        <color rgb="FF000000"/>
        <rFont val="宋体"/>
        <family val="0"/>
        <charset val="1"/>
      </rPr>
      <t xml:space="preserve">2</t>
    </r>
    <r>
      <rPr>
        <sz val="8.5"/>
        <color rgb="FF000000"/>
        <rFont val="Noto Sans CJK SC"/>
        <family val="2"/>
        <charset val="1"/>
      </rPr>
      <t xml:space="preserve">颗</t>
    </r>
    <r>
      <rPr>
        <sz val="8.5"/>
        <color rgb="FF000000"/>
        <rFont val="宋体"/>
        <family val="0"/>
        <charset val="1"/>
      </rPr>
      <t xml:space="preserve">AI</t>
    </r>
    <r>
      <rPr>
        <sz val="8.5"/>
        <color rgb="FF000000"/>
        <rFont val="Noto Sans CJK SC"/>
        <family val="2"/>
        <charset val="1"/>
      </rPr>
      <t xml:space="preserve">引擎
存储：</t>
    </r>
    <r>
      <rPr>
        <sz val="8.5"/>
        <color rgb="FF000000"/>
        <rFont val="宋体"/>
        <family val="0"/>
        <charset val="1"/>
      </rPr>
      <t xml:space="preserve">9×SATA</t>
    </r>
    <r>
      <rPr>
        <sz val="8.5"/>
        <color rgb="FF000000"/>
        <rFont val="Noto Sans CJK SC"/>
        <family val="2"/>
        <charset val="1"/>
      </rPr>
      <t xml:space="preserve">（可满配</t>
    </r>
    <r>
      <rPr>
        <sz val="8.5"/>
        <color rgb="FF000000"/>
        <rFont val="宋体"/>
        <family val="0"/>
        <charset val="1"/>
      </rPr>
      <t xml:space="preserve">16TB</t>
    </r>
    <r>
      <rPr>
        <sz val="8.5"/>
        <color rgb="FF000000"/>
        <rFont val="Noto Sans CJK SC"/>
        <family val="2"/>
        <charset val="1"/>
      </rPr>
      <t xml:space="preserve">），支持热插拔及</t>
    </r>
    <r>
      <rPr>
        <sz val="8.5"/>
        <color rgb="FF000000"/>
        <rFont val="宋体"/>
        <family val="0"/>
        <charset val="1"/>
      </rPr>
      <t xml:space="preserve">RAID0/1/5/6/10+</t>
    </r>
    <r>
      <rPr>
        <sz val="8.5"/>
        <color rgb="FF000000"/>
        <rFont val="Noto Sans CJK SC"/>
        <family val="2"/>
        <charset val="1"/>
      </rPr>
      <t xml:space="preserve">全局热备
网络</t>
    </r>
    <r>
      <rPr>
        <sz val="8.5"/>
        <color rgb="FF000000"/>
        <rFont val="宋体"/>
        <family val="0"/>
        <charset val="1"/>
      </rPr>
      <t xml:space="preserve">2×</t>
    </r>
    <r>
      <rPr>
        <sz val="8.5"/>
        <color rgb="FF000000"/>
        <rFont val="Noto Sans CJK SC"/>
        <family val="2"/>
        <charset val="1"/>
      </rPr>
      <t xml:space="preserve">千兆</t>
    </r>
    <r>
      <rPr>
        <sz val="8.5"/>
        <color rgb="FF000000"/>
        <rFont val="宋体"/>
        <family val="0"/>
        <charset val="1"/>
      </rPr>
      <t xml:space="preserve">RJ45</t>
    </r>
    <r>
      <rPr>
        <sz val="8.5"/>
        <color rgb="FF000000"/>
        <rFont val="Noto Sans CJK SC"/>
        <family val="2"/>
        <charset val="1"/>
      </rPr>
      <t xml:space="preserve">；视频</t>
    </r>
    <r>
      <rPr>
        <sz val="8.5"/>
        <color rgb="FF000000"/>
        <rFont val="宋体"/>
        <family val="0"/>
        <charset val="1"/>
      </rPr>
      <t xml:space="preserve">2×HDMI+2×VGA</t>
    </r>
    <r>
      <rPr>
        <sz val="8.5"/>
        <color rgb="FF000000"/>
        <rFont val="Noto Sans CJK SC"/>
        <family val="2"/>
        <charset val="1"/>
      </rPr>
      <t xml:space="preserve">；报警</t>
    </r>
    <r>
      <rPr>
        <sz val="8.5"/>
        <color rgb="FF000000"/>
        <rFont val="宋体"/>
        <family val="0"/>
        <charset val="1"/>
      </rPr>
      <t xml:space="preserve">16</t>
    </r>
    <r>
      <rPr>
        <sz val="8.5"/>
        <color rgb="FF000000"/>
        <rFont val="Noto Sans CJK SC"/>
        <family val="2"/>
        <charset val="1"/>
      </rPr>
      <t xml:space="preserve">入</t>
    </r>
    <r>
      <rPr>
        <sz val="8.5"/>
        <color rgb="FF000000"/>
        <rFont val="宋体"/>
        <family val="0"/>
        <charset val="1"/>
      </rPr>
      <t xml:space="preserve">4</t>
    </r>
    <r>
      <rPr>
        <sz val="8.5"/>
        <color rgb="FF000000"/>
        <rFont val="Noto Sans CJK SC"/>
        <family val="2"/>
        <charset val="1"/>
      </rPr>
      <t xml:space="preserve">出；</t>
    </r>
    <r>
      <rPr>
        <sz val="8.5"/>
        <color rgb="FF000000"/>
        <rFont val="宋体"/>
        <family val="0"/>
        <charset val="1"/>
      </rPr>
      <t xml:space="preserve">RS-232/485
</t>
    </r>
    <r>
      <rPr>
        <sz val="8.5"/>
        <color rgb="FF000000"/>
        <rFont val="Noto Sans CJK SC"/>
        <family val="2"/>
        <charset val="1"/>
      </rPr>
      <t xml:space="preserve">接入</t>
    </r>
    <r>
      <rPr>
        <sz val="8.5"/>
        <color rgb="FF000000"/>
        <rFont val="宋体"/>
        <family val="0"/>
        <charset val="1"/>
      </rPr>
      <t xml:space="preserve">64</t>
    </r>
    <r>
      <rPr>
        <sz val="8.5"/>
        <color rgb="FF000000"/>
        <rFont val="Noto Sans CJK SC"/>
        <family val="2"/>
        <charset val="1"/>
      </rPr>
      <t xml:space="preserve">路</t>
    </r>
    <r>
      <rPr>
        <sz val="8.5"/>
        <color rgb="FF000000"/>
        <rFont val="宋体"/>
        <family val="0"/>
        <charset val="1"/>
      </rPr>
      <t xml:space="preserve">H.264/H.265</t>
    </r>
    <r>
      <rPr>
        <sz val="8.5"/>
        <color rgb="FF000000"/>
        <rFont val="Noto Sans CJK SC"/>
        <family val="2"/>
        <charset val="1"/>
      </rPr>
      <t xml:space="preserve">，最大解码</t>
    </r>
    <r>
      <rPr>
        <sz val="8.5"/>
        <color rgb="FF000000"/>
        <rFont val="宋体"/>
        <family val="0"/>
        <charset val="1"/>
      </rPr>
      <t xml:space="preserve">32×1080P</t>
    </r>
    <r>
      <rPr>
        <sz val="8.5"/>
        <color rgb="FF000000"/>
        <rFont val="Noto Sans CJK SC"/>
        <family val="2"/>
        <charset val="1"/>
      </rPr>
      <t xml:space="preserve">，输入带宽</t>
    </r>
    <r>
      <rPr>
        <sz val="8.5"/>
        <color rgb="FF000000"/>
        <rFont val="宋体"/>
        <family val="0"/>
        <charset val="1"/>
      </rPr>
      <t xml:space="preserve">384Mbps
</t>
    </r>
    <r>
      <rPr>
        <sz val="8.5"/>
        <color rgb="FF000000"/>
        <rFont val="Noto Sans CJK SC"/>
        <family val="2"/>
        <charset val="1"/>
      </rPr>
      <t xml:space="preserve">智能模式</t>
    </r>
    <r>
      <rPr>
        <sz val="8.5"/>
        <color rgb="FF000000"/>
        <rFont val="宋体"/>
        <family val="0"/>
        <charset val="1"/>
      </rPr>
      <t xml:space="preserve">6</t>
    </r>
    <r>
      <rPr>
        <sz val="8.5"/>
        <color rgb="FF000000"/>
        <rFont val="Noto Sans CJK SC"/>
        <family val="2"/>
        <charset val="1"/>
      </rPr>
      <t xml:space="preserve">选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：目标识别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周界防范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周界大模型二次分析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视频结构化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以图搜图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高空抛物
智能文搜：开放式语义检索、秒级响应
周界防范：单引擎</t>
    </r>
    <r>
      <rPr>
        <sz val="8.5"/>
        <color rgb="FF000000"/>
        <rFont val="宋体"/>
        <family val="0"/>
        <charset val="1"/>
      </rPr>
      <t xml:space="preserve">12</t>
    </r>
    <r>
      <rPr>
        <sz val="8.5"/>
        <color rgb="FF000000"/>
        <rFont val="Noto Sans CJK SC"/>
        <family val="2"/>
        <charset val="1"/>
      </rPr>
      <t xml:space="preserve">路</t>
    </r>
    <r>
      <rPr>
        <sz val="8.5"/>
        <color rgb="FF000000"/>
        <rFont val="宋体"/>
        <family val="0"/>
        <charset val="1"/>
      </rPr>
      <t xml:space="preserve">2MP</t>
    </r>
    <r>
      <rPr>
        <sz val="8.5"/>
        <color rgb="FF000000"/>
        <rFont val="Noto Sans CJK SC"/>
        <family val="2"/>
        <charset val="1"/>
      </rPr>
      <t xml:space="preserve">，支持大模型二次分析
视频结构化：人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车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非机动车抓拍、车牌识别与车牌库报警</t>
    </r>
  </si>
  <si>
    <r>
      <rPr>
        <sz val="9"/>
        <color rgb="FF595959"/>
        <rFont val="Noto Sans CJK SC"/>
        <family val="2"/>
        <charset val="1"/>
      </rPr>
      <t xml:space="preserve">承载</t>
    </r>
    <r>
      <rPr>
        <sz val="9"/>
        <color rgb="FF595959"/>
        <rFont val="宋体"/>
        <family val="0"/>
        <charset val="1"/>
      </rPr>
      <t xml:space="preserve">193</t>
    </r>
    <r>
      <rPr>
        <sz val="9"/>
        <color rgb="FF595959"/>
        <rFont val="Noto Sans CJK SC"/>
        <family val="2"/>
        <charset val="1"/>
      </rPr>
      <t xml:space="preserve">路</t>
    </r>
    <r>
      <rPr>
        <sz val="9"/>
        <color rgb="FF595959"/>
        <rFont val="宋体"/>
        <family val="0"/>
        <charset val="1"/>
      </rPr>
      <t xml:space="preserve">AI</t>
    </r>
    <r>
      <rPr>
        <sz val="9"/>
        <color rgb="FF595959"/>
        <rFont val="Noto Sans CJK SC"/>
        <family val="2"/>
        <charset val="1"/>
      </rPr>
      <t xml:space="preserve">分析，按</t>
    </r>
    <r>
      <rPr>
        <sz val="9"/>
        <color rgb="FF595959"/>
        <rFont val="宋体"/>
        <family val="0"/>
        <charset val="1"/>
      </rPr>
      <t xml:space="preserve">24</t>
    </r>
    <r>
      <rPr>
        <sz val="9"/>
        <color rgb="FF595959"/>
        <rFont val="Noto Sans CJK SC"/>
        <family val="2"/>
        <charset val="1"/>
      </rPr>
      <t xml:space="preserve">路</t>
    </r>
    <r>
      <rPr>
        <sz val="9"/>
        <color rgb="FF595959"/>
        <rFont val="宋体"/>
        <family val="0"/>
        <charset val="1"/>
      </rPr>
      <t xml:space="preserve">/</t>
    </r>
    <r>
      <rPr>
        <sz val="9"/>
        <color rgb="FF595959"/>
        <rFont val="Noto Sans CJK SC"/>
        <family val="2"/>
        <charset val="1"/>
      </rPr>
      <t xml:space="preserve">台配置含</t>
    </r>
    <r>
      <rPr>
        <sz val="9"/>
        <color rgb="FF595959"/>
        <rFont val="宋体"/>
        <family val="0"/>
        <charset val="1"/>
      </rPr>
      <t xml:space="preserve">20%</t>
    </r>
    <r>
      <rPr>
        <sz val="9"/>
        <color rgb="FF595959"/>
        <rFont val="Noto Sans CJK SC"/>
        <family val="2"/>
        <charset val="1"/>
      </rPr>
      <t xml:space="preserve">余量</t>
    </r>
  </si>
  <si>
    <r>
      <rPr>
        <sz val="10"/>
        <color rgb="FF000000"/>
        <rFont val="宋体"/>
        <family val="0"/>
        <charset val="1"/>
      </rPr>
      <t xml:space="preserve">AI</t>
    </r>
    <r>
      <rPr>
        <sz val="10"/>
        <color rgb="FF000000"/>
        <rFont val="Noto Sans CJK SC"/>
        <family val="2"/>
        <charset val="1"/>
      </rPr>
      <t xml:space="preserve">行为分析算法授权</t>
    </r>
  </si>
  <si>
    <r>
      <rPr>
        <sz val="9"/>
        <color rgb="FF1F4E79"/>
        <rFont val="Noto Sans CJK SC"/>
        <family val="2"/>
        <charset val="1"/>
      </rPr>
      <t xml:space="preserve">海康威视
（随服务器</t>
    </r>
    <r>
      <rPr>
        <sz val="9"/>
        <color rgb="FF1F4E79"/>
        <rFont val="宋体"/>
        <family val="0"/>
        <charset val="1"/>
      </rPr>
      <t xml:space="preserve">/</t>
    </r>
    <r>
      <rPr>
        <sz val="9"/>
        <color rgb="FF1F4E79"/>
        <rFont val="Noto Sans CJK SC"/>
        <family val="2"/>
        <charset val="1"/>
      </rPr>
      <t xml:space="preserve">按路授权）</t>
    </r>
  </si>
  <si>
    <t xml:space="preserve">周界入侵、越线报警等行为分析算法，按路授权，报警统一接入平台</t>
  </si>
  <si>
    <t xml:space="preserve">路</t>
  </si>
  <si>
    <r>
      <rPr>
        <sz val="9"/>
        <color rgb="FF595959"/>
        <rFont val="Noto Sans CJK SC"/>
        <family val="2"/>
        <charset val="1"/>
      </rPr>
      <t xml:space="preserve">对应需</t>
    </r>
    <r>
      <rPr>
        <sz val="9"/>
        <color rgb="FF595959"/>
        <rFont val="宋体"/>
        <family val="0"/>
        <charset val="1"/>
      </rPr>
      <t xml:space="preserve">AI</t>
    </r>
    <r>
      <rPr>
        <sz val="9"/>
        <color rgb="FF595959"/>
        <rFont val="Noto Sans CJK SC"/>
        <family val="2"/>
        <charset val="1"/>
      </rPr>
      <t xml:space="preserve">升级摄像机</t>
    </r>
    <r>
      <rPr>
        <sz val="9"/>
        <color rgb="FF595959"/>
        <rFont val="宋体"/>
        <family val="0"/>
        <charset val="1"/>
      </rPr>
      <t xml:space="preserve">193</t>
    </r>
    <r>
      <rPr>
        <sz val="9"/>
        <color rgb="FF595959"/>
        <rFont val="Noto Sans CJK SC"/>
        <family val="2"/>
        <charset val="1"/>
      </rPr>
      <t xml:space="preserve">台</t>
    </r>
  </si>
  <si>
    <t xml:space="preserve">三、平台与软件</t>
  </si>
  <si>
    <t xml:space="preserve">平台服务器</t>
  </si>
  <si>
    <r>
      <rPr>
        <sz val="9"/>
        <color rgb="FF1F4E79"/>
        <rFont val="Noto Sans CJK SC"/>
        <family val="2"/>
        <charset val="1"/>
      </rPr>
      <t xml:space="preserve">海康威视
</t>
    </r>
    <r>
      <rPr>
        <sz val="9"/>
        <color rgb="FF1F4E79"/>
        <rFont val="宋体"/>
        <family val="0"/>
        <charset val="1"/>
      </rPr>
      <t xml:space="preserve">DS-VM22R-CL/R2</t>
    </r>
  </si>
  <si>
    <r>
      <rPr>
        <sz val="8.5"/>
        <color rgb="FF000000"/>
        <rFont val="宋体"/>
        <family val="0"/>
        <charset val="1"/>
      </rPr>
      <t xml:space="preserve">2U</t>
    </r>
    <r>
      <rPr>
        <sz val="8.5"/>
        <color rgb="FF000000"/>
        <rFont val="Noto Sans CJK SC"/>
        <family val="2"/>
        <charset val="1"/>
      </rPr>
      <t xml:space="preserve">双路机架服务器，</t>
    </r>
    <r>
      <rPr>
        <sz val="8.5"/>
        <color rgb="FF000000"/>
        <rFont val="宋体"/>
        <family val="0"/>
        <charset val="1"/>
      </rPr>
      <t xml:space="preserve">2</t>
    </r>
    <r>
      <rPr>
        <sz val="8.5"/>
        <color rgb="FF000000"/>
        <rFont val="Noto Sans CJK SC"/>
        <family val="2"/>
        <charset val="1"/>
      </rPr>
      <t xml:space="preserve">颗海光</t>
    </r>
    <r>
      <rPr>
        <sz val="8.5"/>
        <color rgb="FF000000"/>
        <rFont val="宋体"/>
        <family val="0"/>
        <charset val="1"/>
      </rPr>
      <t xml:space="preserve">C86</t>
    </r>
    <r>
      <rPr>
        <sz val="8.5"/>
        <color rgb="FF000000"/>
        <rFont val="Noto Sans CJK SC"/>
        <family val="2"/>
        <charset val="1"/>
      </rPr>
      <t xml:space="preserve">（</t>
    </r>
    <r>
      <rPr>
        <sz val="8.5"/>
        <color rgb="FF000000"/>
        <rFont val="宋体"/>
        <family val="0"/>
        <charset val="1"/>
      </rPr>
      <t xml:space="preserve">3350</t>
    </r>
    <r>
      <rPr>
        <sz val="8.5"/>
        <color rgb="FF000000"/>
        <rFont val="Noto Sans CJK SC"/>
        <family val="2"/>
        <charset val="1"/>
      </rPr>
      <t xml:space="preserve">）处理器，≥</t>
    </r>
    <r>
      <rPr>
        <sz val="8.5"/>
        <color rgb="FF000000"/>
        <rFont val="宋体"/>
        <family val="0"/>
        <charset val="1"/>
      </rPr>
      <t xml:space="preserve">8</t>
    </r>
    <r>
      <rPr>
        <sz val="8.5"/>
        <color rgb="FF000000"/>
        <rFont val="Noto Sans CJK SC"/>
        <family val="2"/>
        <charset val="1"/>
      </rPr>
      <t xml:space="preserve">核、主频≥</t>
    </r>
    <r>
      <rPr>
        <sz val="8.5"/>
        <color rgb="FF000000"/>
        <rFont val="宋体"/>
        <family val="0"/>
        <charset val="1"/>
      </rPr>
      <t xml:space="preserve">3.0GHz
</t>
    </r>
    <r>
      <rPr>
        <sz val="8.5"/>
        <color rgb="FF000000"/>
        <rFont val="Noto Sans CJK SC"/>
        <family val="2"/>
        <charset val="1"/>
      </rPr>
      <t xml:space="preserve">内存</t>
    </r>
    <r>
      <rPr>
        <sz val="8.5"/>
        <color rgb="FF000000"/>
        <rFont val="宋体"/>
        <family val="0"/>
        <charset val="1"/>
      </rPr>
      <t xml:space="preserve">64G DDR4</t>
    </r>
    <r>
      <rPr>
        <sz val="8.5"/>
        <color rgb="FF000000"/>
        <rFont val="Noto Sans CJK SC"/>
        <family val="2"/>
        <charset val="1"/>
      </rPr>
      <t xml:space="preserve">（</t>
    </r>
    <r>
      <rPr>
        <sz val="8.5"/>
        <color rgb="FF000000"/>
        <rFont val="宋体"/>
        <family val="0"/>
        <charset val="1"/>
      </rPr>
      <t xml:space="preserve">8</t>
    </r>
    <r>
      <rPr>
        <sz val="8.5"/>
        <color rgb="FF000000"/>
        <rFont val="Noto Sans CJK SC"/>
        <family val="2"/>
        <charset val="1"/>
      </rPr>
      <t xml:space="preserve">插槽，最大可扩至</t>
    </r>
    <r>
      <rPr>
        <sz val="8.5"/>
        <color rgb="FF000000"/>
        <rFont val="宋体"/>
        <family val="0"/>
        <charset val="1"/>
      </rPr>
      <t xml:space="preserve">1TB</t>
    </r>
    <r>
      <rPr>
        <sz val="8.5"/>
        <color rgb="FF000000"/>
        <rFont val="Noto Sans CJK SC"/>
        <family val="2"/>
        <charset val="1"/>
      </rPr>
      <t xml:space="preserve">）
系统盘</t>
    </r>
    <r>
      <rPr>
        <sz val="8.5"/>
        <color rgb="FF000000"/>
        <rFont val="宋体"/>
        <family val="0"/>
        <charset val="1"/>
      </rPr>
      <t xml:space="preserve">2×600G 10K SAS</t>
    </r>
    <r>
      <rPr>
        <sz val="8.5"/>
        <color rgb="FF000000"/>
        <rFont val="Noto Sans CJK SC"/>
        <family val="2"/>
        <charset val="1"/>
      </rPr>
      <t xml:space="preserve">（</t>
    </r>
    <r>
      <rPr>
        <sz val="8.5"/>
        <color rgb="FF000000"/>
        <rFont val="宋体"/>
        <family val="0"/>
        <charset val="1"/>
      </rPr>
      <t xml:space="preserve">RAID1</t>
    </r>
    <r>
      <rPr>
        <sz val="8.5"/>
        <color rgb="FF000000"/>
        <rFont val="Noto Sans CJK SC"/>
        <family val="2"/>
        <charset val="1"/>
      </rPr>
      <t xml:space="preserve">），前置最多</t>
    </r>
    <r>
      <rPr>
        <sz val="8.5"/>
        <color rgb="FF000000"/>
        <rFont val="宋体"/>
        <family val="0"/>
        <charset val="1"/>
      </rPr>
      <t xml:space="preserve">12×3.5"</t>
    </r>
    <r>
      <rPr>
        <sz val="8.5"/>
        <color rgb="FF000000"/>
        <rFont val="Noto Sans CJK SC"/>
        <family val="2"/>
        <charset val="1"/>
      </rPr>
      <t xml:space="preserve">热插拔盘
配</t>
    </r>
    <r>
      <rPr>
        <sz val="8.5"/>
        <color rgb="FF000000"/>
        <rFont val="宋体"/>
        <family val="0"/>
        <charset val="1"/>
      </rPr>
      <t xml:space="preserve">SAS_HBA</t>
    </r>
    <r>
      <rPr>
        <sz val="8.5"/>
        <color rgb="FF000000"/>
        <rFont val="Noto Sans CJK SC"/>
        <family val="2"/>
        <charset val="1"/>
      </rPr>
      <t xml:space="preserve">阵列卡（</t>
    </r>
    <r>
      <rPr>
        <sz val="8.5"/>
        <color rgb="FF000000"/>
        <rFont val="宋体"/>
        <family val="0"/>
        <charset val="1"/>
      </rPr>
      <t xml:space="preserve">RAID0/1/10</t>
    </r>
    <r>
      <rPr>
        <sz val="8.5"/>
        <color rgb="FF000000"/>
        <rFont val="Noto Sans CJK SC"/>
        <family val="2"/>
        <charset val="1"/>
      </rPr>
      <t xml:space="preserve">），最多</t>
    </r>
    <r>
      <rPr>
        <sz val="8.5"/>
        <color rgb="FF000000"/>
        <rFont val="宋体"/>
        <family val="0"/>
        <charset val="1"/>
      </rPr>
      <t xml:space="preserve">4</t>
    </r>
    <r>
      <rPr>
        <sz val="8.5"/>
        <color rgb="FF000000"/>
        <rFont val="Noto Sans CJK SC"/>
        <family val="2"/>
        <charset val="1"/>
      </rPr>
      <t xml:space="preserve">个</t>
    </r>
    <r>
      <rPr>
        <sz val="8.5"/>
        <color rgb="FF000000"/>
        <rFont val="宋体"/>
        <family val="0"/>
        <charset val="1"/>
      </rPr>
      <t xml:space="preserve">PCIE</t>
    </r>
    <r>
      <rPr>
        <sz val="8.5"/>
        <color rgb="FF000000"/>
        <rFont val="Noto Sans CJK SC"/>
        <family val="2"/>
        <charset val="1"/>
      </rPr>
      <t xml:space="preserve">插槽
网口</t>
    </r>
    <r>
      <rPr>
        <sz val="8.5"/>
        <color rgb="FF000000"/>
        <rFont val="宋体"/>
        <family val="0"/>
        <charset val="1"/>
      </rPr>
      <t xml:space="preserve">2×</t>
    </r>
    <r>
      <rPr>
        <sz val="8.5"/>
        <color rgb="FF000000"/>
        <rFont val="Noto Sans CJK SC"/>
        <family val="2"/>
        <charset val="1"/>
      </rPr>
      <t xml:space="preserve">千兆板载</t>
    </r>
    <r>
      <rPr>
        <sz val="8.5"/>
        <color rgb="FF000000"/>
        <rFont val="宋体"/>
        <family val="0"/>
        <charset val="1"/>
      </rPr>
      <t xml:space="preserve">+2×</t>
    </r>
    <r>
      <rPr>
        <sz val="8.5"/>
        <color rgb="FF000000"/>
        <rFont val="Noto Sans CJK SC"/>
        <family val="2"/>
        <charset val="1"/>
      </rPr>
      <t xml:space="preserve">千兆</t>
    </r>
    <r>
      <rPr>
        <sz val="8.5"/>
        <color rgb="FF000000"/>
        <rFont val="宋体"/>
        <family val="0"/>
        <charset val="1"/>
      </rPr>
      <t xml:space="preserve">PCIE</t>
    </r>
    <r>
      <rPr>
        <sz val="8.5"/>
        <color rgb="FF000000"/>
        <rFont val="Noto Sans CJK SC"/>
        <family val="2"/>
        <charset val="1"/>
      </rPr>
      <t xml:space="preserve">，可选配</t>
    </r>
    <r>
      <rPr>
        <sz val="8.5"/>
        <color rgb="FF000000"/>
        <rFont val="宋体"/>
        <family val="0"/>
        <charset val="1"/>
      </rPr>
      <t xml:space="preserve">2×</t>
    </r>
    <r>
      <rPr>
        <sz val="8.5"/>
        <color rgb="FF000000"/>
        <rFont val="Noto Sans CJK SC"/>
        <family val="2"/>
        <charset val="1"/>
      </rPr>
      <t xml:space="preserve">万兆
</t>
    </r>
    <r>
      <rPr>
        <sz val="8.5"/>
        <color rgb="FF000000"/>
        <rFont val="宋体"/>
        <family val="0"/>
        <charset val="1"/>
      </rPr>
      <t xml:space="preserve">550W</t>
    </r>
    <r>
      <rPr>
        <sz val="8.5"/>
        <color rgb="FF000000"/>
        <rFont val="Noto Sans CJK SC"/>
        <family val="2"/>
        <charset val="1"/>
      </rPr>
      <t xml:space="preserve">（</t>
    </r>
    <r>
      <rPr>
        <sz val="8.5"/>
        <color rgb="FF000000"/>
        <rFont val="宋体"/>
        <family val="0"/>
        <charset val="1"/>
      </rPr>
      <t xml:space="preserve">1+1</t>
    </r>
    <r>
      <rPr>
        <sz val="8.5"/>
        <color rgb="FF000000"/>
        <rFont val="Noto Sans CJK SC"/>
        <family val="2"/>
        <charset val="1"/>
      </rPr>
      <t xml:space="preserve">）铂金冗余电源；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个</t>
    </r>
    <r>
      <rPr>
        <sz val="8.5"/>
        <color rgb="FF000000"/>
        <rFont val="宋体"/>
        <family val="0"/>
        <charset val="1"/>
      </rPr>
      <t xml:space="preserve">IPMI</t>
    </r>
    <r>
      <rPr>
        <sz val="8.5"/>
        <color rgb="FF000000"/>
        <rFont val="Noto Sans CJK SC"/>
        <family val="2"/>
        <charset val="1"/>
      </rPr>
      <t xml:space="preserve">管理口</t>
    </r>
  </si>
  <si>
    <r>
      <rPr>
        <sz val="9"/>
        <color rgb="FF595959"/>
        <rFont val="宋体"/>
        <family val="0"/>
        <charset val="1"/>
      </rPr>
      <t xml:space="preserve">ISC</t>
    </r>
    <r>
      <rPr>
        <sz val="9"/>
        <color rgb="FF595959"/>
        <rFont val="Noto Sans CJK SC"/>
        <family val="2"/>
        <charset val="1"/>
      </rPr>
      <t xml:space="preserve">平台服务器</t>
    </r>
    <r>
      <rPr>
        <sz val="9"/>
        <color rgb="FF595959"/>
        <rFont val="宋体"/>
        <family val="0"/>
        <charset val="1"/>
      </rPr>
      <t xml:space="preserve">3</t>
    </r>
    <r>
      <rPr>
        <sz val="9"/>
        <color rgb="FF595959"/>
        <rFont val="Noto Sans CJK SC"/>
        <family val="2"/>
        <charset val="1"/>
      </rPr>
      <t xml:space="preserve">台，运维平台服务器</t>
    </r>
    <r>
      <rPr>
        <sz val="9"/>
        <color rgb="FF595959"/>
        <rFont val="宋体"/>
        <family val="0"/>
        <charset val="1"/>
      </rPr>
      <t xml:space="preserve">1</t>
    </r>
    <r>
      <rPr>
        <sz val="9"/>
        <color rgb="FF595959"/>
        <rFont val="Noto Sans CJK SC"/>
        <family val="2"/>
        <charset val="1"/>
      </rPr>
      <t xml:space="preserve">台（全新采购，不利旧）</t>
    </r>
  </si>
  <si>
    <t xml:space="preserve">视频及报警接入授权</t>
  </si>
  <si>
    <t xml:space="preserve">海康威视
（软件授权）</t>
  </si>
  <si>
    <r>
      <rPr>
        <sz val="8.5"/>
        <color rgb="FF000000"/>
        <rFont val="Noto Sans CJK SC"/>
        <family val="2"/>
        <charset val="1"/>
      </rPr>
      <t xml:space="preserve">视频</t>
    </r>
    <r>
      <rPr>
        <sz val="8.5"/>
        <color rgb="FF000000"/>
        <rFont val="宋体"/>
        <family val="0"/>
        <charset val="1"/>
      </rPr>
      <t xml:space="preserve">+</t>
    </r>
    <r>
      <rPr>
        <sz val="8.5"/>
        <color rgb="FF000000"/>
        <rFont val="Noto Sans CJK SC"/>
        <family val="2"/>
        <charset val="1"/>
      </rPr>
      <t xml:space="preserve">报警接入授权，新增≥</t>
    </r>
    <r>
      <rPr>
        <sz val="8.5"/>
        <color rgb="FF000000"/>
        <rFont val="宋体"/>
        <family val="0"/>
        <charset val="1"/>
      </rPr>
      <t xml:space="preserve">3000</t>
    </r>
    <r>
      <rPr>
        <sz val="8.5"/>
        <color rgb="FF000000"/>
        <rFont val="Noto Sans CJK SC"/>
        <family val="2"/>
        <charset val="1"/>
      </rPr>
      <t xml:space="preserve">路，含扩展余量</t>
    </r>
  </si>
  <si>
    <t xml:space="preserve">全新采购，不利旧</t>
  </si>
  <si>
    <r>
      <rPr>
        <sz val="10"/>
        <color rgb="FF000000"/>
        <rFont val="Noto Sans CJK SC"/>
        <family val="2"/>
        <charset val="1"/>
      </rPr>
      <t xml:space="preserve">时钟同步服务器（</t>
    </r>
    <r>
      <rPr>
        <sz val="10"/>
        <color rgb="FF000000"/>
        <rFont val="宋体"/>
        <family val="0"/>
        <charset val="1"/>
      </rPr>
      <t xml:space="preserve">NTP</t>
    </r>
    <r>
      <rPr>
        <sz val="10"/>
        <color rgb="FF000000"/>
        <rFont val="Noto Sans CJK SC"/>
        <family val="2"/>
        <charset val="1"/>
      </rPr>
      <t xml:space="preserve">）</t>
    </r>
  </si>
  <si>
    <t xml:space="preserve">（待选型）</t>
  </si>
  <si>
    <r>
      <rPr>
        <sz val="8.5"/>
        <color rgb="FF000000"/>
        <rFont val="宋体"/>
        <family val="0"/>
        <charset val="1"/>
      </rPr>
      <t xml:space="preserve">NTP/GPS·</t>
    </r>
    <r>
      <rPr>
        <sz val="8.5"/>
        <color rgb="FF000000"/>
        <rFont val="Noto Sans CJK SC"/>
        <family val="2"/>
        <charset val="1"/>
      </rPr>
      <t xml:space="preserve">北斗统一授时，为管理平台、</t>
    </r>
    <r>
      <rPr>
        <sz val="8.5"/>
        <color rgb="FF000000"/>
        <rFont val="宋体"/>
        <family val="0"/>
        <charset val="1"/>
      </rPr>
      <t xml:space="preserve">NVR</t>
    </r>
    <r>
      <rPr>
        <sz val="8.5"/>
        <color rgb="FF000000"/>
        <rFont val="Noto Sans CJK SC"/>
        <family val="2"/>
        <charset val="1"/>
      </rPr>
      <t xml:space="preserve">及前端设备提供统一时间基准，保证录像与报警时序一致，满足等保要求</t>
    </r>
  </si>
  <si>
    <t xml:space="preserve">新增，规格以深化设计为准</t>
  </si>
  <si>
    <t xml:space="preserve">四、存储设备</t>
  </si>
  <si>
    <r>
      <rPr>
        <sz val="10"/>
        <color rgb="FF000000"/>
        <rFont val="Noto Sans CJK SC"/>
        <family val="2"/>
        <charset val="1"/>
      </rPr>
      <t xml:space="preserve">网络硬盘录像机（</t>
    </r>
    <r>
      <rPr>
        <sz val="10"/>
        <color rgb="FF000000"/>
        <rFont val="宋体"/>
        <family val="0"/>
        <charset val="1"/>
      </rPr>
      <t xml:space="preserve">32</t>
    </r>
    <r>
      <rPr>
        <sz val="10"/>
        <color rgb="FF000000"/>
        <rFont val="Noto Sans CJK SC"/>
        <family val="2"/>
        <charset val="1"/>
      </rPr>
      <t xml:space="preserve">路）</t>
    </r>
  </si>
  <si>
    <r>
      <rPr>
        <sz val="9"/>
        <color rgb="FF1F4E79"/>
        <rFont val="Noto Sans CJK SC"/>
        <family val="2"/>
        <charset val="1"/>
      </rPr>
      <t xml:space="preserve">海康威视
</t>
    </r>
    <r>
      <rPr>
        <sz val="9"/>
        <color rgb="FF1F4E79"/>
        <rFont val="宋体"/>
        <family val="0"/>
        <charset val="1"/>
      </rPr>
      <t xml:space="preserve">DS-8632NX-K9/Pro</t>
    </r>
  </si>
  <si>
    <r>
      <rPr>
        <sz val="8.5"/>
        <color rgb="FF000000"/>
        <rFont val="宋体"/>
        <family val="0"/>
        <charset val="1"/>
      </rPr>
      <t xml:space="preserve">2U</t>
    </r>
    <r>
      <rPr>
        <sz val="8.5"/>
        <color rgb="FF000000"/>
        <rFont val="Noto Sans CJK SC"/>
        <family val="2"/>
        <charset val="1"/>
      </rPr>
      <t xml:space="preserve">机架</t>
    </r>
    <r>
      <rPr>
        <sz val="8.5"/>
        <color rgb="FF000000"/>
        <rFont val="宋体"/>
        <family val="0"/>
        <charset val="1"/>
      </rPr>
      <t xml:space="preserve">9</t>
    </r>
    <r>
      <rPr>
        <sz val="8.5"/>
        <color rgb="FF000000"/>
        <rFont val="Noto Sans CJK SC"/>
        <family val="2"/>
        <charset val="1"/>
      </rPr>
      <t xml:space="preserve">盘位嵌入式</t>
    </r>
    <r>
      <rPr>
        <sz val="8.5"/>
        <color rgb="FF000000"/>
        <rFont val="宋体"/>
        <family val="0"/>
        <charset val="1"/>
      </rPr>
      <t xml:space="preserve">NVR</t>
    </r>
    <r>
      <rPr>
        <sz val="8.5"/>
        <color rgb="FF000000"/>
        <rFont val="Noto Sans CJK SC"/>
        <family val="2"/>
        <charset val="1"/>
      </rPr>
      <t xml:space="preserve">（可满配</t>
    </r>
    <r>
      <rPr>
        <sz val="8.5"/>
        <color rgb="FF000000"/>
        <rFont val="宋体"/>
        <family val="0"/>
        <charset val="1"/>
      </rPr>
      <t xml:space="preserve">12TB</t>
    </r>
    <r>
      <rPr>
        <sz val="8.5"/>
        <color rgb="FF000000"/>
        <rFont val="Noto Sans CJK SC"/>
        <family val="2"/>
        <charset val="1"/>
      </rPr>
      <t xml:space="preserve">）
接入</t>
    </r>
    <r>
      <rPr>
        <sz val="8.5"/>
        <color rgb="FF000000"/>
        <rFont val="宋体"/>
        <family val="0"/>
        <charset val="1"/>
      </rPr>
      <t xml:space="preserve">32</t>
    </r>
    <r>
      <rPr>
        <sz val="8.5"/>
        <color rgb="FF000000"/>
        <rFont val="Noto Sans CJK SC"/>
        <family val="2"/>
        <charset val="1"/>
      </rPr>
      <t xml:space="preserve">路</t>
    </r>
    <r>
      <rPr>
        <sz val="8.5"/>
        <color rgb="FF000000"/>
        <rFont val="宋体"/>
        <family val="0"/>
        <charset val="1"/>
      </rPr>
      <t xml:space="preserve">H.264/H.265</t>
    </r>
    <r>
      <rPr>
        <sz val="8.5"/>
        <color rgb="FF000000"/>
        <rFont val="Noto Sans CJK SC"/>
        <family val="2"/>
        <charset val="1"/>
      </rPr>
      <t xml:space="preserve">，最大解码</t>
    </r>
    <r>
      <rPr>
        <sz val="8.5"/>
        <color rgb="FF000000"/>
        <rFont val="宋体"/>
        <family val="0"/>
        <charset val="1"/>
      </rPr>
      <t xml:space="preserve">24×1080P
</t>
    </r>
    <r>
      <rPr>
        <sz val="8.5"/>
        <color rgb="FF000000"/>
        <rFont val="Noto Sans CJK SC"/>
        <family val="2"/>
        <charset val="1"/>
      </rPr>
      <t xml:space="preserve">输入带宽</t>
    </r>
    <r>
      <rPr>
        <sz val="8.5"/>
        <color rgb="FF000000"/>
        <rFont val="宋体"/>
        <family val="0"/>
        <charset val="1"/>
      </rPr>
      <t xml:space="preserve">256Mbps/</t>
    </r>
    <r>
      <rPr>
        <sz val="8.5"/>
        <color rgb="FF000000"/>
        <rFont val="Noto Sans CJK SC"/>
        <family val="2"/>
        <charset val="1"/>
      </rPr>
      <t xml:space="preserve">输出</t>
    </r>
    <r>
      <rPr>
        <sz val="8.5"/>
        <color rgb="FF000000"/>
        <rFont val="宋体"/>
        <family val="0"/>
        <charset val="1"/>
      </rPr>
      <t xml:space="preserve">160Mbps
</t>
    </r>
    <r>
      <rPr>
        <sz val="8.5"/>
        <color rgb="FF000000"/>
        <rFont val="Noto Sans CJK SC"/>
        <family val="2"/>
        <charset val="1"/>
      </rPr>
      <t xml:space="preserve">网络</t>
    </r>
    <r>
      <rPr>
        <sz val="8.5"/>
        <color rgb="FF000000"/>
        <rFont val="宋体"/>
        <family val="0"/>
        <charset val="1"/>
      </rPr>
      <t xml:space="preserve">2×</t>
    </r>
    <r>
      <rPr>
        <sz val="8.5"/>
        <color rgb="FF000000"/>
        <rFont val="Noto Sans CJK SC"/>
        <family val="2"/>
        <charset val="1"/>
      </rPr>
      <t xml:space="preserve">千兆，视频</t>
    </r>
    <r>
      <rPr>
        <sz val="8.5"/>
        <color rgb="FF000000"/>
        <rFont val="宋体"/>
        <family val="0"/>
        <charset val="1"/>
      </rPr>
      <t xml:space="preserve">2×HDMI+2×VGA
</t>
    </r>
    <r>
      <rPr>
        <sz val="8.5"/>
        <color rgb="FF000000"/>
        <rFont val="Noto Sans CJK SC"/>
        <family val="2"/>
        <charset val="1"/>
      </rPr>
      <t xml:space="preserve">内置</t>
    </r>
    <r>
      <rPr>
        <sz val="8.5"/>
        <color rgb="FF000000"/>
        <rFont val="宋体"/>
        <family val="0"/>
        <charset val="1"/>
      </rPr>
      <t xml:space="preserve">AI</t>
    </r>
    <r>
      <rPr>
        <sz val="8.5"/>
        <color rgb="FF000000"/>
        <rFont val="Noto Sans CJK SC"/>
        <family val="2"/>
        <charset val="1"/>
      </rPr>
      <t xml:space="preserve">，支持以文搜图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以图搜图（各</t>
    </r>
    <r>
      <rPr>
        <sz val="8.5"/>
        <color rgb="FF000000"/>
        <rFont val="宋体"/>
        <family val="0"/>
        <charset val="1"/>
      </rPr>
      <t xml:space="preserve">32</t>
    </r>
    <r>
      <rPr>
        <sz val="8.5"/>
        <color rgb="FF000000"/>
        <rFont val="Noto Sans CJK SC"/>
        <family val="2"/>
        <charset val="1"/>
      </rPr>
      <t xml:space="preserve">路）、目标识别
报警</t>
    </r>
    <r>
      <rPr>
        <sz val="8.5"/>
        <color rgb="FF000000"/>
        <rFont val="宋体"/>
        <family val="0"/>
        <charset val="1"/>
      </rPr>
      <t xml:space="preserve">16</t>
    </r>
    <r>
      <rPr>
        <sz val="8.5"/>
        <color rgb="FF000000"/>
        <rFont val="Noto Sans CJK SC"/>
        <family val="2"/>
        <charset val="1"/>
      </rPr>
      <t xml:space="preserve">入</t>
    </r>
    <r>
      <rPr>
        <sz val="8.5"/>
        <color rgb="FF000000"/>
        <rFont val="宋体"/>
        <family val="0"/>
        <charset val="1"/>
      </rPr>
      <t xml:space="preserve">9</t>
    </r>
    <r>
      <rPr>
        <sz val="8.5"/>
        <color rgb="FF000000"/>
        <rFont val="Noto Sans CJK SC"/>
        <family val="2"/>
        <charset val="1"/>
      </rPr>
      <t xml:space="preserve">出，</t>
    </r>
    <r>
      <rPr>
        <sz val="8.5"/>
        <color rgb="FF000000"/>
        <rFont val="宋体"/>
        <family val="0"/>
        <charset val="1"/>
      </rPr>
      <t xml:space="preserve">RS-232/485</t>
    </r>
    <r>
      <rPr>
        <sz val="8.5"/>
        <color rgb="FF000000"/>
        <rFont val="Noto Sans CJK SC"/>
        <family val="2"/>
        <charset val="1"/>
      </rPr>
      <t xml:space="preserve">，</t>
    </r>
    <r>
      <rPr>
        <sz val="8.5"/>
        <color rgb="FF000000"/>
        <rFont val="宋体"/>
        <family val="0"/>
        <charset val="1"/>
      </rPr>
      <t xml:space="preserve">eSATA</t>
    </r>
    <r>
      <rPr>
        <sz val="8.5"/>
        <color rgb="FF000000"/>
        <rFont val="Noto Sans CJK SC"/>
        <family val="2"/>
        <charset val="1"/>
      </rPr>
      <t xml:space="preserve">扩展</t>
    </r>
  </si>
  <si>
    <r>
      <rPr>
        <sz val="9"/>
        <color rgb="FF595959"/>
        <rFont val="Noto Sans CJK SC"/>
        <family val="2"/>
        <charset val="1"/>
      </rPr>
      <t xml:space="preserve">满足</t>
    </r>
    <r>
      <rPr>
        <sz val="9"/>
        <color rgb="FF595959"/>
        <rFont val="宋体"/>
        <family val="0"/>
        <charset val="1"/>
      </rPr>
      <t xml:space="preserve">90</t>
    </r>
    <r>
      <rPr>
        <sz val="9"/>
        <color rgb="FF595959"/>
        <rFont val="Noto Sans CJK SC"/>
        <family val="2"/>
        <charset val="1"/>
      </rPr>
      <t xml:space="preserve">天录像，预留</t>
    </r>
    <r>
      <rPr>
        <sz val="9"/>
        <color rgb="FF595959"/>
        <rFont val="宋体"/>
        <family val="0"/>
        <charset val="1"/>
      </rPr>
      <t xml:space="preserve">10%</t>
    </r>
    <r>
      <rPr>
        <sz val="9"/>
        <color rgb="FF595959"/>
        <rFont val="Noto Sans CJK SC"/>
        <family val="2"/>
        <charset val="1"/>
      </rPr>
      <t xml:space="preserve">余量；不含硬盘</t>
    </r>
  </si>
  <si>
    <r>
      <rPr>
        <sz val="10"/>
        <color rgb="FF000000"/>
        <rFont val="Noto Sans CJK SC"/>
        <family val="2"/>
        <charset val="1"/>
      </rPr>
      <t xml:space="preserve">网络硬盘录像机（</t>
    </r>
    <r>
      <rPr>
        <sz val="10"/>
        <color rgb="FF000000"/>
        <rFont val="宋体"/>
        <family val="0"/>
        <charset val="1"/>
      </rPr>
      <t xml:space="preserve">64</t>
    </r>
    <r>
      <rPr>
        <sz val="10"/>
        <color rgb="FF000000"/>
        <rFont val="Noto Sans CJK SC"/>
        <family val="2"/>
        <charset val="1"/>
      </rPr>
      <t xml:space="preserve">路）</t>
    </r>
  </si>
  <si>
    <r>
      <rPr>
        <sz val="9"/>
        <color rgb="FF1F4E79"/>
        <rFont val="Noto Sans CJK SC"/>
        <family val="2"/>
        <charset val="1"/>
      </rPr>
      <t xml:space="preserve">海康威视
</t>
    </r>
    <r>
      <rPr>
        <sz val="9"/>
        <color rgb="FF1F4E79"/>
        <rFont val="宋体"/>
        <family val="0"/>
        <charset val="1"/>
      </rPr>
      <t xml:space="preserve">DS-8664NX-I16/Pro</t>
    </r>
  </si>
  <si>
    <r>
      <rPr>
        <sz val="8.5"/>
        <color rgb="FF000000"/>
        <rFont val="宋体"/>
        <family val="0"/>
        <charset val="1"/>
      </rPr>
      <t xml:space="preserve">3U</t>
    </r>
    <r>
      <rPr>
        <sz val="8.5"/>
        <color rgb="FF000000"/>
        <rFont val="Noto Sans CJK SC"/>
        <family val="2"/>
        <charset val="1"/>
      </rPr>
      <t xml:space="preserve">机架</t>
    </r>
    <r>
      <rPr>
        <sz val="8.5"/>
        <color rgb="FF000000"/>
        <rFont val="宋体"/>
        <family val="0"/>
        <charset val="1"/>
      </rPr>
      <t xml:space="preserve">16</t>
    </r>
    <r>
      <rPr>
        <sz val="8.5"/>
        <color rgb="FF000000"/>
        <rFont val="Noto Sans CJK SC"/>
        <family val="2"/>
        <charset val="1"/>
      </rPr>
      <t xml:space="preserve">盘位嵌入式</t>
    </r>
    <r>
      <rPr>
        <sz val="8.5"/>
        <color rgb="FF000000"/>
        <rFont val="宋体"/>
        <family val="0"/>
        <charset val="1"/>
      </rPr>
      <t xml:space="preserve">NVR</t>
    </r>
    <r>
      <rPr>
        <sz val="8.5"/>
        <color rgb="FF000000"/>
        <rFont val="Noto Sans CJK SC"/>
        <family val="2"/>
        <charset val="1"/>
      </rPr>
      <t xml:space="preserve">（可满配</t>
    </r>
    <r>
      <rPr>
        <sz val="8.5"/>
        <color rgb="FF000000"/>
        <rFont val="宋体"/>
        <family val="0"/>
        <charset val="1"/>
      </rPr>
      <t xml:space="preserve">20TB</t>
    </r>
    <r>
      <rPr>
        <sz val="8.5"/>
        <color rgb="FF000000"/>
        <rFont val="Noto Sans CJK SC"/>
        <family val="2"/>
        <charset val="1"/>
      </rPr>
      <t xml:space="preserve">）
接入</t>
    </r>
    <r>
      <rPr>
        <sz val="8.5"/>
        <color rgb="FF000000"/>
        <rFont val="宋体"/>
        <family val="0"/>
        <charset val="1"/>
      </rPr>
      <t xml:space="preserve">64</t>
    </r>
    <r>
      <rPr>
        <sz val="8.5"/>
        <color rgb="FF000000"/>
        <rFont val="Noto Sans CJK SC"/>
        <family val="2"/>
        <charset val="1"/>
      </rPr>
      <t xml:space="preserve">路</t>
    </r>
    <r>
      <rPr>
        <sz val="8.5"/>
        <color rgb="FF000000"/>
        <rFont val="宋体"/>
        <family val="0"/>
        <charset val="1"/>
      </rPr>
      <t xml:space="preserve">H.264/H.265</t>
    </r>
    <r>
      <rPr>
        <sz val="8.5"/>
        <color rgb="FF000000"/>
        <rFont val="Noto Sans CJK SC"/>
        <family val="2"/>
        <charset val="1"/>
      </rPr>
      <t xml:space="preserve">，最大解码</t>
    </r>
    <r>
      <rPr>
        <sz val="8.5"/>
        <color rgb="FF000000"/>
        <rFont val="宋体"/>
        <family val="0"/>
        <charset val="1"/>
      </rPr>
      <t xml:space="preserve">48×1080P
</t>
    </r>
    <r>
      <rPr>
        <sz val="8.5"/>
        <color rgb="FF000000"/>
        <rFont val="Noto Sans CJK SC"/>
        <family val="2"/>
        <charset val="1"/>
      </rPr>
      <t xml:space="preserve">输入带宽</t>
    </r>
    <r>
      <rPr>
        <sz val="8.5"/>
        <color rgb="FF000000"/>
        <rFont val="宋体"/>
        <family val="0"/>
        <charset val="1"/>
      </rPr>
      <t xml:space="preserve">512Mbps</t>
    </r>
    <r>
      <rPr>
        <sz val="8.5"/>
        <color rgb="FF000000"/>
        <rFont val="Noto Sans CJK SC"/>
        <family val="2"/>
        <charset val="1"/>
      </rPr>
      <t xml:space="preserve">（开</t>
    </r>
    <r>
      <rPr>
        <sz val="8.5"/>
        <color rgb="FF000000"/>
        <rFont val="宋体"/>
        <family val="0"/>
        <charset val="1"/>
      </rPr>
      <t xml:space="preserve">RAID</t>
    </r>
    <r>
      <rPr>
        <sz val="8.5"/>
        <color rgb="FF000000"/>
        <rFont val="Noto Sans CJK SC"/>
        <family val="2"/>
        <charset val="1"/>
      </rPr>
      <t xml:space="preserve">为</t>
    </r>
    <r>
      <rPr>
        <sz val="8.5"/>
        <color rgb="FF000000"/>
        <rFont val="宋体"/>
        <family val="0"/>
        <charset val="1"/>
      </rPr>
      <t xml:space="preserve">256</t>
    </r>
    <r>
      <rPr>
        <sz val="8.5"/>
        <color rgb="FF000000"/>
        <rFont val="Noto Sans CJK SC"/>
        <family val="2"/>
        <charset val="1"/>
      </rPr>
      <t xml:space="preserve">）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输出</t>
    </r>
    <r>
      <rPr>
        <sz val="8.5"/>
        <color rgb="FF000000"/>
        <rFont val="宋体"/>
        <family val="0"/>
        <charset val="1"/>
      </rPr>
      <t xml:space="preserve">256Mbps
</t>
    </r>
    <r>
      <rPr>
        <sz val="8.5"/>
        <color rgb="FF000000"/>
        <rFont val="Noto Sans CJK SC"/>
        <family val="2"/>
        <charset val="1"/>
      </rPr>
      <t xml:space="preserve">支持</t>
    </r>
    <r>
      <rPr>
        <sz val="8.5"/>
        <color rgb="FF000000"/>
        <rFont val="宋体"/>
        <family val="0"/>
        <charset val="1"/>
      </rPr>
      <t xml:space="preserve">RAID0/1/5/6/10+</t>
    </r>
    <r>
      <rPr>
        <sz val="8.5"/>
        <color rgb="FF000000"/>
        <rFont val="Noto Sans CJK SC"/>
        <family val="2"/>
        <charset val="1"/>
      </rPr>
      <t xml:space="preserve">全局热备（与智能应用互斥）
内置</t>
    </r>
    <r>
      <rPr>
        <sz val="8.5"/>
        <color rgb="FF000000"/>
        <rFont val="宋体"/>
        <family val="0"/>
        <charset val="1"/>
      </rPr>
      <t xml:space="preserve">AI</t>
    </r>
    <r>
      <rPr>
        <sz val="8.5"/>
        <color rgb="FF000000"/>
        <rFont val="Noto Sans CJK SC"/>
        <family val="2"/>
        <charset val="1"/>
      </rPr>
      <t xml:space="preserve">，支持以文搜图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以图搜图（各</t>
    </r>
    <r>
      <rPr>
        <sz val="8.5"/>
        <color rgb="FF000000"/>
        <rFont val="宋体"/>
        <family val="0"/>
        <charset val="1"/>
      </rPr>
      <t xml:space="preserve">64</t>
    </r>
    <r>
      <rPr>
        <sz val="8.5"/>
        <color rgb="FF000000"/>
        <rFont val="Noto Sans CJK SC"/>
        <family val="2"/>
        <charset val="1"/>
      </rPr>
      <t xml:space="preserve">路）、目标识别
网络</t>
    </r>
    <r>
      <rPr>
        <sz val="8.5"/>
        <color rgb="FF000000"/>
        <rFont val="宋体"/>
        <family val="0"/>
        <charset val="1"/>
      </rPr>
      <t xml:space="preserve">2×</t>
    </r>
    <r>
      <rPr>
        <sz val="8.5"/>
        <color rgb="FF000000"/>
        <rFont val="Noto Sans CJK SC"/>
        <family val="2"/>
        <charset val="1"/>
      </rPr>
      <t xml:space="preserve">千兆，视频</t>
    </r>
    <r>
      <rPr>
        <sz val="8.5"/>
        <color rgb="FF000000"/>
        <rFont val="宋体"/>
        <family val="0"/>
        <charset val="1"/>
      </rPr>
      <t xml:space="preserve">3×HDMI+2×VGA</t>
    </r>
  </si>
  <si>
    <t xml:space="preserve">五、网络传输设备</t>
  </si>
  <si>
    <r>
      <rPr>
        <sz val="10"/>
        <color rgb="FF000000"/>
        <rFont val="宋体"/>
        <family val="0"/>
        <charset val="1"/>
      </rPr>
      <t xml:space="preserve">48</t>
    </r>
    <r>
      <rPr>
        <sz val="10"/>
        <color rgb="FF000000"/>
        <rFont val="Noto Sans CJK SC"/>
        <family val="2"/>
        <charset val="1"/>
      </rPr>
      <t xml:space="preserve">口全万兆光三层网管交换机</t>
    </r>
  </si>
  <si>
    <r>
      <rPr>
        <sz val="9"/>
        <color rgb="FF1F4E79"/>
        <rFont val="Noto Sans CJK SC"/>
        <family val="2"/>
        <charset val="1"/>
      </rPr>
      <t xml:space="preserve">华为
</t>
    </r>
    <r>
      <rPr>
        <sz val="9"/>
        <color rgb="FF1F4E79"/>
        <rFont val="宋体"/>
        <family val="0"/>
        <charset val="1"/>
      </rPr>
      <t xml:space="preserve">S6730-S48X6Q-V2</t>
    </r>
  </si>
  <si>
    <r>
      <rPr>
        <sz val="8.5"/>
        <color rgb="FF000000"/>
        <rFont val="宋体"/>
        <family val="0"/>
        <charset val="1"/>
      </rPr>
      <t xml:space="preserve">S6730-S48X6Q-V2(48</t>
    </r>
    <r>
      <rPr>
        <sz val="8.5"/>
        <color rgb="FF000000"/>
        <rFont val="Noto Sans CJK SC"/>
        <family val="2"/>
        <charset val="1"/>
      </rPr>
      <t xml:space="preserve">个万兆</t>
    </r>
    <r>
      <rPr>
        <sz val="8.5"/>
        <color rgb="FF000000"/>
        <rFont val="宋体"/>
        <family val="0"/>
        <charset val="1"/>
      </rPr>
      <t xml:space="preserve">SFP+,6</t>
    </r>
    <r>
      <rPr>
        <sz val="8.5"/>
        <color rgb="FF000000"/>
        <rFont val="Noto Sans CJK SC"/>
        <family val="2"/>
        <charset val="1"/>
      </rPr>
      <t xml:space="preserve">个</t>
    </r>
    <r>
      <rPr>
        <sz val="8.5"/>
        <color rgb="FF000000"/>
        <rFont val="宋体"/>
        <family val="0"/>
        <charset val="1"/>
      </rPr>
      <t xml:space="preserve">40GE QSFP28,</t>
    </r>
    <r>
      <rPr>
        <sz val="8.5"/>
        <color rgb="FF000000"/>
        <rFont val="Noto Sans CJK SC"/>
        <family val="2"/>
        <charset val="1"/>
      </rPr>
      <t xml:space="preserve">可选</t>
    </r>
    <r>
      <rPr>
        <sz val="8.5"/>
        <color rgb="FF000000"/>
        <rFont val="宋体"/>
        <family val="0"/>
        <charset val="1"/>
      </rPr>
      <t xml:space="preserve">license</t>
    </r>
    <r>
      <rPr>
        <sz val="8.5"/>
        <color rgb="FF000000"/>
        <rFont val="Noto Sans CJK SC"/>
        <family val="2"/>
        <charset val="1"/>
      </rPr>
      <t xml:space="preserve">升级到</t>
    </r>
    <r>
      <rPr>
        <sz val="8.5"/>
        <color rgb="FF000000"/>
        <rFont val="宋体"/>
        <family val="0"/>
        <charset val="1"/>
      </rPr>
      <t xml:space="preserve">6</t>
    </r>
    <r>
      <rPr>
        <sz val="8.5"/>
        <color rgb="FF000000"/>
        <rFont val="Noto Sans CJK SC"/>
        <family val="2"/>
        <charset val="1"/>
      </rPr>
      <t xml:space="preserve">个</t>
    </r>
    <r>
      <rPr>
        <sz val="8.5"/>
        <color rgb="FF000000"/>
        <rFont val="宋体"/>
        <family val="0"/>
        <charset val="1"/>
      </rPr>
      <t xml:space="preserve">100GE QSFP28,</t>
    </r>
    <r>
      <rPr>
        <sz val="8.5"/>
        <color rgb="FF000000"/>
        <rFont val="Noto Sans CJK SC"/>
        <family val="2"/>
        <charset val="1"/>
      </rPr>
      <t xml:space="preserve">含双电源</t>
    </r>
    <r>
      <rPr>
        <sz val="8.5"/>
        <color rgb="FF000000"/>
        <rFont val="宋体"/>
        <family val="0"/>
        <charset val="1"/>
      </rPr>
      <t xml:space="preserve">)</t>
    </r>
  </si>
  <si>
    <t xml:space="preserve">集团监控专网核心，双机热备</t>
  </si>
  <si>
    <r>
      <rPr>
        <sz val="10"/>
        <color rgb="FF000000"/>
        <rFont val="宋体"/>
        <family val="0"/>
        <charset val="1"/>
      </rPr>
      <t xml:space="preserve">24</t>
    </r>
    <r>
      <rPr>
        <sz val="10"/>
        <color rgb="FF000000"/>
        <rFont val="Noto Sans CJK SC"/>
        <family val="2"/>
        <charset val="1"/>
      </rPr>
      <t xml:space="preserve">千兆电</t>
    </r>
    <r>
      <rPr>
        <sz val="10"/>
        <color rgb="FF000000"/>
        <rFont val="宋体"/>
        <family val="0"/>
        <charset val="1"/>
      </rPr>
      <t xml:space="preserve">/4</t>
    </r>
    <r>
      <rPr>
        <sz val="10"/>
        <color rgb="FF000000"/>
        <rFont val="Noto Sans CJK SC"/>
        <family val="2"/>
        <charset val="1"/>
      </rPr>
      <t xml:space="preserve">万兆光交换机（园区汇聚）</t>
    </r>
  </si>
  <si>
    <r>
      <rPr>
        <sz val="9"/>
        <color rgb="FF1F4E79"/>
        <rFont val="Noto Sans CJK SC"/>
        <family val="2"/>
        <charset val="1"/>
      </rPr>
      <t xml:space="preserve">华为
</t>
    </r>
    <r>
      <rPr>
        <sz val="9"/>
        <color rgb="FF1F4E79"/>
        <rFont val="宋体"/>
        <family val="0"/>
        <charset val="1"/>
      </rPr>
      <t xml:space="preserve">S5735-S24T4XE-V2</t>
    </r>
  </si>
  <si>
    <r>
      <rPr>
        <sz val="8.5"/>
        <color rgb="FF000000"/>
        <rFont val="宋体"/>
        <family val="0"/>
        <charset val="1"/>
      </rPr>
      <t xml:space="preserve">S5735-S24T4XE-V2(24</t>
    </r>
    <r>
      <rPr>
        <sz val="8.5"/>
        <color rgb="FF000000"/>
        <rFont val="Noto Sans CJK SC"/>
        <family val="2"/>
        <charset val="1"/>
      </rPr>
      <t xml:space="preserve">个</t>
    </r>
    <r>
      <rPr>
        <sz val="8.5"/>
        <color rgb="FF000000"/>
        <rFont val="宋体"/>
        <family val="0"/>
        <charset val="1"/>
      </rPr>
      <t xml:space="preserve">10/100/1000BASE-T</t>
    </r>
    <r>
      <rPr>
        <sz val="8.5"/>
        <color rgb="FF000000"/>
        <rFont val="Noto Sans CJK SC"/>
        <family val="2"/>
        <charset val="1"/>
      </rPr>
      <t xml:space="preserve">以太网端口</t>
    </r>
    <r>
      <rPr>
        <sz val="8.5"/>
        <color rgb="FF000000"/>
        <rFont val="宋体"/>
        <family val="0"/>
        <charset val="1"/>
      </rPr>
      <t xml:space="preserve">,4</t>
    </r>
    <r>
      <rPr>
        <sz val="8.5"/>
        <color rgb="FF000000"/>
        <rFont val="Noto Sans CJK SC"/>
        <family val="2"/>
        <charset val="1"/>
      </rPr>
      <t xml:space="preserve">个万兆</t>
    </r>
    <r>
      <rPr>
        <sz val="8.5"/>
        <color rgb="FF000000"/>
        <rFont val="宋体"/>
        <family val="0"/>
        <charset val="1"/>
      </rPr>
      <t xml:space="preserve">SFP+,2</t>
    </r>
    <r>
      <rPr>
        <sz val="8.5"/>
        <color rgb="FF000000"/>
        <rFont val="Noto Sans CJK SC"/>
        <family val="2"/>
        <charset val="1"/>
      </rPr>
      <t xml:space="preserve">个</t>
    </r>
    <r>
      <rPr>
        <sz val="8.5"/>
        <color rgb="FF000000"/>
        <rFont val="宋体"/>
        <family val="0"/>
        <charset val="1"/>
      </rPr>
      <t xml:space="preserve">12GE</t>
    </r>
    <r>
      <rPr>
        <sz val="8.5"/>
        <color rgb="FF000000"/>
        <rFont val="Noto Sans CJK SC"/>
        <family val="2"/>
        <charset val="1"/>
      </rPr>
      <t xml:space="preserve">堆叠口</t>
    </r>
    <r>
      <rPr>
        <sz val="8.5"/>
        <color rgb="FF000000"/>
        <rFont val="宋体"/>
        <family val="0"/>
        <charset val="1"/>
      </rPr>
      <t xml:space="preserve">,</t>
    </r>
    <r>
      <rPr>
        <sz val="8.5"/>
        <color rgb="FF000000"/>
        <rFont val="Noto Sans CJK SC"/>
        <family val="2"/>
        <charset val="1"/>
      </rPr>
      <t xml:space="preserve">含双电源</t>
    </r>
    <r>
      <rPr>
        <sz val="8.5"/>
        <color rgb="FF000000"/>
        <rFont val="宋体"/>
        <family val="0"/>
        <charset val="1"/>
      </rPr>
      <t xml:space="preserve">)</t>
    </r>
  </si>
  <si>
    <r>
      <rPr>
        <sz val="9"/>
        <color rgb="FF595959"/>
        <rFont val="Noto Sans CJK SC"/>
        <family val="2"/>
        <charset val="1"/>
      </rPr>
      <t xml:space="preserve">对应</t>
    </r>
    <r>
      <rPr>
        <sz val="9"/>
        <color rgb="FF595959"/>
        <rFont val="宋体"/>
        <family val="0"/>
        <charset val="1"/>
      </rPr>
      <t xml:space="preserve">30</t>
    </r>
    <r>
      <rPr>
        <sz val="9"/>
        <color rgb="FF595959"/>
        <rFont val="Noto Sans CJK SC"/>
        <family val="2"/>
        <charset val="1"/>
      </rPr>
      <t xml:space="preserve">余个独立监控室</t>
    </r>
    <r>
      <rPr>
        <sz val="9"/>
        <color rgb="FF595959"/>
        <rFont val="宋体"/>
        <family val="0"/>
        <charset val="1"/>
      </rPr>
      <t xml:space="preserve">/</t>
    </r>
    <r>
      <rPr>
        <sz val="9"/>
        <color rgb="FF595959"/>
        <rFont val="Noto Sans CJK SC"/>
        <family val="2"/>
        <charset val="1"/>
      </rPr>
      <t xml:space="preserve">二级单位</t>
    </r>
  </si>
  <si>
    <r>
      <rPr>
        <sz val="10"/>
        <color rgb="FF000000"/>
        <rFont val="宋体"/>
        <family val="0"/>
        <charset val="1"/>
      </rPr>
      <t xml:space="preserve">4</t>
    </r>
    <r>
      <rPr>
        <sz val="10"/>
        <color rgb="FF000000"/>
        <rFont val="Noto Sans CJK SC"/>
        <family val="2"/>
        <charset val="1"/>
      </rPr>
      <t xml:space="preserve">口接入交换机（</t>
    </r>
    <r>
      <rPr>
        <sz val="10"/>
        <color rgb="FF000000"/>
        <rFont val="宋体"/>
        <family val="0"/>
        <charset val="1"/>
      </rPr>
      <t xml:space="preserve">POE</t>
    </r>
    <r>
      <rPr>
        <sz val="10"/>
        <color rgb="FF000000"/>
        <rFont val="Noto Sans CJK SC"/>
        <family val="2"/>
        <charset val="1"/>
      </rPr>
      <t xml:space="preserve">）</t>
    </r>
  </si>
  <si>
    <t xml:space="preserve">华为
（待选型）</t>
  </si>
  <si>
    <r>
      <rPr>
        <sz val="8.5"/>
        <color rgb="FF000000"/>
        <rFont val="宋体"/>
        <family val="0"/>
        <charset val="1"/>
      </rPr>
      <t xml:space="preserve">2</t>
    </r>
    <r>
      <rPr>
        <sz val="8.5"/>
        <color rgb="FF000000"/>
        <rFont val="Noto Sans CJK SC"/>
        <family val="2"/>
        <charset val="1"/>
      </rPr>
      <t xml:space="preserve">光</t>
    </r>
    <r>
      <rPr>
        <sz val="8.5"/>
        <color rgb="FF000000"/>
        <rFont val="宋体"/>
        <family val="0"/>
        <charset val="1"/>
      </rPr>
      <t xml:space="preserve">4</t>
    </r>
    <r>
      <rPr>
        <sz val="8.5"/>
        <color rgb="FF000000"/>
        <rFont val="Noto Sans CJK SC"/>
        <family val="2"/>
        <charset val="1"/>
      </rPr>
      <t xml:space="preserve">电</t>
    </r>
    <r>
      <rPr>
        <sz val="8.5"/>
        <color rgb="FF000000"/>
        <rFont val="宋体"/>
        <family val="0"/>
        <charset val="1"/>
      </rPr>
      <t xml:space="preserve">POE</t>
    </r>
    <r>
      <rPr>
        <sz val="8.5"/>
        <color rgb="FF000000"/>
        <rFont val="Noto Sans CJK SC"/>
        <family val="2"/>
        <charset val="1"/>
      </rPr>
      <t xml:space="preserve">接入交换机，万兆光上联，用于新增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更换前端接入及边缘设备</t>
    </r>
  </si>
  <si>
    <t xml:space="preserve">无线网桥</t>
  </si>
  <si>
    <r>
      <rPr>
        <sz val="8.5"/>
        <color rgb="FF000000"/>
        <rFont val="宋体"/>
        <family val="0"/>
        <charset val="1"/>
      </rPr>
      <t xml:space="preserve">3KM</t>
    </r>
    <r>
      <rPr>
        <sz val="8.5"/>
        <color rgb="FF000000"/>
        <rFont val="Noto Sans CJK SC"/>
        <family val="2"/>
        <charset val="1"/>
      </rPr>
      <t xml:space="preserve">无线传输网桥，用于不便布线点位</t>
    </r>
  </si>
  <si>
    <t xml:space="preserve">对</t>
  </si>
  <si>
    <r>
      <rPr>
        <sz val="10"/>
        <color rgb="FF000000"/>
        <rFont val="Noto Sans CJK SC"/>
        <family val="2"/>
        <charset val="1"/>
      </rPr>
      <t xml:space="preserve">万兆光模块（</t>
    </r>
    <r>
      <rPr>
        <sz val="10"/>
        <color rgb="FF000000"/>
        <rFont val="宋体"/>
        <family val="0"/>
        <charset val="1"/>
      </rPr>
      <t xml:space="preserve">SFP+</t>
    </r>
    <r>
      <rPr>
        <sz val="10"/>
        <color rgb="FF000000"/>
        <rFont val="Noto Sans CJK SC"/>
        <family val="2"/>
        <charset val="1"/>
      </rPr>
      <t xml:space="preserve">）</t>
    </r>
  </si>
  <si>
    <r>
      <rPr>
        <sz val="9"/>
        <color rgb="FF1F4E79"/>
        <rFont val="Noto Sans CJK SC"/>
        <family val="2"/>
        <charset val="1"/>
      </rPr>
      <t xml:space="preserve">海康威视
</t>
    </r>
    <r>
      <rPr>
        <sz val="9"/>
        <color rgb="FF1F4E79"/>
        <rFont val="宋体"/>
        <family val="0"/>
        <charset val="1"/>
      </rPr>
      <t xml:space="preserve">HK-SFP+-10G-10-1310-DF</t>
    </r>
  </si>
  <si>
    <r>
      <rPr>
        <sz val="8.5"/>
        <color rgb="FF000000"/>
        <rFont val="Noto Sans CJK SC"/>
        <family val="2"/>
        <charset val="1"/>
      </rPr>
      <t xml:space="preserve">光模块</t>
    </r>
    <r>
      <rPr>
        <sz val="8.5"/>
        <color rgb="FF000000"/>
        <rFont val="宋体"/>
        <family val="0"/>
        <charset val="1"/>
      </rPr>
      <t xml:space="preserve">-SFP+-10G-</t>
    </r>
    <r>
      <rPr>
        <sz val="8.5"/>
        <color rgb="FF000000"/>
        <rFont val="Noto Sans CJK SC"/>
        <family val="2"/>
        <charset val="1"/>
      </rPr>
      <t xml:space="preserve">单模模块</t>
    </r>
    <r>
      <rPr>
        <sz val="8.5"/>
        <color rgb="FF000000"/>
        <rFont val="宋体"/>
        <family val="0"/>
        <charset val="1"/>
      </rPr>
      <t xml:space="preserve">(1310nm,40km,LC)</t>
    </r>
  </si>
  <si>
    <t xml:space="preserve">只</t>
  </si>
  <si>
    <t xml:space="preserve">主干及汇聚上联</t>
  </si>
  <si>
    <r>
      <rPr>
        <sz val="10"/>
        <color rgb="FF000000"/>
        <rFont val="Noto Sans CJK SC"/>
        <family val="2"/>
        <charset val="1"/>
      </rPr>
      <t xml:space="preserve">室外单模光缆（</t>
    </r>
    <r>
      <rPr>
        <sz val="10"/>
        <color rgb="FF000000"/>
        <rFont val="宋体"/>
        <family val="0"/>
        <charset val="1"/>
      </rPr>
      <t xml:space="preserve">GYTA/GYTS</t>
    </r>
    <r>
      <rPr>
        <sz val="10"/>
        <color rgb="FF000000"/>
        <rFont val="Noto Sans CJK SC"/>
        <family val="2"/>
        <charset val="1"/>
      </rPr>
      <t xml:space="preserve">）</t>
    </r>
  </si>
  <si>
    <r>
      <rPr>
        <sz val="9"/>
        <color rgb="FF1F4E79"/>
        <rFont val="Noto Sans CJK SC"/>
        <family val="2"/>
        <charset val="1"/>
      </rPr>
      <t xml:space="preserve">（</t>
    </r>
    <r>
      <rPr>
        <sz val="9"/>
        <color rgb="FF1F4E79"/>
        <rFont val="宋体"/>
        <family val="0"/>
        <charset val="1"/>
      </rPr>
      <t xml:space="preserve">12</t>
    </r>
    <r>
      <rPr>
        <sz val="9"/>
        <color rgb="FF1F4E79"/>
        <rFont val="Noto Sans CJK SC"/>
        <family val="2"/>
        <charset val="1"/>
      </rPr>
      <t xml:space="preserve">芯单模）</t>
    </r>
  </si>
  <si>
    <r>
      <rPr>
        <sz val="8.5"/>
        <color rgb="FF000000"/>
        <rFont val="Noto Sans CJK SC"/>
        <family val="2"/>
        <charset val="1"/>
      </rPr>
      <t xml:space="preserve">室外铠装单模光缆，用于未联通二级公司到集团监控网的联通，复用为主、新布为辅（</t>
    </r>
    <r>
      <rPr>
        <sz val="8.5"/>
        <color rgb="FF000000"/>
        <rFont val="宋体"/>
        <family val="0"/>
        <charset val="1"/>
      </rPr>
      <t xml:space="preserve">12</t>
    </r>
    <r>
      <rPr>
        <sz val="8.5"/>
        <color rgb="FF000000"/>
        <rFont val="Noto Sans CJK SC"/>
        <family val="2"/>
        <charset val="1"/>
      </rPr>
      <t xml:space="preserve">芯单模）</t>
    </r>
  </si>
  <si>
    <t xml:space="preserve">米</t>
  </si>
  <si>
    <t xml:space="preserve">复用为主、新布为辅，以线路勘查为准</t>
  </si>
  <si>
    <r>
      <rPr>
        <sz val="10"/>
        <color rgb="FF000000"/>
        <rFont val="Noto Sans CJK SC"/>
        <family val="2"/>
        <charset val="1"/>
      </rPr>
      <t xml:space="preserve">光缆熔接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尾纤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光纤配线架</t>
    </r>
  </si>
  <si>
    <t xml:space="preserve">—</t>
  </si>
  <si>
    <r>
      <rPr>
        <sz val="8.5"/>
        <color rgb="FF000000"/>
        <rFont val="Noto Sans CJK SC"/>
        <family val="2"/>
        <charset val="1"/>
      </rPr>
      <t xml:space="preserve">含熔接、尾纤、</t>
    </r>
    <r>
      <rPr>
        <sz val="8.5"/>
        <color rgb="FF000000"/>
        <rFont val="宋体"/>
        <family val="0"/>
        <charset val="1"/>
      </rPr>
      <t xml:space="preserve">ODF</t>
    </r>
    <r>
      <rPr>
        <sz val="8.5"/>
        <color rgb="FF000000"/>
        <rFont val="Noto Sans CJK SC"/>
        <family val="2"/>
        <charset val="1"/>
      </rPr>
      <t xml:space="preserve">配线架及跳纤等</t>
    </r>
  </si>
  <si>
    <t xml:space="preserve">项</t>
  </si>
  <si>
    <t xml:space="preserve">配合光缆联通</t>
  </si>
  <si>
    <t xml:space="preserve">下一代防火墙</t>
  </si>
  <si>
    <r>
      <rPr>
        <sz val="9"/>
        <color rgb="FF1F4E79"/>
        <rFont val="Noto Sans CJK SC"/>
        <family val="2"/>
        <charset val="1"/>
      </rPr>
      <t xml:space="preserve">奇安信
</t>
    </r>
    <r>
      <rPr>
        <sz val="9"/>
        <color rgb="FF1F4E79"/>
        <rFont val="宋体"/>
        <family val="0"/>
        <charset val="1"/>
      </rPr>
      <t xml:space="preserve">NSG2000-TE40P</t>
    </r>
  </si>
  <si>
    <r>
      <rPr>
        <sz val="8.5"/>
        <color rgb="FF000000"/>
        <rFont val="Noto Sans CJK SC"/>
        <family val="2"/>
        <charset val="1"/>
      </rPr>
      <t xml:space="preserve">网络层吞吐量</t>
    </r>
    <r>
      <rPr>
        <sz val="8.5"/>
        <color rgb="FF000000"/>
        <rFont val="宋体"/>
        <family val="0"/>
        <charset val="1"/>
      </rPr>
      <t xml:space="preserve">7G</t>
    </r>
    <r>
      <rPr>
        <sz val="8.5"/>
        <color rgb="FF000000"/>
        <rFont val="Noto Sans CJK SC"/>
        <family val="2"/>
        <charset val="1"/>
      </rPr>
      <t xml:space="preserve">，并发连接≥</t>
    </r>
    <r>
      <rPr>
        <sz val="8.5"/>
        <color rgb="FF000000"/>
        <rFont val="宋体"/>
        <family val="0"/>
        <charset val="1"/>
      </rPr>
      <t xml:space="preserve">350</t>
    </r>
    <r>
      <rPr>
        <sz val="8.5"/>
        <color rgb="FF000000"/>
        <rFont val="Noto Sans CJK SC"/>
        <family val="2"/>
        <charset val="1"/>
      </rPr>
      <t xml:space="preserve">万，每秒新建连接数</t>
    </r>
    <r>
      <rPr>
        <sz val="8.5"/>
        <color rgb="FF000000"/>
        <rFont val="宋体"/>
        <family val="0"/>
        <charset val="1"/>
      </rPr>
      <t xml:space="preserve">7</t>
    </r>
    <r>
      <rPr>
        <sz val="8.5"/>
        <color rgb="FF000000"/>
        <rFont val="Noto Sans CJK SC"/>
        <family val="2"/>
        <charset val="1"/>
      </rPr>
      <t xml:space="preserve">万， 标准</t>
    </r>
    <r>
      <rPr>
        <sz val="8.5"/>
        <color rgb="FF000000"/>
        <rFont val="宋体"/>
        <family val="0"/>
        <charset val="1"/>
      </rPr>
      <t xml:space="preserve">1U</t>
    </r>
    <r>
      <rPr>
        <sz val="8.5"/>
        <color rgb="FF000000"/>
        <rFont val="Noto Sans CJK SC"/>
        <family val="2"/>
        <charset val="1"/>
      </rPr>
      <t xml:space="preserve">机箱，单电源，标准配置板载</t>
    </r>
    <r>
      <rPr>
        <sz val="8.5"/>
        <color rgb="FF000000"/>
        <rFont val="宋体"/>
        <family val="0"/>
        <charset val="1"/>
      </rPr>
      <t xml:space="preserve">6</t>
    </r>
    <r>
      <rPr>
        <sz val="8.5"/>
        <color rgb="FF000000"/>
        <rFont val="Noto Sans CJK SC"/>
        <family val="2"/>
        <charset val="1"/>
      </rPr>
      <t xml:space="preserve">个</t>
    </r>
    <r>
      <rPr>
        <sz val="8.5"/>
        <color rgb="FF000000"/>
        <rFont val="宋体"/>
        <family val="0"/>
        <charset val="1"/>
      </rPr>
      <t xml:space="preserve">10/100/1000M</t>
    </r>
    <r>
      <rPr>
        <sz val="8.5"/>
        <color rgb="FF000000"/>
        <rFont val="Noto Sans CJK SC"/>
        <family val="2"/>
        <charset val="1"/>
      </rPr>
      <t xml:space="preserve">自适应电、</t>
    </r>
    <r>
      <rPr>
        <sz val="8.5"/>
        <color rgb="FF000000"/>
        <rFont val="宋体"/>
        <family val="0"/>
        <charset val="1"/>
      </rPr>
      <t xml:space="preserve">2</t>
    </r>
    <r>
      <rPr>
        <sz val="8.5"/>
        <color rgb="FF000000"/>
        <rFont val="Noto Sans CJK SC"/>
        <family val="2"/>
        <charset val="1"/>
      </rPr>
      <t xml:space="preserve">个</t>
    </r>
    <r>
      <rPr>
        <sz val="8.5"/>
        <color rgb="FF000000"/>
        <rFont val="宋体"/>
        <family val="0"/>
        <charset val="1"/>
      </rPr>
      <t xml:space="preserve">SFP</t>
    </r>
    <r>
      <rPr>
        <sz val="8.5"/>
        <color rgb="FF000000"/>
        <rFont val="Noto Sans CJK SC"/>
        <family val="2"/>
        <charset val="1"/>
      </rPr>
      <t xml:space="preserve">插槽，另有</t>
    </r>
    <r>
      <rPr>
        <sz val="8.5"/>
        <color rgb="FF000000"/>
        <rFont val="宋体"/>
        <family val="0"/>
        <charset val="1"/>
      </rPr>
      <t xml:space="preserve">2</t>
    </r>
    <r>
      <rPr>
        <sz val="8.5"/>
        <color rgb="FF000000"/>
        <rFont val="Noto Sans CJK SC"/>
        <family val="2"/>
        <charset val="1"/>
      </rPr>
      <t xml:space="preserve">个扩展插槽，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个</t>
    </r>
    <r>
      <rPr>
        <sz val="8.5"/>
        <color rgb="FF000000"/>
        <rFont val="宋体"/>
        <family val="0"/>
        <charset val="1"/>
      </rPr>
      <t xml:space="preserve">Console</t>
    </r>
    <r>
      <rPr>
        <sz val="8.5"/>
        <color rgb="FF000000"/>
        <rFont val="Noto Sans CJK SC"/>
        <family val="2"/>
        <charset val="1"/>
      </rPr>
      <t xml:space="preserve">口， 含一年硬件维保服务。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年病毒防护特征库升级服务，</t>
    </r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年入侵防御特征库升级服务</t>
    </r>
  </si>
  <si>
    <t xml:space="preserve">监控平台安全边界</t>
  </si>
  <si>
    <t xml:space="preserve">六、监控中心及大屏</t>
  </si>
  <si>
    <t xml:space="preserve">监控操作台（多联坐席）</t>
  </si>
  <si>
    <t xml:space="preserve">定制</t>
  </si>
  <si>
    <t xml:space="preserve">多联监控操作台，含理线、承重与人体工学设计</t>
  </si>
  <si>
    <t xml:space="preserve">套</t>
  </si>
  <si>
    <r>
      <rPr>
        <sz val="9"/>
        <color rgb="FF595959"/>
        <rFont val="Noto Sans CJK SC"/>
        <family val="2"/>
        <charset val="1"/>
      </rPr>
      <t xml:space="preserve">值班坐席，暂估</t>
    </r>
    <r>
      <rPr>
        <sz val="9"/>
        <color rgb="FF595959"/>
        <rFont val="宋体"/>
        <family val="0"/>
        <charset val="1"/>
      </rPr>
      <t xml:space="preserve">6</t>
    </r>
    <r>
      <rPr>
        <sz val="9"/>
        <color rgb="FF595959"/>
        <rFont val="Noto Sans CJK SC"/>
        <family val="2"/>
        <charset val="1"/>
      </rPr>
      <t xml:space="preserve">联</t>
    </r>
  </si>
  <si>
    <r>
      <rPr>
        <sz val="10"/>
        <color rgb="FF000000"/>
        <rFont val="宋体"/>
        <family val="0"/>
        <charset val="1"/>
      </rPr>
      <t xml:space="preserve">LCD</t>
    </r>
    <r>
      <rPr>
        <sz val="10"/>
        <color rgb="FF000000"/>
        <rFont val="Noto Sans CJK SC"/>
        <family val="2"/>
        <charset val="1"/>
      </rPr>
      <t xml:space="preserve">无边液晶拼接单元</t>
    </r>
  </si>
  <si>
    <r>
      <rPr>
        <sz val="9"/>
        <color rgb="FF1F4E79"/>
        <rFont val="Noto Sans CJK SC"/>
        <family val="2"/>
        <charset val="1"/>
      </rPr>
      <t xml:space="preserve">海康威视
</t>
    </r>
    <r>
      <rPr>
        <sz val="9"/>
        <color rgb="FF1F4E79"/>
        <rFont val="宋体"/>
        <family val="0"/>
        <charset val="1"/>
      </rPr>
      <t xml:space="preserve">DS-D2A461LR</t>
    </r>
  </si>
  <si>
    <r>
      <rPr>
        <sz val="8.5"/>
        <color rgb="FF000000"/>
        <rFont val="宋体"/>
        <family val="0"/>
        <charset val="1"/>
      </rPr>
      <t xml:space="preserve">46</t>
    </r>
    <r>
      <rPr>
        <sz val="8.5"/>
        <color rgb="FF000000"/>
        <rFont val="Noto Sans CJK SC"/>
        <family val="2"/>
        <charset val="1"/>
      </rPr>
      <t xml:space="preserve">寸</t>
    </r>
    <r>
      <rPr>
        <sz val="8.5"/>
        <color rgb="FF000000"/>
        <rFont val="宋体"/>
        <family val="0"/>
        <charset val="1"/>
      </rPr>
      <t xml:space="preserve">D-LED</t>
    </r>
    <r>
      <rPr>
        <sz val="8.5"/>
        <color rgb="FF000000"/>
        <rFont val="Noto Sans CJK SC"/>
        <family val="2"/>
        <charset val="1"/>
      </rPr>
      <t xml:space="preserve">液晶拼接单元，物理拼缝</t>
    </r>
    <r>
      <rPr>
        <sz val="8.5"/>
        <color rgb="FF000000"/>
        <rFont val="宋体"/>
        <family val="0"/>
        <charset val="1"/>
      </rPr>
      <t xml:space="preserve">0.88mm
</t>
    </r>
    <r>
      <rPr>
        <sz val="8.5"/>
        <color rgb="FF000000"/>
        <rFont val="Noto Sans CJK SC"/>
        <family val="2"/>
        <charset val="1"/>
      </rPr>
      <t xml:space="preserve">分辨率</t>
    </r>
    <r>
      <rPr>
        <sz val="8.5"/>
        <color rgb="FF000000"/>
        <rFont val="宋体"/>
        <family val="0"/>
        <charset val="1"/>
      </rPr>
      <t xml:space="preserve">1920×1080@60Hz</t>
    </r>
    <r>
      <rPr>
        <sz val="8.5"/>
        <color rgb="FF000000"/>
        <rFont val="Noto Sans CJK SC"/>
        <family val="2"/>
        <charset val="1"/>
      </rPr>
      <t xml:space="preserve">，亮度</t>
    </r>
    <r>
      <rPr>
        <sz val="8.5"/>
        <color rgb="FF000000"/>
        <rFont val="宋体"/>
        <family val="0"/>
        <charset val="1"/>
      </rPr>
      <t xml:space="preserve">500cd/</t>
    </r>
    <r>
      <rPr>
        <sz val="8.5"/>
        <color rgb="FF000000"/>
        <rFont val="Noto Sans CJK SC"/>
        <family val="2"/>
        <charset val="1"/>
      </rPr>
      <t xml:space="preserve">㎡，对比度</t>
    </r>
    <r>
      <rPr>
        <sz val="8.5"/>
        <color rgb="FF000000"/>
        <rFont val="宋体"/>
        <family val="0"/>
        <charset val="1"/>
      </rPr>
      <t xml:space="preserve">1000:1
</t>
    </r>
    <r>
      <rPr>
        <sz val="8.5"/>
        <color rgb="FF000000"/>
        <rFont val="Noto Sans CJK SC"/>
        <family val="2"/>
        <charset val="1"/>
      </rPr>
      <t xml:space="preserve">可视角</t>
    </r>
    <r>
      <rPr>
        <sz val="8.5"/>
        <color rgb="FF000000"/>
        <rFont val="宋体"/>
        <family val="0"/>
        <charset val="1"/>
      </rPr>
      <t xml:space="preserve">178°</t>
    </r>
    <r>
      <rPr>
        <sz val="8.5"/>
        <color rgb="FF000000"/>
        <rFont val="Noto Sans CJK SC"/>
        <family val="2"/>
        <charset val="1"/>
      </rPr>
      <t xml:space="preserve">，支持</t>
    </r>
    <r>
      <rPr>
        <sz val="8.5"/>
        <color rgb="FF000000"/>
        <rFont val="宋体"/>
        <family val="0"/>
        <charset val="1"/>
      </rPr>
      <t xml:space="preserve">24</t>
    </r>
    <r>
      <rPr>
        <sz val="8.5"/>
        <color rgb="FF000000"/>
        <rFont val="Noto Sans CJK SC"/>
        <family val="2"/>
        <charset val="1"/>
      </rPr>
      <t xml:space="preserve">小时连续工作
支持</t>
    </r>
    <r>
      <rPr>
        <sz val="8.5"/>
        <color rgb="FF000000"/>
        <rFont val="宋体"/>
        <family val="0"/>
        <charset val="1"/>
      </rPr>
      <t xml:space="preserve">HDMI/DVI</t>
    </r>
    <r>
      <rPr>
        <sz val="8.5"/>
        <color rgb="FF000000"/>
        <rFont val="Noto Sans CJK SC"/>
        <family val="2"/>
        <charset val="1"/>
      </rPr>
      <t xml:space="preserve">输入、</t>
    </r>
    <r>
      <rPr>
        <sz val="8.5"/>
        <color rgb="FF000000"/>
        <rFont val="宋体"/>
        <family val="0"/>
        <charset val="1"/>
      </rPr>
      <t xml:space="preserve">U</t>
    </r>
    <r>
      <rPr>
        <sz val="8.5"/>
        <color rgb="FF000000"/>
        <rFont val="Noto Sans CJK SC"/>
        <family val="2"/>
        <charset val="1"/>
      </rPr>
      <t xml:space="preserve">盘多媒体播放、背光分区调光
红外遥控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快捷面板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串口统一控制</t>
    </r>
  </si>
  <si>
    <r>
      <rPr>
        <sz val="9"/>
        <color rgb="FF595959"/>
        <rFont val="Noto Sans CJK SC"/>
        <family val="2"/>
        <charset val="1"/>
      </rPr>
      <t xml:space="preserve">居中</t>
    </r>
    <r>
      <rPr>
        <sz val="9"/>
        <color rgb="FF595959"/>
        <rFont val="宋体"/>
        <family val="0"/>
        <charset val="1"/>
      </rPr>
      <t xml:space="preserve">LED</t>
    </r>
    <r>
      <rPr>
        <sz val="9"/>
        <color rgb="FF595959"/>
        <rFont val="Noto Sans CJK SC"/>
        <family val="2"/>
        <charset val="1"/>
      </rPr>
      <t xml:space="preserve">两侧、左右各</t>
    </r>
    <r>
      <rPr>
        <sz val="9"/>
        <color rgb="FF595959"/>
        <rFont val="宋体"/>
        <family val="0"/>
        <charset val="1"/>
      </rPr>
      <t xml:space="preserve">6</t>
    </r>
    <r>
      <rPr>
        <sz val="9"/>
        <color rgb="FF595959"/>
        <rFont val="Noto Sans CJK SC"/>
        <family val="2"/>
        <charset val="1"/>
      </rPr>
      <t xml:space="preserve">块，</t>
    </r>
    <r>
      <rPr>
        <sz val="9"/>
        <color rgb="FF595959"/>
        <rFont val="宋体"/>
        <family val="0"/>
        <charset val="1"/>
      </rPr>
      <t xml:space="preserve">46</t>
    </r>
    <r>
      <rPr>
        <sz val="9"/>
        <color rgb="FF595959"/>
        <rFont val="Noto Sans CJK SC"/>
        <family val="2"/>
        <charset val="1"/>
      </rPr>
      <t xml:space="preserve">寸超窄边</t>
    </r>
    <r>
      <rPr>
        <sz val="9"/>
        <color rgb="FF595959"/>
        <rFont val="宋体"/>
        <family val="0"/>
        <charset val="1"/>
      </rPr>
      <t xml:space="preserve">(3.5mm</t>
    </r>
    <r>
      <rPr>
        <sz val="9"/>
        <color rgb="FF595959"/>
        <rFont val="Noto Sans CJK SC"/>
        <family val="2"/>
        <charset val="1"/>
      </rPr>
      <t xml:space="preserve">拼缝</t>
    </r>
    <r>
      <rPr>
        <sz val="9"/>
        <color rgb="FF595959"/>
        <rFont val="宋体"/>
        <family val="0"/>
        <charset val="1"/>
      </rPr>
      <t xml:space="preserve">)</t>
    </r>
  </si>
  <si>
    <r>
      <rPr>
        <sz val="10"/>
        <color rgb="FF000000"/>
        <rFont val="宋体"/>
        <family val="0"/>
        <charset val="1"/>
      </rPr>
      <t xml:space="preserve">LCD</t>
    </r>
    <r>
      <rPr>
        <sz val="10"/>
        <color rgb="FF000000"/>
        <rFont val="Noto Sans CJK SC"/>
        <family val="2"/>
        <charset val="1"/>
      </rPr>
      <t xml:space="preserve">拼接屏支架</t>
    </r>
  </si>
  <si>
    <r>
      <rPr>
        <sz val="9"/>
        <color rgb="FF1F4E79"/>
        <rFont val="Noto Sans CJK SC"/>
        <family val="2"/>
        <charset val="1"/>
      </rPr>
      <t xml:space="preserve">海康威视
</t>
    </r>
    <r>
      <rPr>
        <sz val="9"/>
        <color rgb="FF1F4E79"/>
        <rFont val="宋体"/>
        <family val="0"/>
        <charset val="1"/>
      </rPr>
      <t xml:space="preserve">DP-D2X46XXX-1X1-Q1-AW-Q0.6-ZF</t>
    </r>
  </si>
  <si>
    <r>
      <rPr>
        <sz val="8.5"/>
        <color rgb="FF000000"/>
        <rFont val="宋体"/>
        <family val="0"/>
        <charset val="1"/>
      </rPr>
      <t xml:space="preserve">46</t>
    </r>
    <r>
      <rPr>
        <sz val="8.5"/>
        <color rgb="FF000000"/>
        <rFont val="Noto Sans CJK SC"/>
        <family val="2"/>
        <charset val="1"/>
      </rPr>
      <t xml:space="preserve">寸气动前维护壁挂支架，可前维护、快速安装
优质冷轧钢</t>
    </r>
    <r>
      <rPr>
        <sz val="8.5"/>
        <color rgb="FF000000"/>
        <rFont val="宋体"/>
        <family val="0"/>
        <charset val="1"/>
      </rPr>
      <t xml:space="preserve">SPCC</t>
    </r>
    <r>
      <rPr>
        <sz val="8.5"/>
        <color rgb="FF000000"/>
        <rFont val="Noto Sans CJK SC"/>
        <family val="2"/>
        <charset val="1"/>
      </rPr>
      <t xml:space="preserve">，静电喷塑涂层</t>
    </r>
    <r>
      <rPr>
        <sz val="8.5"/>
        <color rgb="FF000000"/>
        <rFont val="宋体"/>
        <family val="0"/>
        <charset val="1"/>
      </rPr>
      <t xml:space="preserve">&gt;60μm
</t>
    </r>
    <r>
      <rPr>
        <sz val="8.5"/>
        <color rgb="FF000000"/>
        <rFont val="Noto Sans CJK SC"/>
        <family val="2"/>
        <charset val="1"/>
      </rPr>
      <t xml:space="preserve">适合</t>
    </r>
    <r>
      <rPr>
        <sz val="8.5"/>
        <color rgb="FF000000"/>
        <rFont val="宋体"/>
        <family val="0"/>
        <charset val="1"/>
      </rPr>
      <t xml:space="preserve">5</t>
    </r>
    <r>
      <rPr>
        <sz val="8.5"/>
        <color rgb="FF000000"/>
        <rFont val="Noto Sans CJK SC"/>
        <family val="2"/>
        <charset val="1"/>
      </rPr>
      <t xml:space="preserve">行</t>
    </r>
    <r>
      <rPr>
        <sz val="8.5"/>
        <color rgb="FF000000"/>
        <rFont val="宋体"/>
        <family val="0"/>
        <charset val="1"/>
      </rPr>
      <t xml:space="preserve">10</t>
    </r>
    <r>
      <rPr>
        <sz val="8.5"/>
        <color rgb="FF000000"/>
        <rFont val="Noto Sans CJK SC"/>
        <family val="2"/>
        <charset val="1"/>
      </rPr>
      <t xml:space="preserve">列以内拼接，需承重墙且墙面平整</t>
    </r>
  </si>
  <si>
    <t xml:space="preserve">前维护壁挂</t>
  </si>
  <si>
    <t xml:space="preserve">视频解码矩阵</t>
  </si>
  <si>
    <t xml:space="preserve">（新增配置）</t>
  </si>
  <si>
    <r>
      <rPr>
        <sz val="8.5"/>
        <color rgb="FF000000"/>
        <rFont val="Noto Sans CJK SC"/>
        <family val="2"/>
        <charset val="1"/>
      </rPr>
      <t xml:space="preserve">视频解码矩阵，用于大屏解码上墙，按需扩展解码板卡（支持</t>
    </r>
    <r>
      <rPr>
        <sz val="8.5"/>
        <color rgb="FF000000"/>
        <rFont val="宋体"/>
        <family val="0"/>
        <charset val="1"/>
      </rPr>
      <t xml:space="preserve">100</t>
    </r>
    <r>
      <rPr>
        <sz val="8.5"/>
        <color rgb="FF000000"/>
        <rFont val="Noto Sans CJK SC"/>
        <family val="2"/>
        <charset val="1"/>
      </rPr>
      <t xml:space="preserve">路以上上墙）</t>
    </r>
  </si>
  <si>
    <t xml:space="preserve">大屏上墙解码</t>
  </si>
  <si>
    <t xml:space="preserve">客户端工作站</t>
  </si>
  <si>
    <r>
      <rPr>
        <sz val="9"/>
        <color rgb="FF1F4E79"/>
        <rFont val="Noto Sans CJK SC"/>
        <family val="2"/>
        <charset val="1"/>
      </rPr>
      <t xml:space="preserve">海康威视
</t>
    </r>
    <r>
      <rPr>
        <sz val="9"/>
        <color rgb="FF1F4E79"/>
        <rFont val="宋体"/>
        <family val="0"/>
        <charset val="1"/>
      </rPr>
      <t xml:space="preserve">DS-AXF142P/W10E/ShowOS</t>
    </r>
  </si>
  <si>
    <r>
      <rPr>
        <sz val="8.5"/>
        <color rgb="FF000000"/>
        <rFont val="Noto Sans CJK SC"/>
        <family val="2"/>
        <charset val="1"/>
      </rPr>
      <t xml:space="preserve">图形工作站（参考</t>
    </r>
    <r>
      <rPr>
        <sz val="8.5"/>
        <color rgb="FF000000"/>
        <rFont val="宋体"/>
        <family val="0"/>
        <charset val="1"/>
      </rPr>
      <t xml:space="preserve">H610</t>
    </r>
    <r>
      <rPr>
        <sz val="8.5"/>
        <color rgb="FF000000"/>
        <rFont val="Noto Sans CJK SC"/>
        <family val="2"/>
        <charset val="1"/>
      </rPr>
      <t xml:space="preserve">标底参数），双屏
</t>
    </r>
    <r>
      <rPr>
        <sz val="8.5"/>
        <color rgb="FF000000"/>
        <rFont val="宋体"/>
        <family val="0"/>
        <charset val="1"/>
      </rPr>
      <t xml:space="preserve">C/S+B/S</t>
    </r>
    <r>
      <rPr>
        <sz val="8.5"/>
        <color rgb="FF000000"/>
        <rFont val="Noto Sans CJK SC"/>
        <family val="2"/>
        <charset val="1"/>
      </rPr>
      <t xml:space="preserve">架构，浏览器统一管理显示屏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中控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拼控</t>
    </r>
    <r>
      <rPr>
        <sz val="8.5"/>
        <color rgb="FF000000"/>
        <rFont val="宋体"/>
        <family val="0"/>
        <charset val="1"/>
      </rPr>
      <t xml:space="preserve">/KVM/</t>
    </r>
    <r>
      <rPr>
        <sz val="8.5"/>
        <color rgb="FF000000"/>
        <rFont val="Noto Sans CJK SC"/>
        <family val="2"/>
        <charset val="1"/>
      </rPr>
      <t xml:space="preserve">配电柜等
网页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客户端</t>
    </r>
    <r>
      <rPr>
        <sz val="8.5"/>
        <color rgb="FF000000"/>
        <rFont val="宋体"/>
        <family val="0"/>
        <charset val="1"/>
      </rPr>
      <t xml:space="preserve">/APP</t>
    </r>
    <r>
      <rPr>
        <sz val="8.5"/>
        <color rgb="FF000000"/>
        <rFont val="Noto Sans CJK SC"/>
        <family val="2"/>
        <charset val="1"/>
      </rPr>
      <t xml:space="preserve">（安卓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鸿蒙</t>
    </r>
    <r>
      <rPr>
        <sz val="8.5"/>
        <color rgb="FF000000"/>
        <rFont val="宋体"/>
        <family val="0"/>
        <charset val="1"/>
      </rPr>
      <t xml:space="preserve">/iOS/Windows</t>
    </r>
    <r>
      <rPr>
        <sz val="8.5"/>
        <color rgb="FF000000"/>
        <rFont val="Noto Sans CJK SC"/>
        <family val="2"/>
        <charset val="1"/>
      </rPr>
      <t xml:space="preserve">）三端实时同步
支持远程操控播控主机与大屏内容调度，多分辨率抓屏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编码
支持网页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程序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图片</t>
    </r>
    <r>
      <rPr>
        <sz val="8.5"/>
        <color rgb="FF000000"/>
        <rFont val="宋体"/>
        <family val="0"/>
        <charset val="1"/>
      </rPr>
      <t xml:space="preserve">/</t>
    </r>
    <r>
      <rPr>
        <sz val="8.5"/>
        <color rgb="FF000000"/>
        <rFont val="Noto Sans CJK SC"/>
        <family val="2"/>
        <charset val="1"/>
      </rPr>
      <t xml:space="preserve">视频</t>
    </r>
    <r>
      <rPr>
        <sz val="8.5"/>
        <color rgb="FF000000"/>
        <rFont val="宋体"/>
        <family val="0"/>
        <charset val="1"/>
      </rPr>
      <t xml:space="preserve">/PPT/Word/Excel/PDF</t>
    </r>
    <r>
      <rPr>
        <sz val="8.5"/>
        <color rgb="FF000000"/>
        <rFont val="Noto Sans CJK SC"/>
        <family val="2"/>
        <charset val="1"/>
      </rPr>
      <t xml:space="preserve">等窗口拖放布局
可查看播控屏分辨率、主机名、在离线及内存等状态</t>
    </r>
  </si>
  <si>
    <t xml:space="preserve">图形工作站，双屏</t>
  </si>
  <si>
    <r>
      <rPr>
        <sz val="10"/>
        <color rgb="FF000000"/>
        <rFont val="宋体"/>
        <family val="0"/>
        <charset val="1"/>
      </rPr>
      <t xml:space="preserve">42U</t>
    </r>
    <r>
      <rPr>
        <sz val="10"/>
        <color rgb="FF000000"/>
        <rFont val="Noto Sans CJK SC"/>
        <family val="2"/>
        <charset val="1"/>
      </rPr>
      <t xml:space="preserve">机柜</t>
    </r>
  </si>
  <si>
    <r>
      <rPr>
        <sz val="9"/>
        <color rgb="FF1F4E79"/>
        <rFont val="Noto Sans CJK SC"/>
        <family val="2"/>
        <charset val="1"/>
      </rPr>
      <t xml:space="preserve">（</t>
    </r>
    <r>
      <rPr>
        <sz val="9"/>
        <color rgb="FF1F4E79"/>
        <rFont val="宋体"/>
        <family val="0"/>
        <charset val="1"/>
      </rPr>
      <t xml:space="preserve">42U 800×800mm</t>
    </r>
    <r>
      <rPr>
        <sz val="9"/>
        <color rgb="FF1F4E79"/>
        <rFont val="Noto Sans CJK SC"/>
        <family val="2"/>
        <charset val="1"/>
      </rPr>
      <t xml:space="preserve">）</t>
    </r>
  </si>
  <si>
    <r>
      <rPr>
        <sz val="8.5"/>
        <color rgb="FF000000"/>
        <rFont val="宋体"/>
        <family val="0"/>
        <charset val="1"/>
      </rPr>
      <t xml:space="preserve">42U 800×800mm </t>
    </r>
    <r>
      <rPr>
        <sz val="8.5"/>
        <color rgb="FF000000"/>
        <rFont val="Noto Sans CJK SC"/>
        <family val="2"/>
        <charset val="1"/>
      </rPr>
      <t xml:space="preserve">标准机柜</t>
    </r>
  </si>
  <si>
    <t xml:space="preserve">七、辅材与施工</t>
  </si>
  <si>
    <r>
      <rPr>
        <sz val="10"/>
        <color rgb="FF000000"/>
        <rFont val="Noto Sans CJK SC"/>
        <family val="2"/>
        <charset val="1"/>
      </rPr>
      <t xml:space="preserve">摄像机支架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立杆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防水箱</t>
    </r>
    <r>
      <rPr>
        <sz val="10"/>
        <color rgb="FF000000"/>
        <rFont val="宋体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电源</t>
    </r>
  </si>
  <si>
    <t xml:space="preserve">配合新增及更换点位安装的支架、立杆、防水盒、电源适配等</t>
  </si>
  <si>
    <r>
      <rPr>
        <sz val="9"/>
        <color rgb="FF595959"/>
        <rFont val="Noto Sans CJK SC"/>
        <family val="2"/>
        <charset val="1"/>
      </rPr>
      <t xml:space="preserve">配合</t>
    </r>
    <r>
      <rPr>
        <sz val="9"/>
        <color rgb="FF595959"/>
        <rFont val="宋体"/>
        <family val="0"/>
        <charset val="1"/>
      </rPr>
      <t xml:space="preserve">146</t>
    </r>
    <r>
      <rPr>
        <sz val="9"/>
        <color rgb="FF595959"/>
        <rFont val="Noto Sans CJK SC"/>
        <family val="2"/>
        <charset val="1"/>
      </rPr>
      <t xml:space="preserve">个点位</t>
    </r>
  </si>
  <si>
    <t xml:space="preserve">综合布线</t>
  </si>
  <si>
    <r>
      <rPr>
        <sz val="9"/>
        <color rgb="FF1F4E79"/>
        <rFont val="Noto Sans CJK SC"/>
        <family val="2"/>
        <charset val="1"/>
      </rPr>
      <t xml:space="preserve">（</t>
    </r>
    <r>
      <rPr>
        <sz val="9"/>
        <color rgb="FF1F4E79"/>
        <rFont val="宋体"/>
        <family val="0"/>
        <charset val="1"/>
      </rPr>
      <t xml:space="preserve">CAT6</t>
    </r>
    <r>
      <rPr>
        <sz val="9"/>
        <color rgb="FF1F4E79"/>
        <rFont val="Noto Sans CJK SC"/>
        <family val="2"/>
        <charset val="1"/>
      </rPr>
      <t xml:space="preserve">）</t>
    </r>
  </si>
  <si>
    <t xml:space="preserve">CAT6</t>
  </si>
  <si>
    <t xml:space="preserve">以现场为准</t>
  </si>
  <si>
    <r>
      <rPr>
        <sz val="10"/>
        <color rgb="FF000000"/>
        <rFont val="宋体"/>
        <family val="0"/>
        <charset val="1"/>
      </rPr>
      <t xml:space="preserve">PVC</t>
    </r>
    <r>
      <rPr>
        <sz val="10"/>
        <color rgb="FF000000"/>
        <rFont val="Noto Sans CJK SC"/>
        <family val="2"/>
        <charset val="1"/>
      </rPr>
      <t xml:space="preserve">管</t>
    </r>
  </si>
  <si>
    <r>
      <rPr>
        <sz val="9"/>
        <color rgb="FF1F4E79"/>
        <rFont val="Noto Sans CJK SC"/>
        <family val="2"/>
        <charset val="1"/>
      </rPr>
      <t xml:space="preserve">（</t>
    </r>
    <r>
      <rPr>
        <sz val="9"/>
        <color rgb="FF1F4E79"/>
        <rFont val="宋体"/>
        <family val="0"/>
        <charset val="1"/>
      </rPr>
      <t xml:space="preserve">PVC20</t>
    </r>
    <r>
      <rPr>
        <sz val="9"/>
        <color rgb="FF1F4E79"/>
        <rFont val="Noto Sans CJK SC"/>
        <family val="2"/>
        <charset val="1"/>
      </rPr>
      <t xml:space="preserve">）</t>
    </r>
  </si>
  <si>
    <r>
      <rPr>
        <sz val="8.5"/>
        <color rgb="FF000000"/>
        <rFont val="宋体"/>
        <family val="0"/>
        <charset val="1"/>
      </rPr>
      <t xml:space="preserve">PVC20 </t>
    </r>
    <r>
      <rPr>
        <sz val="8.5"/>
        <color rgb="FF000000"/>
        <rFont val="Noto Sans CJK SC"/>
        <family val="2"/>
        <charset val="1"/>
      </rPr>
      <t xml:space="preserve">穿线管及敷设</t>
    </r>
  </si>
  <si>
    <t xml:space="preserve">安装、接入与系统调试</t>
  </si>
  <si>
    <r>
      <rPr>
        <sz val="8.5"/>
        <color rgb="FF000000"/>
        <rFont val="Noto Sans CJK SC"/>
        <family val="2"/>
        <charset val="1"/>
      </rPr>
      <t xml:space="preserve">前端安装、平台接入级联、</t>
    </r>
    <r>
      <rPr>
        <sz val="8.5"/>
        <color rgb="FF000000"/>
        <rFont val="宋体"/>
        <family val="0"/>
        <charset val="1"/>
      </rPr>
      <t xml:space="preserve">AI</t>
    </r>
    <r>
      <rPr>
        <sz val="8.5"/>
        <color rgb="FF000000"/>
        <rFont val="Noto Sans CJK SC"/>
        <family val="2"/>
        <charset val="1"/>
      </rPr>
      <t xml:space="preserve">与存储调试、网络割接与联调</t>
    </r>
  </si>
  <si>
    <t xml:space="preserve">含分区割接、不停业务</t>
  </si>
  <si>
    <t xml:space="preserve">八、服务</t>
  </si>
  <si>
    <r>
      <rPr>
        <sz val="10"/>
        <color rgb="FF000000"/>
        <rFont val="宋体"/>
        <family val="0"/>
        <charset val="1"/>
      </rPr>
      <t xml:space="preserve">IP</t>
    </r>
    <r>
      <rPr>
        <sz val="10"/>
        <color rgb="FF000000"/>
        <rFont val="Noto Sans CJK SC"/>
        <family val="2"/>
        <charset val="1"/>
      </rPr>
      <t xml:space="preserve">与线路规划</t>
    </r>
  </si>
  <si>
    <r>
      <rPr>
        <sz val="8.5"/>
        <color rgb="FF000000"/>
        <rFont val="Noto Sans CJK SC"/>
        <family val="2"/>
        <charset val="1"/>
      </rPr>
      <t xml:space="preserve">按数智中心规划范围与规则，编制并实施《</t>
    </r>
    <r>
      <rPr>
        <sz val="8.5"/>
        <color rgb="FF000000"/>
        <rFont val="宋体"/>
        <family val="0"/>
        <charset val="1"/>
      </rPr>
      <t xml:space="preserve">IP</t>
    </r>
    <r>
      <rPr>
        <sz val="8.5"/>
        <color rgb="FF000000"/>
        <rFont val="Noto Sans CJK SC"/>
        <family val="2"/>
        <charset val="1"/>
      </rPr>
      <t xml:space="preserve">与线路规划表》，协助排查各二级公司</t>
    </r>
    <r>
      <rPr>
        <sz val="8.5"/>
        <color rgb="FF000000"/>
        <rFont val="宋体"/>
        <family val="0"/>
        <charset val="1"/>
      </rPr>
      <t xml:space="preserve">IP</t>
    </r>
    <r>
      <rPr>
        <sz val="8.5"/>
        <color rgb="FF000000"/>
        <rFont val="Noto Sans CJK SC"/>
        <family val="2"/>
        <charset val="1"/>
      </rPr>
      <t xml:space="preserve">并指出整改项</t>
    </r>
  </si>
  <si>
    <t xml:space="preserve">投标方负责实施</t>
  </si>
  <si>
    <t xml:space="preserve">系统联调测试与验收</t>
  </si>
  <si>
    <r>
      <rPr>
        <sz val="8.5"/>
        <color rgb="FF000000"/>
        <rFont val="Noto Sans CJK SC"/>
        <family val="2"/>
        <charset val="1"/>
      </rPr>
      <t xml:space="preserve">整体联调、性能压测（≥</t>
    </r>
    <r>
      <rPr>
        <sz val="8.5"/>
        <color rgb="FF000000"/>
        <rFont val="宋体"/>
        <family val="0"/>
        <charset val="1"/>
      </rPr>
      <t xml:space="preserve">100</t>
    </r>
    <r>
      <rPr>
        <sz val="8.5"/>
        <color rgb="FF000000"/>
        <rFont val="Noto Sans CJK SC"/>
        <family val="2"/>
        <charset val="1"/>
      </rPr>
      <t xml:space="preserve">路上墙）、试运行与竣工验收，交付竣工资料</t>
    </r>
  </si>
  <si>
    <t xml:space="preserve">培训</t>
  </si>
  <si>
    <t xml:space="preserve">面向监控值班、数智中心管理员、各单位维保人员的分层培训</t>
  </si>
  <si>
    <t xml:space="preserve">含操作与运维手册</t>
  </si>
  <si>
    <t xml:space="preserve">质保与运维服务</t>
  </si>
  <si>
    <r>
      <rPr>
        <sz val="8.5"/>
        <color rgb="FF000000"/>
        <rFont val="宋体"/>
        <family val="0"/>
        <charset val="1"/>
      </rPr>
      <t xml:space="preserve">1</t>
    </r>
    <r>
      <rPr>
        <sz val="8.5"/>
        <color rgb="FF000000"/>
        <rFont val="Noto Sans CJK SC"/>
        <family val="2"/>
        <charset val="1"/>
      </rPr>
      <t xml:space="preserve">年免费质保，</t>
    </r>
    <r>
      <rPr>
        <sz val="8.5"/>
        <color rgb="FF000000"/>
        <rFont val="宋体"/>
        <family val="0"/>
        <charset val="1"/>
      </rPr>
      <t xml:space="preserve">7×24</t>
    </r>
    <r>
      <rPr>
        <sz val="8.5"/>
        <color rgb="FF000000"/>
        <rFont val="Noto Sans CJK SC"/>
        <family val="2"/>
        <charset val="1"/>
      </rPr>
      <t xml:space="preserve">报障响应，平台版本与</t>
    </r>
    <r>
      <rPr>
        <sz val="8.5"/>
        <color rgb="FF000000"/>
        <rFont val="宋体"/>
        <family val="0"/>
        <charset val="1"/>
      </rPr>
      <t xml:space="preserve">AI</t>
    </r>
    <r>
      <rPr>
        <sz val="8.5"/>
        <color rgb="FF000000"/>
        <rFont val="Noto Sans CJK SC"/>
        <family val="2"/>
        <charset val="1"/>
      </rPr>
      <t xml:space="preserve">算法升级</t>
    </r>
  </si>
  <si>
    <t xml:space="preserve">质保期可按合同延长</t>
  </si>
  <si>
    <t xml:space="preserve">合计（不含税，元）</t>
  </si>
  <si>
    <t xml:space="preserve">含税合计（税率9%，元）</t>
  </si>
  <si>
    <t xml:space="preserve">摄像机点位明细表（补盲 / 更换 / AI升级 / 在建）</t>
  </si>
  <si>
    <t xml:space="preserve">一级单位</t>
  </si>
  <si>
    <t xml:space="preserve">监控位置</t>
  </si>
  <si>
    <t xml:space="preserve">补盲新增/台</t>
  </si>
  <si>
    <t xml:space="preserve">老旧更换/台</t>
  </si>
  <si>
    <r>
      <rPr>
        <b val="true"/>
        <sz val="10"/>
        <rFont val="黑体"/>
        <family val="3"/>
        <charset val="134"/>
      </rPr>
      <t xml:space="preserve">AI</t>
    </r>
    <r>
      <rPr>
        <b val="true"/>
        <sz val="10"/>
        <rFont val="Noto Sans CJK SC"/>
        <family val="2"/>
        <charset val="1"/>
      </rPr>
      <t xml:space="preserve">升级</t>
    </r>
    <r>
      <rPr>
        <b val="true"/>
        <sz val="10"/>
        <rFont val="黑体"/>
        <family val="3"/>
        <charset val="134"/>
      </rPr>
      <t xml:space="preserve">/</t>
    </r>
    <r>
      <rPr>
        <b val="true"/>
        <sz val="10"/>
        <rFont val="Noto Sans CJK SC"/>
        <family val="2"/>
        <charset val="1"/>
      </rPr>
      <t xml:space="preserve">路</t>
    </r>
  </si>
  <si>
    <t xml:space="preserve">在建衔接/台</t>
  </si>
  <si>
    <t xml:space="preserve">东明炼化公司</t>
  </si>
  <si>
    <t xml:space="preserve">前海化工</t>
  </si>
  <si>
    <r>
      <rPr>
        <sz val="9"/>
        <color rgb="FF595959"/>
        <rFont val="宋体"/>
        <family val="3"/>
        <charset val="134"/>
      </rPr>
      <t xml:space="preserve">AI</t>
    </r>
    <r>
      <rPr>
        <sz val="9"/>
        <color rgb="FF595959"/>
        <rFont val="Noto Sans CJK SC"/>
        <family val="2"/>
        <charset val="1"/>
      </rPr>
      <t xml:space="preserve">周界</t>
    </r>
    <r>
      <rPr>
        <sz val="9"/>
        <color rgb="FF595959"/>
        <rFont val="宋体"/>
        <family val="3"/>
        <charset val="134"/>
      </rPr>
      <t xml:space="preserve">/</t>
    </r>
    <r>
      <rPr>
        <sz val="9"/>
        <color rgb="FF595959"/>
        <rFont val="Noto Sans CJK SC"/>
        <family val="2"/>
        <charset val="1"/>
      </rPr>
      <t xml:space="preserve">越线</t>
    </r>
  </si>
  <si>
    <t xml:space="preserve">洁源环保</t>
  </si>
  <si>
    <t xml:space="preserve">万海氯碱</t>
  </si>
  <si>
    <t xml:space="preserve">万海（LNG）</t>
  </si>
  <si>
    <t xml:space="preserve">公共工程公司</t>
  </si>
  <si>
    <t xml:space="preserve">园区</t>
  </si>
  <si>
    <t xml:space="preserve">在建，同步纳管</t>
  </si>
  <si>
    <t xml:space="preserve">华汪围墙</t>
  </si>
  <si>
    <t xml:space="preserve">周界补盲，带拾音喊话</t>
  </si>
  <si>
    <t xml:space="preserve">鲁班建安公司</t>
  </si>
  <si>
    <t xml:space="preserve">防腐厂</t>
  </si>
  <si>
    <t xml:space="preserve">东明港运公司</t>
  </si>
  <si>
    <t xml:space="preserve">围墙/仓库/值班室/重点设备</t>
  </si>
  <si>
    <t xml:space="preserve">补盲3台 + AI 44路</t>
  </si>
  <si>
    <r>
      <rPr>
        <sz val="10"/>
        <color rgb="FF000000"/>
        <rFont val="宋体"/>
        <family val="3"/>
        <charset val="134"/>
      </rPr>
      <t xml:space="preserve">PO/SM</t>
    </r>
    <r>
      <rPr>
        <sz val="10"/>
        <color rgb="FF000000"/>
        <rFont val="Noto Sans CJK SC"/>
        <family val="2"/>
        <charset val="1"/>
      </rPr>
      <t xml:space="preserve">建设分公司</t>
    </r>
  </si>
  <si>
    <t xml:space="preserve">围墙</t>
  </si>
  <si>
    <t xml:space="preserve">战略采购中心</t>
  </si>
  <si>
    <t xml:space="preserve">中油仓库</t>
  </si>
  <si>
    <t xml:space="preserve">在建</t>
  </si>
  <si>
    <t xml:space="preserve">润泽仓库</t>
  </si>
  <si>
    <t xml:space="preserve">华汪库区</t>
  </si>
  <si>
    <t xml:space="preserve">防腐厂惠生仓库</t>
  </si>
  <si>
    <t xml:space="preserve">润华实业</t>
  </si>
  <si>
    <t xml:space="preserve">各门岗</t>
  </si>
  <si>
    <t xml:space="preserve">门岗补盲，覆盖前后20m，含拾音喊话</t>
  </si>
  <si>
    <t xml:space="preserve">各区域</t>
  </si>
  <si>
    <t xml:space="preserve">老旧点位（以勘查为准）</t>
  </si>
  <si>
    <t xml:space="preserve">等量更换，≥400万像素</t>
  </si>
  <si>
    <t xml:space="preserve">合计</t>
  </si>
  <si>
    <r>
      <rPr>
        <b val="true"/>
        <sz val="10"/>
        <color rgb="FF000000"/>
        <rFont val="宋体"/>
        <family val="3"/>
        <charset val="134"/>
      </rPr>
      <t xml:space="preserve">12 </t>
    </r>
    <r>
      <rPr>
        <b val="true"/>
        <sz val="10"/>
        <color rgb="FF000000"/>
        <rFont val="Noto Sans CJK SC"/>
        <family val="2"/>
        <charset val="1"/>
      </rPr>
      <t xml:space="preserve">个一级单位 </t>
    </r>
    <r>
      <rPr>
        <b val="true"/>
        <sz val="10"/>
        <color rgb="FF000000"/>
        <rFont val="宋体"/>
        <family val="3"/>
        <charset val="134"/>
      </rPr>
      <t xml:space="preserve">/ </t>
    </r>
    <r>
      <rPr>
        <b val="true"/>
        <sz val="10"/>
        <color rgb="FF000000"/>
        <rFont val="Noto Sans CJK SC"/>
        <family val="2"/>
        <charset val="1"/>
      </rPr>
      <t xml:space="preserve">约 </t>
    </r>
    <r>
      <rPr>
        <b val="true"/>
        <sz val="10"/>
        <color rgb="FF000000"/>
        <rFont val="宋体"/>
        <family val="3"/>
        <charset val="134"/>
      </rPr>
      <t xml:space="preserve">40 </t>
    </r>
    <r>
      <rPr>
        <b val="true"/>
        <sz val="10"/>
        <color rgb="FF000000"/>
        <rFont val="Noto Sans CJK SC"/>
        <family val="2"/>
        <charset val="1"/>
      </rPr>
      <t xml:space="preserve">点位</t>
    </r>
  </si>
  <si>
    <t xml:space="preserve">应为 102 / 44 / 193 / 92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</si>
</sst>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Noto Sans CJK SC"/>
      <family val="0"/>
      <charset val="1"/>
    </font>
    <font>
      <sz val="9"/>
      <color rgb="FF808080"/>
      <name val="Noto Sans CJK SC"/>
      <family val="0"/>
      <charset val="1"/>
    </font>
    <font>
      <b val="true"/>
      <sz val="10.5"/>
      <color rgb="FF1F3864"/>
      <name val="Noto Sans CJK SC"/>
      <family val="0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宋体"/>
      <family val="0"/>
      <charset val="1"/>
    </font>
    <font>
      <sz val="9"/>
      <color rgb="FF595959"/>
      <name val="Noto Sans CJK SC"/>
      <family val="2"/>
      <charset val="1"/>
    </font>
    <font>
      <sz val="9"/>
      <color rgb="FF595959"/>
      <name val="宋体"/>
      <family val="0"/>
      <charset val="1"/>
    </font>
    <font>
      <b val="true"/>
      <sz val="10"/>
      <color rgb="FF000000"/>
      <name val="Noto Sans CJK SC"/>
      <family val="0"/>
      <charset val="1"/>
    </font>
    <font>
      <sz val="10"/>
      <color rgb="FF595959"/>
      <name val="Noto Sans CJK SC"/>
      <family val="0"/>
      <charset val="1"/>
    </font>
    <font>
      <b val="true"/>
      <sz val="11"/>
      <color rgb="FF000000"/>
      <name val="Noto Sans CJK SC"/>
      <family val="0"/>
      <charset val="1"/>
    </font>
    <font>
      <b val="true"/>
      <sz val="12"/>
      <color rgb="FF1F4E79"/>
      <name val="Noto Sans CJK SC"/>
      <family val="0"/>
      <charset val="1"/>
    </font>
    <font>
      <b val="true"/>
      <sz val="11"/>
      <color rgb="FFC00000"/>
      <name val="Noto Sans CJK SC"/>
      <family val="0"/>
      <charset val="1"/>
    </font>
    <font>
      <b val="true"/>
      <sz val="10"/>
      <color rgb="FF1F3864"/>
      <name val="Noto Sans CJK SC"/>
      <family val="0"/>
      <charset val="1"/>
    </font>
    <font>
      <b val="true"/>
      <sz val="10.5"/>
      <color rgb="FF2E74B5"/>
      <name val="Noto Sans CJK SC"/>
      <family val="0"/>
      <charset val="1"/>
    </font>
    <font>
      <sz val="9"/>
      <color rgb="FF1F4E79"/>
      <name val="Noto Sans CJK SC"/>
      <family val="2"/>
      <charset val="1"/>
    </font>
    <font>
      <sz val="9"/>
      <color rgb="FF1F4E79"/>
      <name val="宋体"/>
      <family val="0"/>
      <charset val="1"/>
    </font>
    <font>
      <sz val="8.5"/>
      <color rgb="FF000000"/>
      <name val="宋体"/>
      <family val="0"/>
      <charset val="1"/>
    </font>
    <font>
      <sz val="8.5"/>
      <color rgb="FF000000"/>
      <name val="Noto Sans CJK SC"/>
      <family val="2"/>
      <charset val="1"/>
    </font>
    <font>
      <b val="true"/>
      <sz val="10"/>
      <color rgb="FF000000"/>
      <name val="宋体"/>
      <family val="0"/>
      <charset val="1"/>
    </font>
    <font>
      <sz val="10"/>
      <color rgb="FF000000"/>
      <name val="Noto Sans CJK SC"/>
      <family val="0"/>
      <charset val="1"/>
    </font>
    <font>
      <b val="true"/>
      <sz val="11"/>
      <color rgb="FF1F4E79"/>
      <name val="Noto Sans CJK SC"/>
      <family val="0"/>
      <charset val="1"/>
    </font>
    <font>
      <b val="true"/>
      <sz val="14"/>
      <name val="Noto Sans CJK SC"/>
      <family val="1"/>
      <charset val="1"/>
    </font>
    <font>
      <sz val="11"/>
      <name val="Calibri"/>
      <family val="2"/>
      <charset val="1"/>
    </font>
    <font>
      <b val="true"/>
      <sz val="10"/>
      <name val="Noto Sans CJK SC"/>
      <family val="1"/>
      <charset val="1"/>
    </font>
    <font>
      <b val="true"/>
      <sz val="10"/>
      <name val="黑体"/>
      <family val="3"/>
      <charset val="134"/>
    </font>
    <font>
      <b val="true"/>
      <sz val="10"/>
      <name val="Noto Sans CJK SC"/>
      <family val="2"/>
      <charset val="1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1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1"/>
      <charset val="1"/>
    </font>
    <font>
      <b val="true"/>
      <sz val="10"/>
      <color rgb="FF000000"/>
      <name val="Noto Sans CJK SC"/>
      <family val="1"/>
      <charset val="1"/>
    </font>
    <font>
      <b val="true"/>
      <sz val="10"/>
      <color rgb="FF000000"/>
      <name val="宋体"/>
      <family val="3"/>
      <charset val="134"/>
    </font>
    <font>
      <b val="true"/>
      <sz val="10"/>
      <color rgb="FF000000"/>
      <name val="Noto Sans CJK SC"/>
      <family val="2"/>
      <charset val="1"/>
    </font>
    <font>
      <b val="true"/>
      <sz val="9"/>
      <color rgb="FF1F4E79"/>
      <name val="Noto Sans CJK SC"/>
      <family val="1"/>
      <charset val="1"/>
    </font>
    <font>
      <b val="true"/>
      <sz val="11"/>
      <name val="Noto Sans CJK SC"/>
      <family val="2"/>
      <charset val="1"/>
    </font>
    <font>
      <sz val="11"/>
      <name val="微软雅黑"/>
      <family val="2"/>
      <charset val="134"/>
    </font>
    <font>
      <sz val="11"/>
      <name val="Noto Sans CJK SC"/>
      <family val="2"/>
      <charset val="1"/>
    </font>
    <font>
      <b val="true"/>
      <sz val="1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CE4D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2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2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3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4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3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40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9.5" hidden="false" customHeight="true" outlineLevel="0" collapsed="false">
      <c r="A5" s="5" t="s">
        <v>6</v>
      </c>
      <c r="B5" s="6" t="s">
        <v>7</v>
      </c>
      <c r="C5" s="7" t="n">
        <f aca="false">SUM(价格清单!I6:I9)</f>
        <v>67649.05</v>
      </c>
      <c r="D5" s="8" t="s">
        <v>8</v>
      </c>
    </row>
    <row r="6" customFormat="false" ht="19.5" hidden="false" customHeight="true" outlineLevel="0" collapsed="false">
      <c r="A6" s="5" t="s">
        <v>9</v>
      </c>
      <c r="B6" s="6" t="s">
        <v>10</v>
      </c>
      <c r="C6" s="7" t="n">
        <f aca="false">SUM(价格清单!I12:I13)</f>
        <v>118700.46</v>
      </c>
      <c r="D6" s="9" t="s">
        <v>11</v>
      </c>
    </row>
    <row r="7" customFormat="false" ht="19.5" hidden="false" customHeight="true" outlineLevel="0" collapsed="false">
      <c r="A7" s="5" t="s">
        <v>12</v>
      </c>
      <c r="B7" s="6" t="s">
        <v>13</v>
      </c>
      <c r="C7" s="7" t="n">
        <f aca="false">SUM(价格清单!I15:I17)</f>
        <v>252589.5</v>
      </c>
      <c r="D7" s="8" t="s">
        <v>14</v>
      </c>
    </row>
    <row r="8" customFormat="false" ht="19.5" hidden="false" customHeight="true" outlineLevel="0" collapsed="false">
      <c r="A8" s="5" t="s">
        <v>15</v>
      </c>
      <c r="B8" s="6" t="s">
        <v>16</v>
      </c>
      <c r="C8" s="7" t="n">
        <f aca="false">SUM(价格清单!I19:I20)</f>
        <v>843590.27</v>
      </c>
      <c r="D8" s="9" t="s">
        <v>17</v>
      </c>
    </row>
    <row r="9" customFormat="false" ht="19.5" hidden="false" customHeight="true" outlineLevel="0" collapsed="false">
      <c r="A9" s="5" t="s">
        <v>18</v>
      </c>
      <c r="B9" s="6" t="s">
        <v>19</v>
      </c>
      <c r="C9" s="7" t="n">
        <f aca="false">SUM(价格清单!I22:I29)</f>
        <v>375286.18</v>
      </c>
      <c r="D9" s="8" t="s">
        <v>20</v>
      </c>
    </row>
    <row r="10" customFormat="false" ht="19.5" hidden="false" customHeight="true" outlineLevel="0" collapsed="false">
      <c r="A10" s="5" t="s">
        <v>21</v>
      </c>
      <c r="B10" s="6" t="s">
        <v>22</v>
      </c>
      <c r="C10" s="7" t="n">
        <f aca="false">SUM(价格清单!I31:I36)</f>
        <v>247334.63</v>
      </c>
      <c r="D10" s="9" t="s">
        <v>23</v>
      </c>
    </row>
    <row r="11" customFormat="false" ht="19.5" hidden="false" customHeight="true" outlineLevel="0" collapsed="false">
      <c r="A11" s="5" t="s">
        <v>24</v>
      </c>
      <c r="B11" s="6" t="s">
        <v>25</v>
      </c>
      <c r="C11" s="7" t="n">
        <f aca="false">SUM(价格清单!I38:I41)</f>
        <v>230531.98</v>
      </c>
      <c r="D11" s="8" t="s">
        <v>26</v>
      </c>
    </row>
    <row r="12" customFormat="false" ht="19.5" hidden="false" customHeight="true" outlineLevel="0" collapsed="false">
      <c r="A12" s="5" t="s">
        <v>27</v>
      </c>
      <c r="B12" s="6" t="s">
        <v>28</v>
      </c>
      <c r="C12" s="7" t="n">
        <f aca="false">SUM(价格清单!I43:I46)</f>
        <v>43040.83</v>
      </c>
      <c r="D12" s="9" t="s">
        <v>29</v>
      </c>
    </row>
    <row r="13" customFormat="false" ht="15" hidden="false" customHeight="true" outlineLevel="0" collapsed="false">
      <c r="A13" s="10" t="s">
        <v>30</v>
      </c>
      <c r="B13" s="10"/>
      <c r="C13" s="11" t="n">
        <f aca="false">SUM(C5:C12)</f>
        <v>2178722.9</v>
      </c>
      <c r="D13" s="12"/>
    </row>
    <row r="14" customFormat="false" ht="15" hidden="false" customHeight="true" outlineLevel="0" collapsed="false">
      <c r="A14" s="13" t="s">
        <v>31</v>
      </c>
      <c r="B14" s="13"/>
      <c r="C14" s="14" t="n">
        <f aca="false">ROUND(C13*0.09,2)</f>
        <v>196085.06</v>
      </c>
      <c r="D14" s="15"/>
    </row>
    <row r="15" customFormat="false" ht="19.4" hidden="false" customHeight="true" outlineLevel="0" collapsed="false">
      <c r="A15" s="16" t="s">
        <v>32</v>
      </c>
      <c r="B15" s="16"/>
      <c r="C15" s="17" t="n">
        <f aca="false">ROUND(C13*1.09,2)</f>
        <v>2374807.96</v>
      </c>
      <c r="D15" s="18" t="s">
        <v>33</v>
      </c>
    </row>
    <row r="16" customFormat="false" ht="17.15" hidden="false" customHeight="true" outlineLevel="0" collapsed="false">
      <c r="A16" s="10" t="s">
        <v>34</v>
      </c>
      <c r="B16" s="10"/>
      <c r="C16" s="19" t="s">
        <v>35</v>
      </c>
      <c r="D16" s="19"/>
    </row>
  </sheetData>
  <mergeCells count="7">
    <mergeCell ref="A1:D1"/>
    <mergeCell ref="A2:D2"/>
    <mergeCell ref="A13:B13"/>
    <mergeCell ref="A14:B14"/>
    <mergeCell ref="A15:B15"/>
    <mergeCell ref="A16:B16"/>
    <mergeCell ref="C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22"/>
    <col collapsed="false" customWidth="true" hidden="false" outlineLevel="0" max="4" min="4" style="1" width="50"/>
    <col collapsed="false" customWidth="true" hidden="false" outlineLevel="0" max="5" min="5" style="1" width="5"/>
    <col collapsed="false" customWidth="true" hidden="false" outlineLevel="0" max="6" min="6" style="1" width="6"/>
    <col collapsed="false" customWidth="true" hidden="false" outlineLevel="0" max="7" min="7" style="1" width="8"/>
    <col collapsed="false" customWidth="true" hidden="false" outlineLevel="0" max="8" min="8" style="1" width="12"/>
    <col collapsed="false" customWidth="true" hidden="false" outlineLevel="0" max="9" min="9" style="1" width="13"/>
    <col collapsed="false" customWidth="true" hidden="false" outlineLevel="0" max="10" min="10" style="1" width="22"/>
  </cols>
  <sheetData>
    <row r="1" customFormat="false" ht="24" hidden="false" customHeight="true" outlineLevel="0" collapsed="false">
      <c r="A1" s="2" t="s">
        <v>36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37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4" hidden="false" customHeight="true" outlineLevel="0" collapsed="false">
      <c r="A4" s="20" t="s">
        <v>2</v>
      </c>
      <c r="B4" s="20" t="s">
        <v>38</v>
      </c>
      <c r="C4" s="20" t="s">
        <v>39</v>
      </c>
      <c r="D4" s="20" t="s">
        <v>40</v>
      </c>
      <c r="E4" s="20" t="s">
        <v>41</v>
      </c>
      <c r="F4" s="20" t="s">
        <v>42</v>
      </c>
      <c r="G4" s="20" t="s">
        <v>43</v>
      </c>
      <c r="H4" s="20" t="s">
        <v>44</v>
      </c>
      <c r="I4" s="20" t="s">
        <v>45</v>
      </c>
      <c r="J4" s="20" t="s">
        <v>5</v>
      </c>
    </row>
    <row r="5" customFormat="false" ht="16.5" hidden="false" customHeight="true" outlineLevel="0" collapsed="false">
      <c r="A5" s="21" t="s">
        <v>46</v>
      </c>
      <c r="B5" s="21"/>
      <c r="C5" s="21"/>
      <c r="D5" s="21"/>
      <c r="E5" s="21"/>
      <c r="F5" s="21"/>
      <c r="G5" s="21"/>
      <c r="H5" s="21"/>
      <c r="I5" s="21"/>
      <c r="J5" s="21"/>
    </row>
    <row r="6" customFormat="false" ht="1302" hidden="false" customHeight="true" outlineLevel="0" collapsed="false">
      <c r="A6" s="5" t="n">
        <v>1</v>
      </c>
      <c r="B6" s="6" t="s">
        <v>47</v>
      </c>
      <c r="C6" s="22" t="s">
        <v>48</v>
      </c>
      <c r="D6" s="23" t="s">
        <v>49</v>
      </c>
      <c r="E6" s="5" t="s">
        <v>50</v>
      </c>
      <c r="F6" s="24" t="n">
        <v>58</v>
      </c>
      <c r="G6" s="25" t="s">
        <v>51</v>
      </c>
      <c r="H6" s="26" t="n">
        <v>577.64</v>
      </c>
      <c r="I6" s="26" t="n">
        <f aca="false">IFERROR(F6*H6,"")</f>
        <v>33503.12</v>
      </c>
      <c r="J6" s="8" t="s">
        <v>52</v>
      </c>
    </row>
    <row r="7" customFormat="false" ht="1302" hidden="false" customHeight="true" outlineLevel="0" collapsed="false">
      <c r="A7" s="5" t="n">
        <v>2</v>
      </c>
      <c r="B7" s="6" t="s">
        <v>53</v>
      </c>
      <c r="C7" s="22" t="s">
        <v>48</v>
      </c>
      <c r="D7" s="23" t="s">
        <v>49</v>
      </c>
      <c r="E7" s="5" t="s">
        <v>50</v>
      </c>
      <c r="F7" s="24" t="n">
        <v>3</v>
      </c>
      <c r="G7" s="25" t="s">
        <v>51</v>
      </c>
      <c r="H7" s="26" t="n">
        <v>577.64</v>
      </c>
      <c r="I7" s="26" t="n">
        <f aca="false">IFERROR(F7*H7,"")</f>
        <v>1732.92</v>
      </c>
      <c r="J7" s="8" t="s">
        <v>54</v>
      </c>
    </row>
    <row r="8" customFormat="false" ht="1275.75" hidden="false" customHeight="true" outlineLevel="0" collapsed="false">
      <c r="A8" s="5" t="n">
        <v>3</v>
      </c>
      <c r="B8" s="6" t="s">
        <v>55</v>
      </c>
      <c r="C8" s="22" t="s">
        <v>56</v>
      </c>
      <c r="D8" s="27" t="s">
        <v>57</v>
      </c>
      <c r="E8" s="5" t="s">
        <v>50</v>
      </c>
      <c r="F8" s="24" t="n">
        <v>41</v>
      </c>
      <c r="G8" s="25" t="s">
        <v>51</v>
      </c>
      <c r="H8" s="26" t="n">
        <v>282.05</v>
      </c>
      <c r="I8" s="26" t="n">
        <f aca="false">IFERROR(F8*H8,"")</f>
        <v>11564.05</v>
      </c>
      <c r="J8" s="8" t="s">
        <v>58</v>
      </c>
    </row>
    <row r="9" customFormat="false" ht="963.75" hidden="false" customHeight="true" outlineLevel="0" collapsed="false">
      <c r="A9" s="5" t="n">
        <v>4</v>
      </c>
      <c r="B9" s="6" t="s">
        <v>59</v>
      </c>
      <c r="C9" s="22" t="s">
        <v>56</v>
      </c>
      <c r="D9" s="27" t="s">
        <v>60</v>
      </c>
      <c r="E9" s="5" t="s">
        <v>50</v>
      </c>
      <c r="F9" s="24" t="n">
        <v>44</v>
      </c>
      <c r="G9" s="25" t="s">
        <v>51</v>
      </c>
      <c r="H9" s="26" t="n">
        <v>473.84</v>
      </c>
      <c r="I9" s="26" t="n">
        <f aca="false">IFERROR(F9*H9,"")</f>
        <v>20848.96</v>
      </c>
      <c r="J9" s="8" t="s">
        <v>61</v>
      </c>
    </row>
    <row r="10" customFormat="false" ht="15.75" hidden="false" customHeight="true" outlineLevel="0" collapsed="false">
      <c r="A10" s="10" t="s">
        <v>62</v>
      </c>
      <c r="B10" s="10"/>
      <c r="C10" s="10"/>
      <c r="D10" s="10"/>
      <c r="E10" s="28" t="s">
        <v>50</v>
      </c>
      <c r="F10" s="28" t="n">
        <f aca="false">F6+F7+F8+F9</f>
        <v>146</v>
      </c>
      <c r="G10" s="12"/>
      <c r="H10" s="12"/>
      <c r="I10" s="12"/>
      <c r="J10" s="12"/>
    </row>
    <row r="11" customFormat="false" ht="16.5" hidden="false" customHeight="true" outlineLevel="0" collapsed="false">
      <c r="A11" s="21" t="s">
        <v>63</v>
      </c>
      <c r="B11" s="21"/>
      <c r="C11" s="21"/>
      <c r="D11" s="21"/>
      <c r="E11" s="21"/>
      <c r="F11" s="21"/>
      <c r="G11" s="21"/>
      <c r="H11" s="21"/>
      <c r="I11" s="21"/>
      <c r="J11" s="21"/>
    </row>
    <row r="12" customFormat="false" ht="210" hidden="false" customHeight="true" outlineLevel="0" collapsed="false">
      <c r="A12" s="5" t="n">
        <v>5</v>
      </c>
      <c r="B12" s="29" t="s">
        <v>64</v>
      </c>
      <c r="C12" s="22" t="s">
        <v>65</v>
      </c>
      <c r="D12" s="23" t="s">
        <v>66</v>
      </c>
      <c r="E12" s="5" t="s">
        <v>50</v>
      </c>
      <c r="F12" s="24" t="n">
        <v>9</v>
      </c>
      <c r="G12" s="25" t="s">
        <v>51</v>
      </c>
      <c r="H12" s="26" t="n">
        <v>13188.94</v>
      </c>
      <c r="I12" s="26" t="n">
        <f aca="false">IFERROR(F12*H12,"")</f>
        <v>118700.46</v>
      </c>
      <c r="J12" s="8" t="s">
        <v>67</v>
      </c>
    </row>
    <row r="13" customFormat="false" ht="27.75" hidden="false" customHeight="true" outlineLevel="0" collapsed="false">
      <c r="A13" s="5" t="n">
        <v>6</v>
      </c>
      <c r="B13" s="29" t="s">
        <v>68</v>
      </c>
      <c r="C13" s="22" t="s">
        <v>69</v>
      </c>
      <c r="D13" s="27" t="s">
        <v>70</v>
      </c>
      <c r="E13" s="5" t="s">
        <v>71</v>
      </c>
      <c r="F13" s="24" t="n">
        <v>193</v>
      </c>
      <c r="G13" s="25" t="s">
        <v>51</v>
      </c>
      <c r="H13" s="30"/>
      <c r="I13" s="26" t="n">
        <f aca="false">IFERROR(F13*H13,"")</f>
        <v>0</v>
      </c>
      <c r="J13" s="8" t="s">
        <v>72</v>
      </c>
    </row>
    <row r="14" customFormat="false" ht="16.5" hidden="false" customHeight="true" outlineLevel="0" collapsed="false">
      <c r="A14" s="21" t="s">
        <v>73</v>
      </c>
      <c r="B14" s="21"/>
      <c r="C14" s="21"/>
      <c r="D14" s="21"/>
      <c r="E14" s="21"/>
      <c r="F14" s="21"/>
      <c r="G14" s="21"/>
      <c r="H14" s="21"/>
      <c r="I14" s="21"/>
      <c r="J14" s="21"/>
    </row>
    <row r="15" customFormat="false" ht="144.75" hidden="false" customHeight="true" outlineLevel="0" collapsed="false">
      <c r="A15" s="5" t="n">
        <v>7</v>
      </c>
      <c r="B15" s="6" t="s">
        <v>74</v>
      </c>
      <c r="C15" s="22" t="s">
        <v>75</v>
      </c>
      <c r="D15" s="23" t="s">
        <v>76</v>
      </c>
      <c r="E15" s="5" t="s">
        <v>50</v>
      </c>
      <c r="F15" s="24" t="n">
        <v>4</v>
      </c>
      <c r="G15" s="25" t="s">
        <v>51</v>
      </c>
      <c r="H15" s="26" t="n">
        <v>33864.05</v>
      </c>
      <c r="I15" s="26" t="n">
        <f aca="false">IFERROR(F15*H15,"")</f>
        <v>135456.2</v>
      </c>
      <c r="J15" s="9" t="s">
        <v>77</v>
      </c>
    </row>
    <row r="16" customFormat="false" ht="27.75" hidden="false" customHeight="true" outlineLevel="0" collapsed="false">
      <c r="A16" s="5" t="n">
        <v>8</v>
      </c>
      <c r="B16" s="6" t="s">
        <v>78</v>
      </c>
      <c r="C16" s="22" t="s">
        <v>79</v>
      </c>
      <c r="D16" s="27" t="s">
        <v>80</v>
      </c>
      <c r="E16" s="5" t="s">
        <v>71</v>
      </c>
      <c r="F16" s="24" t="n">
        <v>3000</v>
      </c>
      <c r="G16" s="25" t="s">
        <v>51</v>
      </c>
      <c r="H16" s="26" t="n">
        <v>36.6</v>
      </c>
      <c r="I16" s="26" t="n">
        <f aca="false">IFERROR(F16*H16,"")</f>
        <v>109800</v>
      </c>
      <c r="J16" s="8" t="s">
        <v>81</v>
      </c>
    </row>
    <row r="17" customFormat="false" ht="27.75" hidden="false" customHeight="true" outlineLevel="0" collapsed="false">
      <c r="A17" s="5" t="n">
        <v>9</v>
      </c>
      <c r="B17" s="6" t="s">
        <v>82</v>
      </c>
      <c r="C17" s="22" t="s">
        <v>83</v>
      </c>
      <c r="D17" s="23" t="s">
        <v>84</v>
      </c>
      <c r="E17" s="5" t="s">
        <v>50</v>
      </c>
      <c r="F17" s="24" t="n">
        <v>1</v>
      </c>
      <c r="G17" s="25" t="s">
        <v>51</v>
      </c>
      <c r="H17" s="26" t="n">
        <v>7333.3</v>
      </c>
      <c r="I17" s="26" t="n">
        <f aca="false">IFERROR(F17*H17,"")</f>
        <v>7333.3</v>
      </c>
      <c r="J17" s="8" t="s">
        <v>85</v>
      </c>
    </row>
    <row r="18" customFormat="false" ht="16.5" hidden="false" customHeight="true" outlineLevel="0" collapsed="false">
      <c r="A18" s="21" t="s">
        <v>86</v>
      </c>
      <c r="B18" s="21"/>
      <c r="C18" s="21"/>
      <c r="D18" s="21"/>
      <c r="E18" s="21"/>
      <c r="F18" s="21"/>
      <c r="G18" s="21"/>
      <c r="H18" s="21"/>
      <c r="I18" s="21"/>
      <c r="J18" s="21"/>
    </row>
    <row r="19" customFormat="false" ht="132" hidden="false" customHeight="true" outlineLevel="0" collapsed="false">
      <c r="A19" s="5" t="n">
        <v>10</v>
      </c>
      <c r="B19" s="6" t="s">
        <v>87</v>
      </c>
      <c r="C19" s="22" t="s">
        <v>88</v>
      </c>
      <c r="D19" s="23" t="s">
        <v>89</v>
      </c>
      <c r="E19" s="5" t="s">
        <v>50</v>
      </c>
      <c r="F19" s="24" t="n">
        <v>19</v>
      </c>
      <c r="G19" s="25" t="s">
        <v>51</v>
      </c>
      <c r="H19" s="26" t="n">
        <v>26411.29</v>
      </c>
      <c r="I19" s="26" t="n">
        <f aca="false">IFERROR(F19*H19,"")</f>
        <v>501814.51</v>
      </c>
      <c r="J19" s="8" t="s">
        <v>90</v>
      </c>
    </row>
    <row r="20" customFormat="false" ht="132" hidden="false" customHeight="true" outlineLevel="0" collapsed="false">
      <c r="A20" s="5" t="n">
        <v>11</v>
      </c>
      <c r="B20" s="6" t="s">
        <v>91</v>
      </c>
      <c r="C20" s="22" t="s">
        <v>92</v>
      </c>
      <c r="D20" s="23" t="s">
        <v>93</v>
      </c>
      <c r="E20" s="5" t="s">
        <v>50</v>
      </c>
      <c r="F20" s="24" t="n">
        <v>8</v>
      </c>
      <c r="G20" s="25" t="s">
        <v>51</v>
      </c>
      <c r="H20" s="26" t="n">
        <v>42721.97</v>
      </c>
      <c r="I20" s="26" t="n">
        <f aca="false">IFERROR(F20*H20,"")</f>
        <v>341775.76</v>
      </c>
      <c r="J20" s="8" t="s">
        <v>90</v>
      </c>
    </row>
    <row r="21" customFormat="false" ht="16.5" hidden="false" customHeight="true" outlineLevel="0" collapsed="false">
      <c r="A21" s="21" t="s">
        <v>94</v>
      </c>
      <c r="B21" s="21"/>
      <c r="C21" s="21"/>
      <c r="D21" s="21"/>
      <c r="E21" s="21"/>
      <c r="F21" s="21"/>
      <c r="G21" s="21"/>
      <c r="H21" s="21"/>
      <c r="I21" s="21"/>
      <c r="J21" s="21"/>
    </row>
    <row r="22" customFormat="false" ht="40.5" hidden="false" customHeight="true" outlineLevel="0" collapsed="false">
      <c r="A22" s="5" t="n">
        <v>12</v>
      </c>
      <c r="B22" s="29" t="s">
        <v>95</v>
      </c>
      <c r="C22" s="22" t="s">
        <v>96</v>
      </c>
      <c r="D22" s="23" t="s">
        <v>97</v>
      </c>
      <c r="E22" s="5" t="s">
        <v>50</v>
      </c>
      <c r="F22" s="24" t="n">
        <v>2</v>
      </c>
      <c r="G22" s="25" t="s">
        <v>51</v>
      </c>
      <c r="H22" s="26" t="n">
        <v>18248.4</v>
      </c>
      <c r="I22" s="26" t="n">
        <f aca="false">IFERROR(F22*H22,"")</f>
        <v>36496.8</v>
      </c>
      <c r="J22" s="8" t="s">
        <v>98</v>
      </c>
    </row>
    <row r="23" customFormat="false" ht="27.75" hidden="false" customHeight="true" outlineLevel="0" collapsed="false">
      <c r="A23" s="5" t="n">
        <v>13</v>
      </c>
      <c r="B23" s="29" t="s">
        <v>99</v>
      </c>
      <c r="C23" s="22" t="s">
        <v>100</v>
      </c>
      <c r="D23" s="23" t="s">
        <v>101</v>
      </c>
      <c r="E23" s="5" t="s">
        <v>50</v>
      </c>
      <c r="F23" s="24" t="n">
        <v>35</v>
      </c>
      <c r="G23" s="25" t="s">
        <v>51</v>
      </c>
      <c r="H23" s="26" t="n">
        <v>4784.69</v>
      </c>
      <c r="I23" s="26" t="n">
        <f aca="false">IFERROR(F23*H23,"")</f>
        <v>167464.15</v>
      </c>
      <c r="J23" s="8" t="s">
        <v>102</v>
      </c>
    </row>
    <row r="24" customFormat="false" ht="27.75" hidden="false" customHeight="true" outlineLevel="0" collapsed="false">
      <c r="A24" s="5" t="n">
        <v>14</v>
      </c>
      <c r="B24" s="29" t="s">
        <v>103</v>
      </c>
      <c r="C24" s="22" t="s">
        <v>104</v>
      </c>
      <c r="D24" s="23" t="s">
        <v>105</v>
      </c>
      <c r="E24" s="5" t="s">
        <v>50</v>
      </c>
      <c r="F24" s="24" t="n">
        <v>58</v>
      </c>
      <c r="G24" s="25" t="s">
        <v>51</v>
      </c>
      <c r="H24" s="26" t="n">
        <v>733.33</v>
      </c>
      <c r="I24" s="26" t="n">
        <f aca="false">IFERROR(F24*H24,"")</f>
        <v>42533.14</v>
      </c>
      <c r="J24" s="8"/>
    </row>
    <row r="25" customFormat="false" ht="27.75" hidden="false" customHeight="true" outlineLevel="0" collapsed="false">
      <c r="A25" s="5" t="n">
        <v>15</v>
      </c>
      <c r="B25" s="6" t="s">
        <v>106</v>
      </c>
      <c r="C25" s="22" t="s">
        <v>83</v>
      </c>
      <c r="D25" s="23" t="s">
        <v>107</v>
      </c>
      <c r="E25" s="5" t="s">
        <v>108</v>
      </c>
      <c r="F25" s="24" t="n">
        <v>10</v>
      </c>
      <c r="G25" s="25" t="s">
        <v>51</v>
      </c>
      <c r="H25" s="26" t="n">
        <v>620.51</v>
      </c>
      <c r="I25" s="26" t="n">
        <f aca="false">IFERROR(F25*H25,"")</f>
        <v>6205.1</v>
      </c>
      <c r="J25" s="8"/>
    </row>
    <row r="26" customFormat="false" ht="27.75" hidden="false" customHeight="true" outlineLevel="0" collapsed="false">
      <c r="A26" s="5" t="n">
        <v>16</v>
      </c>
      <c r="B26" s="6" t="s">
        <v>109</v>
      </c>
      <c r="C26" s="22" t="s">
        <v>110</v>
      </c>
      <c r="D26" s="27" t="s">
        <v>111</v>
      </c>
      <c r="E26" s="5" t="s">
        <v>112</v>
      </c>
      <c r="F26" s="24" t="n">
        <v>160</v>
      </c>
      <c r="G26" s="25" t="s">
        <v>51</v>
      </c>
      <c r="H26" s="26" t="n">
        <v>90.26</v>
      </c>
      <c r="I26" s="26" t="n">
        <f aca="false">IFERROR(F26*H26,"")</f>
        <v>14441.6</v>
      </c>
      <c r="J26" s="8" t="s">
        <v>113</v>
      </c>
    </row>
    <row r="27" customFormat="false" ht="27.75" hidden="false" customHeight="true" outlineLevel="0" collapsed="false">
      <c r="A27" s="5" t="n">
        <v>17</v>
      </c>
      <c r="B27" s="6" t="s">
        <v>114</v>
      </c>
      <c r="C27" s="22" t="s">
        <v>115</v>
      </c>
      <c r="D27" s="27" t="s">
        <v>116</v>
      </c>
      <c r="E27" s="5" t="s">
        <v>117</v>
      </c>
      <c r="F27" s="24" t="n">
        <v>8000</v>
      </c>
      <c r="G27" s="25" t="s">
        <v>51</v>
      </c>
      <c r="H27" s="26" t="n">
        <v>5.64</v>
      </c>
      <c r="I27" s="26" t="n">
        <f aca="false">IFERROR(F27*H27,"")</f>
        <v>45120</v>
      </c>
      <c r="J27" s="8" t="s">
        <v>118</v>
      </c>
    </row>
    <row r="28" customFormat="false" ht="27.75" hidden="false" customHeight="true" outlineLevel="0" collapsed="false">
      <c r="A28" s="5" t="n">
        <v>18</v>
      </c>
      <c r="B28" s="6" t="s">
        <v>119</v>
      </c>
      <c r="C28" s="31" t="s">
        <v>120</v>
      </c>
      <c r="D28" s="27" t="s">
        <v>121</v>
      </c>
      <c r="E28" s="5" t="s">
        <v>122</v>
      </c>
      <c r="F28" s="24" t="n">
        <v>1</v>
      </c>
      <c r="G28" s="25" t="s">
        <v>51</v>
      </c>
      <c r="H28" s="26" t="n">
        <v>16923</v>
      </c>
      <c r="I28" s="26" t="n">
        <f aca="false">IFERROR(F28*H28,"")</f>
        <v>16923</v>
      </c>
      <c r="J28" s="8" t="s">
        <v>123</v>
      </c>
    </row>
    <row r="29" customFormat="false" ht="54" hidden="false" customHeight="true" outlineLevel="0" collapsed="false">
      <c r="A29" s="5" t="n">
        <v>19</v>
      </c>
      <c r="B29" s="6" t="s">
        <v>124</v>
      </c>
      <c r="C29" s="22" t="s">
        <v>125</v>
      </c>
      <c r="D29" s="27" t="s">
        <v>126</v>
      </c>
      <c r="E29" s="5" t="s">
        <v>50</v>
      </c>
      <c r="F29" s="24" t="n">
        <v>1</v>
      </c>
      <c r="G29" s="25" t="s">
        <v>51</v>
      </c>
      <c r="H29" s="26" t="n">
        <v>46102.39</v>
      </c>
      <c r="I29" s="26" t="n">
        <f aca="false">IFERROR(F29*H29,"")</f>
        <v>46102.39</v>
      </c>
      <c r="J29" s="8" t="s">
        <v>127</v>
      </c>
    </row>
    <row r="30" customFormat="false" ht="16.5" hidden="false" customHeight="true" outlineLevel="0" collapsed="false">
      <c r="A30" s="21" t="s">
        <v>128</v>
      </c>
      <c r="B30" s="21"/>
      <c r="C30" s="21"/>
      <c r="D30" s="21"/>
      <c r="E30" s="21"/>
      <c r="F30" s="21"/>
      <c r="G30" s="21"/>
      <c r="H30" s="21"/>
      <c r="I30" s="21"/>
      <c r="J30" s="21"/>
    </row>
    <row r="31" customFormat="false" ht="27.75" hidden="false" customHeight="true" outlineLevel="0" collapsed="false">
      <c r="A31" s="5" t="n">
        <v>20</v>
      </c>
      <c r="B31" s="6" t="s">
        <v>129</v>
      </c>
      <c r="C31" s="22" t="s">
        <v>130</v>
      </c>
      <c r="D31" s="27" t="s">
        <v>131</v>
      </c>
      <c r="E31" s="5" t="s">
        <v>132</v>
      </c>
      <c r="F31" s="24" t="n">
        <v>1</v>
      </c>
      <c r="G31" s="25" t="s">
        <v>51</v>
      </c>
      <c r="H31" s="26" t="n">
        <v>8100</v>
      </c>
      <c r="I31" s="26" t="n">
        <f aca="false">IFERROR(F31*H31,"")</f>
        <v>8100</v>
      </c>
      <c r="J31" s="8" t="s">
        <v>133</v>
      </c>
    </row>
    <row r="32" customFormat="false" ht="105.75" hidden="false" customHeight="true" outlineLevel="0" collapsed="false">
      <c r="A32" s="5" t="n">
        <v>21</v>
      </c>
      <c r="B32" s="29" t="s">
        <v>134</v>
      </c>
      <c r="C32" s="22" t="s">
        <v>135</v>
      </c>
      <c r="D32" s="23" t="s">
        <v>136</v>
      </c>
      <c r="E32" s="5" t="s">
        <v>50</v>
      </c>
      <c r="F32" s="24" t="n">
        <v>18</v>
      </c>
      <c r="G32" s="25" t="s">
        <v>51</v>
      </c>
      <c r="H32" s="26" t="n">
        <v>8799.95</v>
      </c>
      <c r="I32" s="26" t="n">
        <f aca="false">IFERROR(F32*H32,"")</f>
        <v>158399.1</v>
      </c>
      <c r="J32" s="8" t="s">
        <v>137</v>
      </c>
    </row>
    <row r="33" customFormat="false" ht="54" hidden="false" customHeight="true" outlineLevel="0" collapsed="false">
      <c r="A33" s="5" t="n">
        <v>22</v>
      </c>
      <c r="B33" s="29" t="s">
        <v>138</v>
      </c>
      <c r="C33" s="22" t="s">
        <v>139</v>
      </c>
      <c r="D33" s="23" t="s">
        <v>140</v>
      </c>
      <c r="E33" s="5" t="s">
        <v>50</v>
      </c>
      <c r="F33" s="24" t="n">
        <v>18</v>
      </c>
      <c r="G33" s="25" t="s">
        <v>51</v>
      </c>
      <c r="H33" s="26" t="n">
        <v>902.56</v>
      </c>
      <c r="I33" s="26" t="n">
        <f aca="false">IFERROR(F33*H33,"")</f>
        <v>16246.08</v>
      </c>
      <c r="J33" s="8" t="s">
        <v>141</v>
      </c>
    </row>
    <row r="34" customFormat="false" ht="27.75" hidden="false" customHeight="true" outlineLevel="0" collapsed="false">
      <c r="A34" s="5" t="n">
        <v>23</v>
      </c>
      <c r="B34" s="6" t="s">
        <v>142</v>
      </c>
      <c r="C34" s="22" t="s">
        <v>143</v>
      </c>
      <c r="D34" s="27" t="s">
        <v>144</v>
      </c>
      <c r="E34" s="5" t="s">
        <v>50</v>
      </c>
      <c r="F34" s="24" t="n">
        <v>1</v>
      </c>
      <c r="G34" s="25" t="s">
        <v>51</v>
      </c>
      <c r="H34" s="26" t="n">
        <v>32266.51</v>
      </c>
      <c r="I34" s="26" t="n">
        <f aca="false">IFERROR(F34*H34,"")</f>
        <v>32266.51</v>
      </c>
      <c r="J34" s="8" t="s">
        <v>145</v>
      </c>
    </row>
    <row r="35" customFormat="false" ht="144.75" hidden="false" customHeight="true" outlineLevel="0" collapsed="false">
      <c r="A35" s="5" t="n">
        <v>24</v>
      </c>
      <c r="B35" s="6" t="s">
        <v>146</v>
      </c>
      <c r="C35" s="22" t="s">
        <v>147</v>
      </c>
      <c r="D35" s="27" t="s">
        <v>148</v>
      </c>
      <c r="E35" s="5" t="s">
        <v>50</v>
      </c>
      <c r="F35" s="24" t="n">
        <v>2</v>
      </c>
      <c r="G35" s="25" t="s">
        <v>51</v>
      </c>
      <c r="H35" s="26" t="n">
        <v>13566.61</v>
      </c>
      <c r="I35" s="26" t="n">
        <f aca="false">IFERROR(F35*H35,"")</f>
        <v>27133.22</v>
      </c>
      <c r="J35" s="8" t="s">
        <v>149</v>
      </c>
    </row>
    <row r="36" customFormat="false" ht="27.75" hidden="false" customHeight="true" outlineLevel="0" collapsed="false">
      <c r="A36" s="5" t="n">
        <v>25</v>
      </c>
      <c r="B36" s="29" t="s">
        <v>150</v>
      </c>
      <c r="C36" s="22" t="s">
        <v>151</v>
      </c>
      <c r="D36" s="23" t="s">
        <v>152</v>
      </c>
      <c r="E36" s="5" t="s">
        <v>50</v>
      </c>
      <c r="F36" s="24" t="n">
        <v>2</v>
      </c>
      <c r="G36" s="25" t="s">
        <v>51</v>
      </c>
      <c r="H36" s="26" t="n">
        <v>2594.86</v>
      </c>
      <c r="I36" s="26" t="n">
        <f aca="false">IFERROR(F36*H36,"")</f>
        <v>5189.72</v>
      </c>
      <c r="J36" s="8"/>
    </row>
    <row r="37" customFormat="false" ht="16.5" hidden="false" customHeight="true" outlineLevel="0" collapsed="false">
      <c r="A37" s="21" t="s">
        <v>153</v>
      </c>
      <c r="B37" s="21"/>
      <c r="C37" s="21"/>
      <c r="D37" s="21"/>
      <c r="E37" s="21"/>
      <c r="F37" s="21"/>
      <c r="G37" s="21"/>
      <c r="H37" s="21"/>
      <c r="I37" s="21"/>
      <c r="J37" s="21"/>
    </row>
    <row r="38" customFormat="false" ht="27.75" hidden="false" customHeight="true" outlineLevel="0" collapsed="false">
      <c r="A38" s="5" t="n">
        <v>26</v>
      </c>
      <c r="B38" s="6" t="s">
        <v>154</v>
      </c>
      <c r="C38" s="31" t="s">
        <v>120</v>
      </c>
      <c r="D38" s="27" t="s">
        <v>155</v>
      </c>
      <c r="E38" s="5" t="s">
        <v>132</v>
      </c>
      <c r="F38" s="24" t="n">
        <v>100</v>
      </c>
      <c r="G38" s="25" t="s">
        <v>51</v>
      </c>
      <c r="H38" s="26" t="n">
        <v>710.76</v>
      </c>
      <c r="I38" s="26" t="n">
        <f aca="false">IFERROR(F38*H38,"")</f>
        <v>71076</v>
      </c>
      <c r="J38" s="8" t="s">
        <v>156</v>
      </c>
    </row>
    <row r="39" customFormat="false" ht="27.75" hidden="false" customHeight="true" outlineLevel="0" collapsed="false">
      <c r="A39" s="5" t="n">
        <v>27</v>
      </c>
      <c r="B39" s="6" t="s">
        <v>157</v>
      </c>
      <c r="C39" s="22" t="s">
        <v>158</v>
      </c>
      <c r="D39" s="23" t="s">
        <v>159</v>
      </c>
      <c r="E39" s="5" t="s">
        <v>117</v>
      </c>
      <c r="F39" s="24" t="n">
        <v>12500</v>
      </c>
      <c r="G39" s="25" t="s">
        <v>51</v>
      </c>
      <c r="H39" s="26" t="n">
        <v>3.28</v>
      </c>
      <c r="I39" s="26" t="n">
        <f aca="false">IFERROR(F39*H39,"")</f>
        <v>41000</v>
      </c>
      <c r="J39" s="8" t="s">
        <v>160</v>
      </c>
    </row>
    <row r="40" customFormat="false" ht="27.75" hidden="false" customHeight="true" outlineLevel="0" collapsed="false">
      <c r="A40" s="5" t="n">
        <v>28</v>
      </c>
      <c r="B40" s="29" t="s">
        <v>161</v>
      </c>
      <c r="C40" s="22" t="s">
        <v>162</v>
      </c>
      <c r="D40" s="23" t="s">
        <v>163</v>
      </c>
      <c r="E40" s="5" t="s">
        <v>117</v>
      </c>
      <c r="F40" s="24" t="n">
        <v>10000</v>
      </c>
      <c r="G40" s="25" t="s">
        <v>51</v>
      </c>
      <c r="H40" s="26" t="n">
        <v>2.82</v>
      </c>
      <c r="I40" s="26" t="n">
        <f aca="false">IFERROR(F40*H40,"")</f>
        <v>28200</v>
      </c>
      <c r="J40" s="8"/>
    </row>
    <row r="41" customFormat="false" ht="27.75" hidden="false" customHeight="true" outlineLevel="0" collapsed="false">
      <c r="A41" s="5" t="n">
        <v>29</v>
      </c>
      <c r="B41" s="6" t="s">
        <v>164</v>
      </c>
      <c r="C41" s="31" t="s">
        <v>120</v>
      </c>
      <c r="D41" s="27" t="s">
        <v>165</v>
      </c>
      <c r="E41" s="5" t="s">
        <v>122</v>
      </c>
      <c r="F41" s="24" t="n">
        <v>1</v>
      </c>
      <c r="G41" s="25" t="s">
        <v>51</v>
      </c>
      <c r="H41" s="26" t="n">
        <v>90255.98</v>
      </c>
      <c r="I41" s="26" t="n">
        <f aca="false">IFERROR(F41*H41,"")</f>
        <v>90255.98</v>
      </c>
      <c r="J41" s="8" t="s">
        <v>166</v>
      </c>
    </row>
    <row r="42" customFormat="false" ht="16.5" hidden="false" customHeight="true" outlineLevel="0" collapsed="false">
      <c r="A42" s="21" t="s">
        <v>167</v>
      </c>
      <c r="B42" s="21"/>
      <c r="C42" s="21"/>
      <c r="D42" s="21"/>
      <c r="E42" s="21"/>
      <c r="F42" s="21"/>
      <c r="G42" s="21"/>
      <c r="H42" s="21"/>
      <c r="I42" s="21"/>
      <c r="J42" s="21"/>
    </row>
    <row r="43" customFormat="false" ht="27.75" hidden="false" customHeight="true" outlineLevel="0" collapsed="false">
      <c r="A43" s="5" t="n">
        <v>30</v>
      </c>
      <c r="B43" s="29" t="s">
        <v>168</v>
      </c>
      <c r="C43" s="31" t="s">
        <v>120</v>
      </c>
      <c r="D43" s="27" t="s">
        <v>169</v>
      </c>
      <c r="E43" s="5" t="s">
        <v>122</v>
      </c>
      <c r="F43" s="24" t="n">
        <v>1</v>
      </c>
      <c r="G43" s="25" t="s">
        <v>51</v>
      </c>
      <c r="H43" s="26" t="n">
        <v>18446.07</v>
      </c>
      <c r="I43" s="26" t="n">
        <f aca="false">IFERROR(F43*H43,"")</f>
        <v>18446.07</v>
      </c>
      <c r="J43" s="8" t="s">
        <v>170</v>
      </c>
    </row>
    <row r="44" customFormat="false" ht="27.75" hidden="false" customHeight="true" outlineLevel="0" collapsed="false">
      <c r="A44" s="5" t="n">
        <v>31</v>
      </c>
      <c r="B44" s="6" t="s">
        <v>171</v>
      </c>
      <c r="C44" s="31" t="s">
        <v>120</v>
      </c>
      <c r="D44" s="27" t="s">
        <v>172</v>
      </c>
      <c r="E44" s="5" t="s">
        <v>122</v>
      </c>
      <c r="F44" s="24" t="n">
        <v>1</v>
      </c>
      <c r="G44" s="25" t="s">
        <v>51</v>
      </c>
      <c r="H44" s="26" t="n">
        <v>12297.38</v>
      </c>
      <c r="I44" s="26" t="n">
        <f aca="false">IFERROR(F44*H44,"")</f>
        <v>12297.38</v>
      </c>
      <c r="J44" s="8"/>
    </row>
    <row r="45" customFormat="false" ht="27.75" hidden="false" customHeight="true" outlineLevel="0" collapsed="false">
      <c r="A45" s="5" t="n">
        <v>32</v>
      </c>
      <c r="B45" s="6" t="s">
        <v>173</v>
      </c>
      <c r="C45" s="31" t="s">
        <v>120</v>
      </c>
      <c r="D45" s="27" t="s">
        <v>174</v>
      </c>
      <c r="E45" s="5" t="s">
        <v>122</v>
      </c>
      <c r="F45" s="24" t="n">
        <v>1</v>
      </c>
      <c r="G45" s="25" t="s">
        <v>51</v>
      </c>
      <c r="H45" s="26" t="n">
        <v>6148.69</v>
      </c>
      <c r="I45" s="26" t="n">
        <f aca="false">IFERROR(F45*H45,"")</f>
        <v>6148.69</v>
      </c>
      <c r="J45" s="8" t="s">
        <v>175</v>
      </c>
    </row>
    <row r="46" customFormat="false" ht="27.75" hidden="false" customHeight="true" outlineLevel="0" collapsed="false">
      <c r="A46" s="5" t="n">
        <v>33</v>
      </c>
      <c r="B46" s="6" t="s">
        <v>176</v>
      </c>
      <c r="C46" s="31" t="s">
        <v>120</v>
      </c>
      <c r="D46" s="23" t="s">
        <v>177</v>
      </c>
      <c r="E46" s="5" t="s">
        <v>122</v>
      </c>
      <c r="F46" s="24" t="n">
        <v>1</v>
      </c>
      <c r="G46" s="25" t="s">
        <v>51</v>
      </c>
      <c r="H46" s="26" t="n">
        <v>6148.69</v>
      </c>
      <c r="I46" s="26" t="n">
        <f aca="false">IFERROR(F46*H46,"")</f>
        <v>6148.69</v>
      </c>
      <c r="J46" s="8" t="s">
        <v>178</v>
      </c>
    </row>
    <row r="47" customFormat="false" ht="21.75" hidden="false" customHeight="true" outlineLevel="0" collapsed="false">
      <c r="A47" s="32" t="s">
        <v>179</v>
      </c>
      <c r="B47" s="32"/>
      <c r="C47" s="32"/>
      <c r="D47" s="32"/>
      <c r="E47" s="32"/>
      <c r="F47" s="32"/>
      <c r="G47" s="32"/>
      <c r="H47" s="32"/>
      <c r="I47" s="33" t="n">
        <f aca="false">SUM(I6:I46)</f>
        <v>2178722.9</v>
      </c>
      <c r="J47" s="12"/>
    </row>
    <row r="48" customFormat="false" ht="21.75" hidden="false" customHeight="true" outlineLevel="0" collapsed="false">
      <c r="A48" s="34" t="s">
        <v>180</v>
      </c>
      <c r="B48" s="34"/>
      <c r="C48" s="34"/>
      <c r="D48" s="34"/>
      <c r="E48" s="34"/>
      <c r="F48" s="34"/>
      <c r="G48" s="34"/>
      <c r="H48" s="34"/>
      <c r="I48" s="35" t="n">
        <f aca="false">ROUND(I47*1.09,2)</f>
        <v>2374807.96</v>
      </c>
      <c r="J48" s="36"/>
    </row>
  </sheetData>
  <mergeCells count="13">
    <mergeCell ref="A1:J1"/>
    <mergeCell ref="A2:J2"/>
    <mergeCell ref="A5:J5"/>
    <mergeCell ref="A10:D10"/>
    <mergeCell ref="A11:J11"/>
    <mergeCell ref="A14:J14"/>
    <mergeCell ref="A18:J18"/>
    <mergeCell ref="A21:J21"/>
    <mergeCell ref="A30:J30"/>
    <mergeCell ref="A37:J37"/>
    <mergeCell ref="A42:J42"/>
    <mergeCell ref="A47:H47"/>
    <mergeCell ref="A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5" min="5" style="1" width="9.67"/>
    <col collapsed="false" customWidth="true" hidden="false" outlineLevel="0" max="7" min="7" style="1" width="10"/>
    <col collapsed="false" customWidth="true" hidden="false" outlineLevel="0" max="8" min="8" style="1" width="26"/>
    <col collapsed="false" customWidth="true" hidden="false" outlineLevel="0" max="12" min="12" style="1" width="20"/>
    <col collapsed="false" customWidth="true" hidden="false" outlineLevel="0" max="59" min="59" style="1" width="8"/>
  </cols>
  <sheetData>
    <row r="1" customFormat="false" ht="21" hidden="false" customHeight="true" outlineLevel="0" collapsed="false">
      <c r="A1" s="37" t="s">
        <v>181</v>
      </c>
      <c r="B1" s="37"/>
      <c r="C1" s="37"/>
      <c r="D1" s="37"/>
      <c r="E1" s="37"/>
      <c r="F1" s="37"/>
      <c r="G1" s="37"/>
      <c r="H1" s="37"/>
    </row>
    <row r="2" customFormat="false" ht="15" hidden="false" customHeight="false" outlineLevel="0" collapsed="false">
      <c r="A2" s="38"/>
      <c r="B2" s="38"/>
      <c r="C2" s="38"/>
      <c r="D2" s="38"/>
      <c r="E2" s="38"/>
      <c r="F2" s="38"/>
      <c r="G2" s="38"/>
      <c r="H2" s="38"/>
    </row>
    <row r="3" customFormat="false" ht="30" hidden="false" customHeight="true" outlineLevel="0" collapsed="false">
      <c r="A3" s="39" t="s">
        <v>2</v>
      </c>
      <c r="B3" s="39" t="s">
        <v>182</v>
      </c>
      <c r="C3" s="39" t="s">
        <v>183</v>
      </c>
      <c r="D3" s="39" t="s">
        <v>184</v>
      </c>
      <c r="E3" s="39" t="s">
        <v>185</v>
      </c>
      <c r="F3" s="40" t="s">
        <v>186</v>
      </c>
      <c r="G3" s="39" t="s">
        <v>187</v>
      </c>
      <c r="H3" s="39" t="s">
        <v>5</v>
      </c>
    </row>
    <row r="4" customFormat="false" ht="15" hidden="false" customHeight="true" outlineLevel="0" collapsed="false">
      <c r="A4" s="41" t="n">
        <v>1</v>
      </c>
      <c r="B4" s="42" t="s">
        <v>188</v>
      </c>
      <c r="C4" s="42" t="s">
        <v>189</v>
      </c>
      <c r="D4" s="41"/>
      <c r="E4" s="41"/>
      <c r="F4" s="41" t="n">
        <v>58</v>
      </c>
      <c r="G4" s="41"/>
      <c r="H4" s="43" t="s">
        <v>190</v>
      </c>
    </row>
    <row r="5" customFormat="false" ht="15" hidden="false" customHeight="true" outlineLevel="0" collapsed="false">
      <c r="A5" s="44" t="n">
        <v>2</v>
      </c>
      <c r="B5" s="45" t="s">
        <v>188</v>
      </c>
      <c r="C5" s="45" t="s">
        <v>191</v>
      </c>
      <c r="D5" s="44"/>
      <c r="E5" s="44"/>
      <c r="F5" s="44" t="n">
        <v>27</v>
      </c>
      <c r="G5" s="44"/>
      <c r="H5" s="46" t="s">
        <v>190</v>
      </c>
    </row>
    <row r="6" customFormat="false" ht="15" hidden="false" customHeight="true" outlineLevel="0" collapsed="false">
      <c r="A6" s="44" t="n">
        <v>3</v>
      </c>
      <c r="B6" s="45" t="s">
        <v>188</v>
      </c>
      <c r="C6" s="45" t="s">
        <v>192</v>
      </c>
      <c r="D6" s="44"/>
      <c r="E6" s="44"/>
      <c r="F6" s="44" t="n">
        <v>8</v>
      </c>
      <c r="G6" s="44"/>
      <c r="H6" s="46" t="s">
        <v>190</v>
      </c>
    </row>
    <row r="7" customFormat="false" ht="15" hidden="false" customHeight="true" outlineLevel="0" collapsed="false">
      <c r="A7" s="44" t="n">
        <v>4</v>
      </c>
      <c r="B7" s="45" t="s">
        <v>188</v>
      </c>
      <c r="C7" s="45" t="s">
        <v>193</v>
      </c>
      <c r="D7" s="44"/>
      <c r="E7" s="44"/>
      <c r="F7" s="44" t="n">
        <v>2</v>
      </c>
      <c r="G7" s="44"/>
      <c r="H7" s="46" t="s">
        <v>190</v>
      </c>
    </row>
    <row r="8" customFormat="false" ht="15" hidden="false" customHeight="true" outlineLevel="0" collapsed="false">
      <c r="A8" s="44" t="n">
        <v>5</v>
      </c>
      <c r="B8" s="45" t="s">
        <v>194</v>
      </c>
      <c r="C8" s="45" t="s">
        <v>195</v>
      </c>
      <c r="D8" s="44"/>
      <c r="E8" s="44"/>
      <c r="F8" s="44"/>
      <c r="G8" s="44" t="n">
        <v>70</v>
      </c>
      <c r="H8" s="47" t="s">
        <v>196</v>
      </c>
    </row>
    <row r="9" customFormat="false" ht="15" hidden="false" customHeight="true" outlineLevel="0" collapsed="false">
      <c r="A9" s="44" t="n">
        <v>6</v>
      </c>
      <c r="B9" s="45" t="s">
        <v>194</v>
      </c>
      <c r="C9" s="45" t="s">
        <v>197</v>
      </c>
      <c r="D9" s="44" t="n">
        <v>58</v>
      </c>
      <c r="E9" s="44"/>
      <c r="F9" s="44"/>
      <c r="G9" s="44"/>
      <c r="H9" s="47" t="s">
        <v>198</v>
      </c>
    </row>
    <row r="10" customFormat="false" ht="15" hidden="false" customHeight="true" outlineLevel="0" collapsed="false">
      <c r="A10" s="44" t="n">
        <v>7</v>
      </c>
      <c r="B10" s="45" t="s">
        <v>199</v>
      </c>
      <c r="C10" s="45" t="s">
        <v>200</v>
      </c>
      <c r="D10" s="44"/>
      <c r="E10" s="44"/>
      <c r="F10" s="44" t="n">
        <v>46</v>
      </c>
      <c r="G10" s="44"/>
      <c r="H10" s="46" t="s">
        <v>190</v>
      </c>
    </row>
    <row r="11" customFormat="false" ht="15" hidden="false" customHeight="true" outlineLevel="0" collapsed="false">
      <c r="A11" s="44" t="n">
        <v>8</v>
      </c>
      <c r="B11" s="45" t="s">
        <v>201</v>
      </c>
      <c r="C11" s="45" t="s">
        <v>202</v>
      </c>
      <c r="D11" s="44" t="n">
        <v>3</v>
      </c>
      <c r="E11" s="44"/>
      <c r="F11" s="44" t="n">
        <v>44</v>
      </c>
      <c r="G11" s="44"/>
      <c r="H11" s="47" t="s">
        <v>203</v>
      </c>
    </row>
    <row r="12" customFormat="false" ht="15" hidden="false" customHeight="true" outlineLevel="0" collapsed="false">
      <c r="A12" s="44" t="n">
        <v>9</v>
      </c>
      <c r="B12" s="48" t="s">
        <v>204</v>
      </c>
      <c r="C12" s="45" t="s">
        <v>205</v>
      </c>
      <c r="D12" s="44"/>
      <c r="E12" s="44"/>
      <c r="F12" s="44" t="n">
        <v>8</v>
      </c>
      <c r="G12" s="44"/>
      <c r="H12" s="46" t="s">
        <v>190</v>
      </c>
    </row>
    <row r="13" customFormat="false" ht="15" hidden="false" customHeight="true" outlineLevel="0" collapsed="false">
      <c r="A13" s="44" t="n">
        <v>10</v>
      </c>
      <c r="B13" s="45" t="s">
        <v>206</v>
      </c>
      <c r="C13" s="45" t="s">
        <v>207</v>
      </c>
      <c r="D13" s="44"/>
      <c r="E13" s="44"/>
      <c r="F13" s="44"/>
      <c r="G13" s="44" t="n">
        <v>10</v>
      </c>
      <c r="H13" s="47" t="s">
        <v>208</v>
      </c>
    </row>
    <row r="14" customFormat="false" ht="15" hidden="false" customHeight="true" outlineLevel="0" collapsed="false">
      <c r="A14" s="44" t="n">
        <v>11</v>
      </c>
      <c r="B14" s="45" t="s">
        <v>206</v>
      </c>
      <c r="C14" s="45" t="s">
        <v>209</v>
      </c>
      <c r="D14" s="44"/>
      <c r="E14" s="44"/>
      <c r="F14" s="44"/>
      <c r="G14" s="44" t="n">
        <v>4</v>
      </c>
      <c r="H14" s="47" t="s">
        <v>208</v>
      </c>
    </row>
    <row r="15" customFormat="false" ht="15" hidden="false" customHeight="true" outlineLevel="0" collapsed="false">
      <c r="A15" s="44" t="n">
        <v>12</v>
      </c>
      <c r="B15" s="45" t="s">
        <v>206</v>
      </c>
      <c r="C15" s="45" t="s">
        <v>210</v>
      </c>
      <c r="D15" s="44"/>
      <c r="E15" s="44"/>
      <c r="F15" s="44"/>
      <c r="G15" s="44" t="n">
        <v>2</v>
      </c>
      <c r="H15" s="47" t="s">
        <v>208</v>
      </c>
    </row>
    <row r="16" customFormat="false" ht="15" hidden="false" customHeight="true" outlineLevel="0" collapsed="false">
      <c r="A16" s="44" t="n">
        <v>13</v>
      </c>
      <c r="B16" s="45" t="s">
        <v>206</v>
      </c>
      <c r="C16" s="45" t="s">
        <v>211</v>
      </c>
      <c r="D16" s="44"/>
      <c r="E16" s="44"/>
      <c r="F16" s="44"/>
      <c r="G16" s="44" t="n">
        <v>6</v>
      </c>
      <c r="H16" s="47" t="s">
        <v>208</v>
      </c>
    </row>
    <row r="17" customFormat="false" ht="24" hidden="false" customHeight="true" outlineLevel="0" collapsed="false">
      <c r="A17" s="44" t="n">
        <v>14</v>
      </c>
      <c r="B17" s="45" t="s">
        <v>212</v>
      </c>
      <c r="C17" s="45" t="s">
        <v>213</v>
      </c>
      <c r="D17" s="44" t="n">
        <v>41</v>
      </c>
      <c r="E17" s="44"/>
      <c r="F17" s="44"/>
      <c r="G17" s="44"/>
      <c r="H17" s="47" t="s">
        <v>214</v>
      </c>
    </row>
    <row r="18" customFormat="false" ht="15" hidden="false" customHeight="true" outlineLevel="0" collapsed="false">
      <c r="A18" s="44" t="n">
        <v>15</v>
      </c>
      <c r="B18" s="45" t="s">
        <v>215</v>
      </c>
      <c r="C18" s="45" t="s">
        <v>216</v>
      </c>
      <c r="D18" s="44"/>
      <c r="E18" s="44" t="n">
        <v>44</v>
      </c>
      <c r="F18" s="44"/>
      <c r="G18" s="44"/>
      <c r="H18" s="47" t="s">
        <v>217</v>
      </c>
    </row>
    <row r="19" customFormat="false" ht="15" hidden="false" customHeight="true" outlineLevel="0" collapsed="false">
      <c r="A19" s="49" t="s">
        <v>218</v>
      </c>
      <c r="B19" s="50" t="s">
        <v>219</v>
      </c>
      <c r="C19" s="50"/>
      <c r="D19" s="49" t="n">
        <f aca="false">SUM(D4:D18)</f>
        <v>102</v>
      </c>
      <c r="E19" s="49" t="n">
        <f aca="false">SUM(E4:E18)</f>
        <v>44</v>
      </c>
      <c r="F19" s="49" t="n">
        <f aca="false">SUM(F4:F18)</f>
        <v>193</v>
      </c>
      <c r="G19" s="49" t="n">
        <f aca="false">SUM(G4:G18)</f>
        <v>92</v>
      </c>
      <c r="H19" s="51" t="s">
        <v>220</v>
      </c>
    </row>
    <row r="20" customFormat="false" ht="16.5" hidden="false" customHeight="true" outlineLevel="0" collapsed="false">
      <c r="A20" s="52"/>
    </row>
    <row r="21" customFormat="false" ht="16.5" hidden="false" customHeight="true" outlineLevel="0" collapsed="false">
      <c r="A21" s="53"/>
    </row>
    <row r="22" customFormat="false" ht="16.5" hidden="false" customHeight="true" outlineLevel="0" collapsed="false">
      <c r="A22" s="53"/>
    </row>
    <row r="23" customFormat="false" ht="16.5" hidden="false" customHeight="true" outlineLevel="0" collapsed="false">
      <c r="A23" s="53"/>
    </row>
    <row r="24" customFormat="false" ht="16.5" hidden="false" customHeight="true" outlineLevel="0" collapsed="false">
      <c r="A24" s="53"/>
    </row>
    <row r="25" customFormat="false" ht="16.5" hidden="false" customHeight="true" outlineLevel="0" collapsed="false">
      <c r="A25" s="53"/>
    </row>
    <row r="26" customFormat="false" ht="16.5" hidden="false" customHeight="true" outlineLevel="0" collapsed="false">
      <c r="A26" s="53"/>
    </row>
    <row r="27" customFormat="false" ht="16.5" hidden="false" customHeight="true" outlineLevel="0" collapsed="false"/>
    <row r="28" customFormat="false" ht="16.5" hidden="false" customHeight="true" outlineLevel="0" collapsed="false">
      <c r="A28" s="54"/>
    </row>
    <row r="29" customFormat="false" ht="16.5" hidden="false" customHeight="true" outlineLevel="0" collapsed="false">
      <c r="A29" s="54"/>
    </row>
    <row r="30" customFormat="false" ht="16.5" hidden="false" customHeight="true" outlineLevel="0" collapsed="false">
      <c r="A30" s="54"/>
    </row>
    <row r="31" customFormat="false" ht="16.5" hidden="false" customHeight="true" outlineLevel="0" collapsed="false">
      <c r="A31" s="54"/>
    </row>
    <row r="32" customFormat="false" ht="16.5" hidden="false" customHeight="true" outlineLevel="0" collapsed="false">
      <c r="E32" s="55"/>
      <c r="F32" s="52"/>
    </row>
    <row r="33" customFormat="false" ht="16.5" hidden="false" customHeight="true" outlineLevel="0" collapsed="false">
      <c r="E33" s="55"/>
      <c r="F33" s="56"/>
    </row>
  </sheetData>
  <mergeCells count="2">
    <mergeCell ref="A1:H1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2026-08-20T13:51:51Z</dcterms:created>
  <dc:creator>openpyxl</dc:creator>
  <dc:description/>
  <dc:language>en-US</dc:language>
  <cp:lastModifiedBy/>
  <dcterms:modified xsi:type="dcterms:W3CDTF">2026-08-20T13:51:51Z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