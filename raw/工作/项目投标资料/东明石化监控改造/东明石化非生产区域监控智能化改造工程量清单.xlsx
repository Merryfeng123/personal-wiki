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程量清单" sheetId="1" state="visible" r:id="rId3"/>
    <sheet name="摄像机点位明细" sheetId="2" state="visible" r:id="rId4"/>
    <sheet name="编制说明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<sst xmlns="http://schemas.openxmlformats.org/spreadsheetml/2006/main" count="285" uniqueCount="200">
  <si>
    <t xml:space="preserve">东明石化集团 非生产区域视频监控智能化改造 工程量清单</t>
  </si>
  <si>
    <r>
      <rPr>
        <sz val="9"/>
        <color rgb="FF808080"/>
        <rFont val="Noto Sans CJK SC"/>
        <family val="2"/>
      </rPr>
      <t xml:space="preserve">说明：标注“利旧”者为集团现有可利用资源；标注“暂估</t>
    </r>
    <r>
      <rPr>
        <sz val="9"/>
        <color rgb="FF808080"/>
        <rFont val="宋体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以勘查为准”的数量为估算值，最终以现场勘查点表及深化设计为准。   编制日期：</t>
    </r>
    <r>
      <rPr>
        <sz val="9"/>
        <color rgb="FF808080"/>
        <rFont val="宋体"/>
        <family val="0"/>
        <charset val="1"/>
      </rPr>
      <t xml:space="preserve">2026</t>
    </r>
    <r>
      <rPr>
        <sz val="9"/>
        <color rgb="FF808080"/>
        <rFont val="Noto Sans CJK SC"/>
        <family val="2"/>
      </rPr>
      <t xml:space="preserve">年</t>
    </r>
    <r>
      <rPr>
        <sz val="9"/>
        <color rgb="FF808080"/>
        <rFont val="宋体"/>
        <family val="0"/>
        <charset val="1"/>
      </rPr>
      <t xml:space="preserve">7</t>
    </r>
    <r>
      <rPr>
        <sz val="9"/>
        <color rgb="FF808080"/>
        <rFont val="Noto Sans CJK SC"/>
        <family val="2"/>
      </rPr>
      <t xml:space="preserve">月</t>
    </r>
  </si>
  <si>
    <t xml:space="preserve">序号</t>
  </si>
  <si>
    <r>
      <rPr>
        <b val="true"/>
        <sz val="10"/>
        <color rgb="FF1F3864"/>
        <rFont val="Noto Sans CJK SC"/>
        <family val="2"/>
      </rPr>
      <t xml:space="preserve">设备</t>
    </r>
    <r>
      <rPr>
        <b val="true"/>
        <sz val="10"/>
        <color rgb="FF1F3864"/>
        <rFont val="黑体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材料名称</t>
    </r>
  </si>
  <si>
    <r>
      <rPr>
        <b val="true"/>
        <sz val="10"/>
        <color rgb="FF1F3864"/>
        <rFont val="Noto Sans CJK SC"/>
        <family val="2"/>
      </rPr>
      <t xml:space="preserve">主要技术参数 </t>
    </r>
    <r>
      <rPr>
        <b val="true"/>
        <sz val="10"/>
        <color rgb="FF1F3864"/>
        <rFont val="黑体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规格</t>
    </r>
  </si>
  <si>
    <t xml:space="preserve">单位</t>
  </si>
  <si>
    <t xml:space="preserve">数量</t>
  </si>
  <si>
    <t xml:space="preserve">性质</t>
  </si>
  <si>
    <t xml:space="preserve">备注</t>
  </si>
  <si>
    <t xml:space="preserve">一、前端采集设备</t>
  </si>
  <si>
    <t xml:space="preserve">网络高清枪型摄像机（周界补盲）</t>
  </si>
  <si>
    <r>
      <rPr>
        <sz val="9"/>
        <color rgb="FF000000"/>
        <rFont val="宋体"/>
        <family val="0"/>
        <charset val="1"/>
      </rPr>
      <t xml:space="preserve">≥400</t>
    </r>
    <r>
      <rPr>
        <sz val="9"/>
        <color rgb="FF000000"/>
        <rFont val="Noto Sans CJK SC"/>
        <family val="2"/>
      </rPr>
      <t xml:space="preserve">万像素，</t>
    </r>
    <r>
      <rPr>
        <sz val="9"/>
        <color rgb="FF000000"/>
        <rFont val="宋体"/>
        <family val="0"/>
        <charset val="1"/>
      </rPr>
      <t xml:space="preserve">1/1.8"</t>
    </r>
    <r>
      <rPr>
        <sz val="9"/>
        <color rgb="FF000000"/>
        <rFont val="Noto Sans CJK SC"/>
        <family val="2"/>
      </rPr>
      <t xml:space="preserve">星光级传感器，</t>
    </r>
    <r>
      <rPr>
        <sz val="9"/>
        <color rgb="FF000000"/>
        <rFont val="宋体"/>
        <family val="0"/>
        <charset val="1"/>
      </rPr>
      <t xml:space="preserve">H.265+</t>
    </r>
    <r>
      <rPr>
        <sz val="9"/>
        <color rgb="FF000000"/>
        <rFont val="Noto Sans CJK SC"/>
        <family val="2"/>
      </rPr>
      <t xml:space="preserve">，宽动态≥</t>
    </r>
    <r>
      <rPr>
        <sz val="9"/>
        <color rgb="FF000000"/>
        <rFont val="宋体"/>
        <family val="0"/>
        <charset val="1"/>
      </rPr>
      <t xml:space="preserve">120dB</t>
    </r>
    <r>
      <rPr>
        <sz val="9"/>
        <color rgb="FF000000"/>
        <rFont val="Noto Sans CJK SC"/>
        <family val="2"/>
      </rPr>
      <t xml:space="preserve">，红外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白光补光≥</t>
    </r>
    <r>
      <rPr>
        <sz val="9"/>
        <color rgb="FF000000"/>
        <rFont val="宋体"/>
        <family val="0"/>
        <charset val="1"/>
      </rPr>
      <t xml:space="preserve">50m</t>
    </r>
    <r>
      <rPr>
        <sz val="9"/>
        <color rgb="FF000000"/>
        <rFont val="Noto Sans CJK SC"/>
        <family val="2"/>
      </rPr>
      <t xml:space="preserve">，支持周界入侵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越线检测，内置音频，</t>
    </r>
    <r>
      <rPr>
        <sz val="9"/>
        <color rgb="FF000000"/>
        <rFont val="宋体"/>
        <family val="0"/>
        <charset val="1"/>
      </rPr>
      <t xml:space="preserve">IP66</t>
    </r>
    <r>
      <rPr>
        <sz val="9"/>
        <color rgb="FF000000"/>
        <rFont val="Noto Sans CJK SC"/>
        <family val="2"/>
      </rPr>
      <t xml:space="preserve">，宽温防雷</t>
    </r>
  </si>
  <si>
    <t xml:space="preserve">台</t>
  </si>
  <si>
    <t xml:space="preserve">新增</t>
  </si>
  <si>
    <t xml:space="preserve">华汪围墙周界补盲</t>
  </si>
  <si>
    <r>
      <rPr>
        <sz val="10"/>
        <color rgb="FF000000"/>
        <rFont val="Noto Sans CJK SC"/>
        <family val="2"/>
      </rPr>
      <t xml:space="preserve">网络高清枪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球型摄像机（重点部位补盲）</t>
    </r>
  </si>
  <si>
    <r>
      <rPr>
        <sz val="9"/>
        <color rgb="FF000000"/>
        <rFont val="宋体"/>
        <family val="0"/>
        <charset val="1"/>
      </rPr>
      <t xml:space="preserve">≥400</t>
    </r>
    <r>
      <rPr>
        <sz val="9"/>
        <color rgb="FF000000"/>
        <rFont val="Noto Sans CJK SC"/>
        <family val="2"/>
      </rPr>
      <t xml:space="preserve">万像素，星光级，</t>
    </r>
    <r>
      <rPr>
        <sz val="9"/>
        <color rgb="FF000000"/>
        <rFont val="宋体"/>
        <family val="0"/>
        <charset val="1"/>
      </rPr>
      <t xml:space="preserve">H.265+</t>
    </r>
    <r>
      <rPr>
        <sz val="9"/>
        <color rgb="FF000000"/>
        <rFont val="Noto Sans CJK SC"/>
        <family val="2"/>
      </rPr>
      <t xml:space="preserve">，重点设备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围墙监视，内置音频，</t>
    </r>
    <r>
      <rPr>
        <sz val="9"/>
        <color rgb="FF000000"/>
        <rFont val="宋体"/>
        <family val="0"/>
        <charset val="1"/>
      </rPr>
      <t xml:space="preserve">IP66</t>
    </r>
  </si>
  <si>
    <r>
      <rPr>
        <sz val="9"/>
        <color rgb="FF595959"/>
        <rFont val="Noto Sans CJK SC"/>
        <family val="2"/>
      </rPr>
      <t xml:space="preserve">东明港运围墙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重点设备</t>
    </r>
  </si>
  <si>
    <r>
      <rPr>
        <sz val="10"/>
        <color rgb="FF000000"/>
        <rFont val="Noto Sans CJK SC"/>
        <family val="2"/>
      </rPr>
      <t xml:space="preserve">宽动态卡口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枪型摄像机（门岗补盲）</t>
    </r>
  </si>
  <si>
    <r>
      <rPr>
        <sz val="9"/>
        <color rgb="FF000000"/>
        <rFont val="宋体"/>
        <family val="0"/>
        <charset val="1"/>
      </rPr>
      <t xml:space="preserve">≥400</t>
    </r>
    <r>
      <rPr>
        <sz val="9"/>
        <color rgb="FF000000"/>
        <rFont val="Noto Sans CJK SC"/>
        <family val="2"/>
      </rPr>
      <t xml:space="preserve">万像素，超宽动态，</t>
    </r>
    <r>
      <rPr>
        <sz val="9"/>
        <color rgb="FF000000"/>
        <rFont val="宋体"/>
        <family val="0"/>
        <charset val="1"/>
      </rPr>
      <t xml:space="preserve">H.265+</t>
    </r>
    <r>
      <rPr>
        <sz val="9"/>
        <color rgb="FF000000"/>
        <rFont val="Noto Sans CJK SC"/>
        <family val="2"/>
      </rPr>
      <t xml:space="preserve">，车牌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人脸可辨识，覆盖门岗前后各</t>
    </r>
    <r>
      <rPr>
        <sz val="9"/>
        <color rgb="FF000000"/>
        <rFont val="宋体"/>
        <family val="0"/>
        <charset val="1"/>
      </rPr>
      <t xml:space="preserve">20m</t>
    </r>
    <r>
      <rPr>
        <sz val="9"/>
        <color rgb="FF000000"/>
        <rFont val="Noto Sans CJK SC"/>
        <family val="2"/>
      </rPr>
      <t xml:space="preserve">，含拾音喊话联动，</t>
    </r>
    <r>
      <rPr>
        <sz val="9"/>
        <color rgb="FF000000"/>
        <rFont val="宋体"/>
        <family val="0"/>
        <charset val="1"/>
      </rPr>
      <t xml:space="preserve">IP66</t>
    </r>
  </si>
  <si>
    <t xml:space="preserve">润华实业各门岗</t>
  </si>
  <si>
    <t xml:space="preserve">网络摄像机（老旧更换）</t>
  </si>
  <si>
    <r>
      <rPr>
        <sz val="9"/>
        <color rgb="FF000000"/>
        <rFont val="宋体"/>
        <family val="0"/>
        <charset val="1"/>
      </rPr>
      <t xml:space="preserve">≥400</t>
    </r>
    <r>
      <rPr>
        <sz val="9"/>
        <color rgb="FF000000"/>
        <rFont val="Noto Sans CJK SC"/>
        <family val="2"/>
      </rPr>
      <t xml:space="preserve">万像素，星光级，</t>
    </r>
    <r>
      <rPr>
        <sz val="9"/>
        <color rgb="FF000000"/>
        <rFont val="宋体"/>
        <family val="0"/>
        <charset val="1"/>
      </rPr>
      <t xml:space="preserve">H.265+</t>
    </r>
    <r>
      <rPr>
        <sz val="9"/>
        <color rgb="FF000000"/>
        <rFont val="Noto Sans CJK SC"/>
        <family val="2"/>
      </rPr>
      <t xml:space="preserve">，按原点位类型等量替换（枪机为主），内置音频，</t>
    </r>
    <r>
      <rPr>
        <sz val="9"/>
        <color rgb="FF000000"/>
        <rFont val="宋体"/>
        <family val="0"/>
        <charset val="1"/>
      </rPr>
      <t xml:space="preserve">IP66</t>
    </r>
  </si>
  <si>
    <t xml:space="preserve">各区域老旧点位，以勘查为准</t>
  </si>
  <si>
    <t xml:space="preserve">网络拾音喊话音柱（含功放）</t>
  </si>
  <si>
    <r>
      <rPr>
        <sz val="9"/>
        <color rgb="FF000000"/>
        <rFont val="Noto Sans CJK SC"/>
        <family val="2"/>
      </rPr>
      <t xml:space="preserve">网络对讲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广播一体，支持平台联动喊话，内置拾音，</t>
    </r>
    <r>
      <rPr>
        <sz val="9"/>
        <color rgb="FF000000"/>
        <rFont val="宋体"/>
        <family val="0"/>
        <charset val="1"/>
      </rPr>
      <t xml:space="preserve">POE</t>
    </r>
    <r>
      <rPr>
        <sz val="9"/>
        <color rgb="FF000000"/>
        <rFont val="Noto Sans CJK SC"/>
        <family val="2"/>
      </rPr>
      <t xml:space="preserve">供电，室外防护</t>
    </r>
  </si>
  <si>
    <t xml:space="preserve">套</t>
  </si>
  <si>
    <r>
      <rPr>
        <sz val="9"/>
        <color rgb="FF595959"/>
        <rFont val="Noto Sans CJK SC"/>
        <family val="2"/>
      </rPr>
      <t xml:space="preserve">对应新增</t>
    </r>
    <r>
      <rPr>
        <sz val="9"/>
        <color rgb="FF595959"/>
        <rFont val="宋体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更换点位，以实际点位为准</t>
    </r>
  </si>
  <si>
    <t xml:space="preserve">前端摄像机小计</t>
  </si>
  <si>
    <t xml:space="preserve">二、智能分析设备</t>
  </si>
  <si>
    <r>
      <rPr>
        <sz val="10"/>
        <color rgb="FF000000"/>
        <rFont val="宋体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边缘算力分析服务器</t>
    </r>
  </si>
  <si>
    <r>
      <rPr>
        <sz val="9"/>
        <color rgb="FF000000"/>
        <rFont val="宋体"/>
        <family val="0"/>
        <charset val="1"/>
      </rPr>
      <t xml:space="preserve">GPU</t>
    </r>
    <r>
      <rPr>
        <sz val="9"/>
        <color rgb="FF000000"/>
        <rFont val="Noto Sans CJK SC"/>
        <family val="2"/>
      </rPr>
      <t xml:space="preserve">边缘智能分析服务器，单台≥</t>
    </r>
    <r>
      <rPr>
        <sz val="9"/>
        <color rgb="FF000000"/>
        <rFont val="宋体"/>
        <family val="0"/>
        <charset val="1"/>
      </rPr>
      <t xml:space="preserve">32</t>
    </r>
    <r>
      <rPr>
        <sz val="9"/>
        <color rgb="FF000000"/>
        <rFont val="Noto Sans CJK SC"/>
        <family val="2"/>
      </rPr>
      <t xml:space="preserve">路视频结构化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行为分析，支持周界入侵、越线、徘徊等算法，含算法授权</t>
    </r>
  </si>
  <si>
    <r>
      <rPr>
        <sz val="9"/>
        <color rgb="FF595959"/>
        <rFont val="Noto Sans CJK SC"/>
        <family val="2"/>
      </rPr>
      <t xml:space="preserve">承载</t>
    </r>
    <r>
      <rPr>
        <sz val="9"/>
        <color rgb="FF595959"/>
        <rFont val="宋体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路</t>
    </r>
    <r>
      <rPr>
        <sz val="9"/>
        <color rgb="FF595959"/>
        <rFont val="宋体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分析，按</t>
    </r>
    <r>
      <rPr>
        <sz val="9"/>
        <color rgb="FF595959"/>
        <rFont val="宋体"/>
        <family val="0"/>
        <charset val="1"/>
      </rPr>
      <t xml:space="preserve">32</t>
    </r>
    <r>
      <rPr>
        <sz val="9"/>
        <color rgb="FF595959"/>
        <rFont val="Noto Sans CJK SC"/>
        <family val="2"/>
      </rPr>
      <t xml:space="preserve">路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台配置含</t>
    </r>
    <r>
      <rPr>
        <sz val="9"/>
        <color rgb="FF595959"/>
        <rFont val="宋体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余量</t>
    </r>
  </si>
  <si>
    <r>
      <rPr>
        <sz val="10"/>
        <color rgb="FF000000"/>
        <rFont val="宋体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行为分析算法授权</t>
    </r>
  </si>
  <si>
    <t xml:space="preserve">周界入侵、越线报警等行为分析算法，按路授权，报警统一接入平台</t>
  </si>
  <si>
    <t xml:space="preserve">路</t>
  </si>
  <si>
    <r>
      <rPr>
        <sz val="9"/>
        <color rgb="FF595959"/>
        <rFont val="Noto Sans CJK SC"/>
        <family val="2"/>
      </rPr>
      <t xml:space="preserve">对应需</t>
    </r>
    <r>
      <rPr>
        <sz val="9"/>
        <color rgb="FF595959"/>
        <rFont val="宋体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升级摄像机</t>
    </r>
    <r>
      <rPr>
        <sz val="9"/>
        <color rgb="FF595959"/>
        <rFont val="宋体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台</t>
    </r>
  </si>
  <si>
    <t xml:space="preserve">三、平台与软件</t>
  </si>
  <si>
    <t xml:space="preserve">统一视频综合管理平台软件</t>
  </si>
  <si>
    <r>
      <rPr>
        <sz val="9"/>
        <color rgb="FF000000"/>
        <rFont val="Noto Sans CJK SC"/>
        <family val="2"/>
      </rPr>
      <t xml:space="preserve">支持</t>
    </r>
    <r>
      <rPr>
        <sz val="9"/>
        <color rgb="FF000000"/>
        <rFont val="宋体"/>
        <family val="0"/>
        <charset val="1"/>
      </rPr>
      <t xml:space="preserve">GB/T 28181</t>
    </r>
    <r>
      <rPr>
        <sz val="9"/>
        <color rgb="FF000000"/>
        <rFont val="Noto Sans CJK SC"/>
        <family val="2"/>
      </rPr>
      <t xml:space="preserve">级联</t>
    </r>
    <r>
      <rPr>
        <sz val="9"/>
        <color rgb="FF000000"/>
        <rFont val="宋体"/>
        <family val="0"/>
        <charset val="1"/>
      </rPr>
      <t xml:space="preserve">+SDK/ONVIF</t>
    </r>
    <r>
      <rPr>
        <sz val="9"/>
        <color rgb="FF000000"/>
        <rFont val="Noto Sans CJK SC"/>
        <family val="2"/>
      </rPr>
      <t xml:space="preserve">多品牌接入，实时预览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轮巡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分屏、录像检索回放、报警联动弹窗、一键调取、权限与运维管理，预留门禁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出入口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停车场及扩展接口</t>
    </r>
  </si>
  <si>
    <t xml:space="preserve">部署于集团六楼机房，承载于利旧服务器</t>
  </si>
  <si>
    <t xml:space="preserve">平台服务器</t>
  </si>
  <si>
    <r>
      <rPr>
        <sz val="9"/>
        <color rgb="FF000000"/>
        <rFont val="Noto Sans CJK SC"/>
        <family val="2"/>
      </rPr>
      <t xml:space="preserve">现有平台服务器，作为平台主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备计算与接入节点</t>
    </r>
  </si>
  <si>
    <t xml:space="preserve">利旧</t>
  </si>
  <si>
    <r>
      <rPr>
        <sz val="9"/>
        <color rgb="FF595959"/>
        <rFont val="Noto Sans CJK SC"/>
        <family val="2"/>
      </rPr>
      <t xml:space="preserve">集团现有</t>
    </r>
    <r>
      <rPr>
        <sz val="9"/>
        <color rgb="FF595959"/>
        <rFont val="宋体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台</t>
    </r>
  </si>
  <si>
    <t xml:space="preserve">视频及报警接入授权</t>
  </si>
  <si>
    <r>
      <rPr>
        <sz val="9"/>
        <color rgb="FF000000"/>
        <rFont val="Noto Sans CJK SC"/>
        <family val="2"/>
      </rPr>
      <t xml:space="preserve">视频</t>
    </r>
    <r>
      <rPr>
        <sz val="9"/>
        <color rgb="FF000000"/>
        <rFont val="宋体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报警接入授权，由现有</t>
    </r>
    <r>
      <rPr>
        <sz val="9"/>
        <color rgb="FF000000"/>
        <rFont val="宋体"/>
        <family val="0"/>
        <charset val="1"/>
      </rPr>
      <t xml:space="preserve">1500</t>
    </r>
    <r>
      <rPr>
        <sz val="9"/>
        <color rgb="FF000000"/>
        <rFont val="Noto Sans CJK SC"/>
        <family val="2"/>
      </rPr>
      <t xml:space="preserve">路扩容至≥</t>
    </r>
    <r>
      <rPr>
        <sz val="9"/>
        <color rgb="FF000000"/>
        <rFont val="宋体"/>
        <family val="0"/>
        <charset val="1"/>
      </rPr>
      <t xml:space="preserve">3000</t>
    </r>
    <r>
      <rPr>
        <sz val="9"/>
        <color rgb="FF000000"/>
        <rFont val="Noto Sans CJK SC"/>
        <family val="2"/>
      </rPr>
      <t xml:space="preserve">路（净增≥</t>
    </r>
    <r>
      <rPr>
        <sz val="9"/>
        <color rgb="FF000000"/>
        <rFont val="宋体"/>
        <family val="0"/>
        <charset val="1"/>
      </rPr>
      <t xml:space="preserve">1500</t>
    </r>
    <r>
      <rPr>
        <sz val="9"/>
        <color rgb="FF000000"/>
        <rFont val="Noto Sans CJK SC"/>
        <family val="2"/>
      </rPr>
      <t xml:space="preserve">路），含扩展余量</t>
    </r>
  </si>
  <si>
    <r>
      <rPr>
        <sz val="10"/>
        <color rgb="FFC00000"/>
        <rFont val="Noto Sans CJK SC"/>
        <family val="2"/>
      </rPr>
      <t xml:space="preserve">利旧</t>
    </r>
    <r>
      <rPr>
        <sz val="10"/>
        <color rgb="FFC00000"/>
        <rFont val="宋体"/>
        <family val="0"/>
        <charset val="1"/>
      </rPr>
      <t xml:space="preserve">+</t>
    </r>
    <r>
      <rPr>
        <sz val="10"/>
        <color rgb="FFC00000"/>
        <rFont val="Noto Sans CJK SC"/>
        <family val="2"/>
      </rPr>
      <t xml:space="preserve">扩容</t>
    </r>
  </si>
  <si>
    <r>
      <rPr>
        <sz val="9"/>
        <color rgb="FF595959"/>
        <rFont val="Noto Sans CJK SC"/>
        <family val="2"/>
      </rPr>
      <t xml:space="preserve">利旧</t>
    </r>
    <r>
      <rPr>
        <sz val="9"/>
        <color rgb="FF595959"/>
        <rFont val="宋体"/>
        <family val="0"/>
        <charset val="1"/>
      </rPr>
      <t xml:space="preserve">1500</t>
    </r>
    <r>
      <rPr>
        <sz val="9"/>
        <color rgb="FF595959"/>
        <rFont val="Noto Sans CJK SC"/>
        <family val="2"/>
      </rPr>
      <t xml:space="preserve">路，扩容≥</t>
    </r>
    <r>
      <rPr>
        <sz val="9"/>
        <color rgb="FF595959"/>
        <rFont val="宋体"/>
        <family val="0"/>
        <charset val="1"/>
      </rPr>
      <t xml:space="preserve">1500</t>
    </r>
    <r>
      <rPr>
        <sz val="9"/>
        <color rgb="FF595959"/>
        <rFont val="Noto Sans CJK SC"/>
        <family val="2"/>
      </rPr>
      <t xml:space="preserve">路</t>
    </r>
  </si>
  <si>
    <t xml:space="preserve">视频解码矩阵</t>
  </si>
  <si>
    <t xml:space="preserve">现有可扩展解码矩阵，用于大屏解码上墙</t>
  </si>
  <si>
    <t xml:space="preserve">集团现有，按需扩展解码板卡</t>
  </si>
  <si>
    <t xml:space="preserve">解码板卡扩展</t>
  </si>
  <si>
    <r>
      <rPr>
        <sz val="9"/>
        <color rgb="FF000000"/>
        <rFont val="Noto Sans CJK SC"/>
        <family val="2"/>
      </rPr>
      <t xml:space="preserve">扩展解码路数，支持同时上墙≥</t>
    </r>
    <r>
      <rPr>
        <sz val="9"/>
        <color rgb="FF000000"/>
        <rFont val="宋体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路不卡顿</t>
    </r>
  </si>
  <si>
    <t xml:space="preserve">项</t>
  </si>
  <si>
    <r>
      <rPr>
        <sz val="9"/>
        <color rgb="FF595959"/>
        <rFont val="Noto Sans CJK SC"/>
        <family val="2"/>
      </rPr>
      <t xml:space="preserve">以满足</t>
    </r>
    <r>
      <rPr>
        <sz val="9"/>
        <color rgb="FF595959"/>
        <rFont val="宋体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路以上上墙为准，暂估</t>
    </r>
  </si>
  <si>
    <t xml:space="preserve">四、存储设备</t>
  </si>
  <si>
    <t xml:space="preserve">磁盘阵列</t>
  </si>
  <si>
    <r>
      <rPr>
        <sz val="9"/>
        <color rgb="FF000000"/>
        <rFont val="Noto Sans CJK SC"/>
        <family val="2"/>
      </rPr>
      <t xml:space="preserve">现有存储磁盘阵列，硬盘容量共</t>
    </r>
    <r>
      <rPr>
        <sz val="9"/>
        <color rgb="FF000000"/>
        <rFont val="宋体"/>
        <family val="0"/>
        <charset val="1"/>
      </rPr>
      <t xml:space="preserve">384T</t>
    </r>
    <r>
      <rPr>
        <sz val="9"/>
        <color rgb="FF000000"/>
        <rFont val="Noto Sans CJK SC"/>
        <family val="2"/>
      </rPr>
      <t xml:space="preserve">，用于中心重要点位及报警录像集中存储</t>
    </r>
  </si>
  <si>
    <r>
      <rPr>
        <sz val="9"/>
        <color rgb="FF595959"/>
        <rFont val="Noto Sans CJK SC"/>
        <family val="2"/>
      </rPr>
      <t xml:space="preserve">集团现有</t>
    </r>
    <r>
      <rPr>
        <sz val="9"/>
        <color rgb="FF595959"/>
        <rFont val="宋体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套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共</t>
    </r>
    <r>
      <rPr>
        <sz val="9"/>
        <color rgb="FF595959"/>
        <rFont val="宋体"/>
        <family val="0"/>
        <charset val="1"/>
      </rPr>
      <t xml:space="preserve">384T</t>
    </r>
  </si>
  <si>
    <t xml:space="preserve">边缘存储扩容（企业级监控硬盘）</t>
  </si>
  <si>
    <r>
      <rPr>
        <sz val="9"/>
        <color rgb="FF000000"/>
        <rFont val="Noto Sans CJK SC"/>
        <family val="2"/>
      </rPr>
      <t xml:space="preserve">企业级监控级硬盘</t>
    </r>
    <r>
      <rPr>
        <sz val="9"/>
        <color rgb="FF000000"/>
        <rFont val="宋体"/>
        <family val="0"/>
        <charset val="1"/>
      </rPr>
      <t xml:space="preserve">16TB</t>
    </r>
    <r>
      <rPr>
        <sz val="9"/>
        <color rgb="FF000000"/>
        <rFont val="Noto Sans CJK SC"/>
        <family val="2"/>
      </rPr>
      <t xml:space="preserve">，用于现场不足</t>
    </r>
    <r>
      <rPr>
        <sz val="9"/>
        <color rgb="FF000000"/>
        <rFont val="宋体"/>
        <family val="0"/>
        <charset val="1"/>
      </rPr>
      <t xml:space="preserve">90</t>
    </r>
    <r>
      <rPr>
        <sz val="9"/>
        <color rgb="FF000000"/>
        <rFont val="Noto Sans CJK SC"/>
        <family val="2"/>
      </rPr>
      <t xml:space="preserve">天站点的边缘</t>
    </r>
    <r>
      <rPr>
        <sz val="9"/>
        <color rgb="FF000000"/>
        <rFont val="宋体"/>
        <family val="0"/>
        <charset val="1"/>
      </rPr>
      <t xml:space="preserve">NVR</t>
    </r>
    <r>
      <rPr>
        <sz val="9"/>
        <color rgb="FF000000"/>
        <rFont val="Noto Sans CJK SC"/>
        <family val="2"/>
      </rPr>
      <t xml:space="preserve">扩盘，配合</t>
    </r>
    <r>
      <rPr>
        <sz val="9"/>
        <color rgb="FF000000"/>
        <rFont val="宋体"/>
        <family val="0"/>
        <charset val="1"/>
      </rPr>
      <t xml:space="preserve">H.265</t>
    </r>
    <r>
      <rPr>
        <sz val="9"/>
        <color rgb="FF000000"/>
        <rFont val="Noto Sans CJK SC"/>
        <family val="2"/>
      </rPr>
      <t xml:space="preserve">智能压缩</t>
    </r>
  </si>
  <si>
    <t xml:space="preserve">块</t>
  </si>
  <si>
    <r>
      <rPr>
        <sz val="9"/>
        <color rgb="FF595959"/>
        <rFont val="Noto Sans CJK SC"/>
        <family val="2"/>
      </rPr>
      <t xml:space="preserve">约</t>
    </r>
    <r>
      <rPr>
        <sz val="9"/>
        <color rgb="FF595959"/>
        <rFont val="宋体"/>
        <family val="0"/>
        <charset val="1"/>
      </rPr>
      <t xml:space="preserve">320T</t>
    </r>
    <r>
      <rPr>
        <sz val="9"/>
        <color rgb="FF595959"/>
        <rFont val="Noto Sans CJK SC"/>
        <family val="2"/>
      </rPr>
      <t xml:space="preserve">，暂估，以各站点勘查为准</t>
    </r>
  </si>
  <si>
    <t xml:space="preserve">网络硬盘录像机（按需补充）</t>
  </si>
  <si>
    <r>
      <rPr>
        <sz val="9"/>
        <color rgb="FF000000"/>
        <rFont val="Noto Sans CJK SC"/>
        <family val="2"/>
      </rPr>
      <t xml:space="preserve">支持</t>
    </r>
    <r>
      <rPr>
        <sz val="9"/>
        <color rgb="FF000000"/>
        <rFont val="宋体"/>
        <family val="0"/>
        <charset val="1"/>
      </rPr>
      <t xml:space="preserve">H.265</t>
    </r>
    <r>
      <rPr>
        <sz val="9"/>
        <color rgb="FF000000"/>
        <rFont val="Noto Sans CJK SC"/>
        <family val="2"/>
      </rPr>
      <t xml:space="preserve">，接入并本地存储，满足</t>
    </r>
    <r>
      <rPr>
        <sz val="9"/>
        <color rgb="FF000000"/>
        <rFont val="宋体"/>
        <family val="0"/>
        <charset val="1"/>
      </rPr>
      <t xml:space="preserve">90</t>
    </r>
    <r>
      <rPr>
        <sz val="9"/>
        <color rgb="FF000000"/>
        <rFont val="Noto Sans CJK SC"/>
        <family val="2"/>
      </rPr>
      <t xml:space="preserve">天录像；仅用于无法扩盘的站点</t>
    </r>
  </si>
  <si>
    <t xml:space="preserve">暂估，以现场勘查为准</t>
  </si>
  <si>
    <t xml:space="preserve">五、网络传输设备</t>
  </si>
  <si>
    <t xml:space="preserve">核心交换机（万兆三层）</t>
  </si>
  <si>
    <r>
      <rPr>
        <sz val="9"/>
        <color rgb="FF000000"/>
        <rFont val="Noto Sans CJK SC"/>
        <family val="2"/>
      </rPr>
      <t xml:space="preserve">万兆多层核心，双机热备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堆叠，大容量交换，支持</t>
    </r>
    <r>
      <rPr>
        <sz val="9"/>
        <color rgb="FF000000"/>
        <rFont val="宋体"/>
        <family val="0"/>
        <charset val="1"/>
      </rPr>
      <t xml:space="preserve">QoS</t>
    </r>
    <r>
      <rPr>
        <sz val="9"/>
        <color rgb="FF000000"/>
        <rFont val="Noto Sans CJK SC"/>
        <family val="2"/>
      </rPr>
      <t xml:space="preserve">、组播、</t>
    </r>
    <r>
      <rPr>
        <sz val="9"/>
        <color rgb="FF000000"/>
        <rFont val="宋体"/>
        <family val="0"/>
        <charset val="1"/>
      </rPr>
      <t xml:space="preserve">ACL</t>
    </r>
  </si>
  <si>
    <t xml:space="preserve">集团监控专网核心，双机热备</t>
  </si>
  <si>
    <t xml:space="preserve">汇聚交换机（万兆）</t>
  </si>
  <si>
    <r>
      <rPr>
        <sz val="9"/>
        <color rgb="FF000000"/>
        <rFont val="Noto Sans CJK SC"/>
        <family val="2"/>
      </rPr>
      <t xml:space="preserve">万兆上联三层汇聚交换机，支持</t>
    </r>
    <r>
      <rPr>
        <sz val="9"/>
        <color rgb="FF000000"/>
        <rFont val="宋体"/>
        <family val="0"/>
        <charset val="1"/>
      </rPr>
      <t xml:space="preserve">QoS</t>
    </r>
    <r>
      <rPr>
        <sz val="9"/>
        <color rgb="FF000000"/>
        <rFont val="Noto Sans CJK SC"/>
        <family val="2"/>
      </rPr>
      <t xml:space="preserve">、组播、单向策略</t>
    </r>
  </si>
  <si>
    <r>
      <rPr>
        <sz val="9"/>
        <color rgb="FF595959"/>
        <rFont val="Noto Sans CJK SC"/>
        <family val="2"/>
      </rPr>
      <t xml:space="preserve">对应</t>
    </r>
    <r>
      <rPr>
        <sz val="9"/>
        <color rgb="FF595959"/>
        <rFont val="宋体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余个独立监控室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二级单位，暂估</t>
    </r>
  </si>
  <si>
    <r>
      <rPr>
        <sz val="10"/>
        <color rgb="FF000000"/>
        <rFont val="Noto Sans CJK SC"/>
        <family val="2"/>
      </rPr>
      <t xml:space="preserve">接入交换机（千兆</t>
    </r>
    <r>
      <rPr>
        <sz val="10"/>
        <color rgb="FF000000"/>
        <rFont val="宋体"/>
        <family val="0"/>
        <charset val="1"/>
      </rPr>
      <t xml:space="preserve">POE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</si>
  <si>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000000"/>
        <rFont val="宋体"/>
        <family val="0"/>
        <charset val="1"/>
      </rPr>
      <t xml:space="preserve">24</t>
    </r>
    <r>
      <rPr>
        <sz val="9"/>
        <color rgb="FF000000"/>
        <rFont val="Noto Sans CJK SC"/>
        <family val="2"/>
      </rPr>
      <t xml:space="preserve">口千兆</t>
    </r>
    <r>
      <rPr>
        <sz val="9"/>
        <color rgb="FF000000"/>
        <rFont val="宋体"/>
        <family val="0"/>
        <charset val="1"/>
      </rPr>
      <t xml:space="preserve">POE</t>
    </r>
    <r>
      <rPr>
        <sz val="9"/>
        <color rgb="FF000000"/>
        <rFont val="Noto Sans CJK SC"/>
        <family val="2"/>
      </rPr>
      <t xml:space="preserve">，万兆光上联，用于新增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更换前端接入及边缘设备</t>
    </r>
  </si>
  <si>
    <r>
      <rPr>
        <sz val="9"/>
        <color rgb="FF595959"/>
        <rFont val="Noto Sans CJK SC"/>
        <family val="2"/>
      </rPr>
      <t xml:space="preserve">对应新增</t>
    </r>
    <r>
      <rPr>
        <sz val="9"/>
        <color rgb="FF595959"/>
        <rFont val="宋体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更换点位，暂估</t>
    </r>
  </si>
  <si>
    <r>
      <rPr>
        <sz val="10"/>
        <color rgb="FF000000"/>
        <rFont val="Noto Sans CJK SC"/>
        <family val="2"/>
      </rPr>
      <t xml:space="preserve">万兆光模块（</t>
    </r>
    <r>
      <rPr>
        <sz val="10"/>
        <color rgb="FF000000"/>
        <rFont val="宋体"/>
        <family val="0"/>
        <charset val="1"/>
      </rPr>
      <t xml:space="preserve">SFP+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</si>
  <si>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万兆光模块，单模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多模按链路匹配，成对使用</t>
    </r>
  </si>
  <si>
    <t xml:space="preserve">只</t>
  </si>
  <si>
    <t xml:space="preserve">主干及汇聚上联，暂估</t>
  </si>
  <si>
    <r>
      <rPr>
        <sz val="10"/>
        <color rgb="FF000000"/>
        <rFont val="Noto Sans CJK SC"/>
        <family val="2"/>
      </rPr>
      <t xml:space="preserve">室外单模光缆（</t>
    </r>
    <r>
      <rPr>
        <sz val="10"/>
        <color rgb="FF000000"/>
        <rFont val="宋体"/>
        <family val="0"/>
        <charset val="1"/>
      </rPr>
      <t xml:space="preserve">GYTA/GYTS</t>
    </r>
    <r>
      <rPr>
        <sz val="10"/>
        <color rgb="FF000000"/>
        <rFont val="Noto Sans CJK SC"/>
        <family val="2"/>
      </rPr>
      <t xml:space="preserve">）</t>
    </r>
  </si>
  <si>
    <t xml:space="preserve">室外铠装单模光缆，用于未联通二级公司到集团监控网的联通，复用为主、新布为辅</t>
  </si>
  <si>
    <t xml:space="preserve">米</t>
  </si>
  <si>
    <t xml:space="preserve">暂估，以线路勘查为准</t>
  </si>
  <si>
    <r>
      <rPr>
        <sz val="10"/>
        <color rgb="FF000000"/>
        <rFont val="Noto Sans CJK SC"/>
        <family val="2"/>
      </rPr>
      <t xml:space="preserve">光缆熔接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尾纤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光纤配线架</t>
    </r>
  </si>
  <si>
    <r>
      <rPr>
        <sz val="9"/>
        <color rgb="FF000000"/>
        <rFont val="Noto Sans CJK SC"/>
        <family val="2"/>
      </rPr>
      <t xml:space="preserve">含熔接、尾纤、</t>
    </r>
    <r>
      <rPr>
        <sz val="9"/>
        <color rgb="FF000000"/>
        <rFont val="宋体"/>
        <family val="0"/>
        <charset val="1"/>
      </rPr>
      <t xml:space="preserve">ODF</t>
    </r>
    <r>
      <rPr>
        <sz val="9"/>
        <color rgb="FF000000"/>
        <rFont val="Noto Sans CJK SC"/>
        <family val="2"/>
      </rPr>
      <t xml:space="preserve">配线架及跳纤等</t>
    </r>
  </si>
  <si>
    <t xml:space="preserve">配合光缆联通，暂估</t>
  </si>
  <si>
    <r>
      <rPr>
        <sz val="10"/>
        <color rgb="FF000000"/>
        <rFont val="Noto Sans CJK SC"/>
        <family val="2"/>
      </rPr>
      <t xml:space="preserve">单向数据传输设备（单向光闸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网闸）</t>
    </r>
  </si>
  <si>
    <t xml:space="preserve">实现园区网监控数据单向汇聚至新建平台，禁止反向访问</t>
  </si>
  <si>
    <t xml:space="preserve">园区↔监控平台边界，暂估</t>
  </si>
  <si>
    <t xml:space="preserve">下一代防火墙</t>
  </si>
  <si>
    <r>
      <rPr>
        <sz val="9"/>
        <color rgb="FF000000"/>
        <rFont val="Noto Sans CJK SC"/>
        <family val="2"/>
      </rPr>
      <t xml:space="preserve">平台侧边界防护，含入侵防御、日志审计，满足等保</t>
    </r>
    <r>
      <rPr>
        <sz val="9"/>
        <color rgb="FF000000"/>
        <rFont val="宋体"/>
        <family val="0"/>
        <charset val="1"/>
      </rPr>
      <t xml:space="preserve">2.0</t>
    </r>
    <r>
      <rPr>
        <sz val="9"/>
        <color rgb="FF000000"/>
        <rFont val="Noto Sans CJK SC"/>
        <family val="2"/>
      </rPr>
      <t xml:space="preserve">要求，双机部署</t>
    </r>
  </si>
  <si>
    <t xml:space="preserve">监控平台安全边界</t>
  </si>
  <si>
    <t xml:space="preserve">六、监控中心及大屏</t>
  </si>
  <si>
    <r>
      <rPr>
        <sz val="10"/>
        <color rgb="FF000000"/>
        <rFont val="Noto Sans CJK SC"/>
        <family val="2"/>
      </rPr>
      <t xml:space="preserve">小间距</t>
    </r>
    <r>
      <rPr>
        <sz val="10"/>
        <color rgb="FF000000"/>
        <rFont val="宋体"/>
        <family val="0"/>
        <charset val="1"/>
      </rPr>
      <t xml:space="preserve">LED</t>
    </r>
    <r>
      <rPr>
        <sz val="10"/>
        <color rgb="FF000000"/>
        <rFont val="Noto Sans CJK SC"/>
        <family val="2"/>
      </rPr>
      <t xml:space="preserve">显示大屏</t>
    </r>
  </si>
  <si>
    <r>
      <rPr>
        <sz val="9"/>
        <color rgb="FF000000"/>
        <rFont val="Noto Sans CJK SC"/>
        <family val="2"/>
      </rPr>
      <t xml:space="preserve">小间距</t>
    </r>
    <r>
      <rPr>
        <sz val="9"/>
        <color rgb="FF000000"/>
        <rFont val="宋体"/>
        <family val="0"/>
        <charset val="1"/>
      </rPr>
      <t xml:space="preserve">LED</t>
    </r>
    <r>
      <rPr>
        <sz val="9"/>
        <color rgb="FF000000"/>
        <rFont val="Noto Sans CJK SC"/>
        <family val="2"/>
      </rPr>
      <t xml:space="preserve">（建议</t>
    </r>
    <r>
      <rPr>
        <sz val="9"/>
        <color rgb="FF000000"/>
        <rFont val="宋体"/>
        <family val="0"/>
        <charset val="1"/>
      </rPr>
      <t xml:space="preserve">P1.2~P1.5</t>
    </r>
    <r>
      <rPr>
        <sz val="9"/>
        <color rgb="FF000000"/>
        <rFont val="Noto Sans CJK SC"/>
        <family val="2"/>
      </rPr>
      <t xml:space="preserve">），高刷新、高灰阶，无缝拼接；墙宽</t>
    </r>
    <r>
      <rPr>
        <sz val="9"/>
        <color rgb="FF000000"/>
        <rFont val="宋体"/>
        <family val="0"/>
        <charset val="1"/>
      </rPr>
      <t xml:space="preserve">7.2m×</t>
    </r>
    <r>
      <rPr>
        <sz val="9"/>
        <color rgb="FF000000"/>
        <rFont val="Noto Sans CJK SC"/>
        <family val="2"/>
      </rPr>
      <t xml:space="preserve">高</t>
    </r>
    <r>
      <rPr>
        <sz val="9"/>
        <color rgb="FF000000"/>
        <rFont val="宋体"/>
        <family val="0"/>
        <charset val="1"/>
      </rPr>
      <t xml:space="preserve">2.8m</t>
    </r>
    <r>
      <rPr>
        <sz val="9"/>
        <color rgb="FF000000"/>
        <rFont val="Noto Sans CJK SC"/>
        <family val="2"/>
      </rPr>
      <t xml:space="preserve">，约</t>
    </r>
    <r>
      <rPr>
        <sz val="9"/>
        <color rgb="FF000000"/>
        <rFont val="宋体"/>
        <family val="0"/>
        <charset val="1"/>
      </rPr>
      <t xml:space="preserve">20.16</t>
    </r>
    <r>
      <rPr>
        <sz val="9"/>
        <color rgb="FF000000"/>
        <rFont val="Noto Sans CJK SC"/>
        <family val="2"/>
      </rPr>
      <t xml:space="preserve">㎡；含箱体、模组、发送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接收卡、机柜配电</t>
    </r>
  </si>
  <si>
    <t xml:space="preserve">㎡</t>
  </si>
  <si>
    <r>
      <rPr>
        <sz val="9"/>
        <color rgb="FF595959"/>
        <rFont val="Noto Sans CJK SC"/>
        <family val="2"/>
      </rPr>
      <t xml:space="preserve">精诚楼一楼，屏体</t>
    </r>
    <r>
      <rPr>
        <sz val="9"/>
        <color rgb="FF595959"/>
        <rFont val="宋体"/>
        <family val="0"/>
        <charset val="1"/>
      </rPr>
      <t xml:space="preserve">7.2m×2.8m</t>
    </r>
  </si>
  <si>
    <r>
      <rPr>
        <sz val="10"/>
        <color rgb="FF000000"/>
        <rFont val="宋体"/>
        <family val="0"/>
        <charset val="1"/>
      </rPr>
      <t xml:space="preserve">LED</t>
    </r>
    <r>
      <rPr>
        <sz val="10"/>
        <color rgb="FF000000"/>
        <rFont val="Noto Sans CJK SC"/>
        <family val="2"/>
      </rPr>
      <t xml:space="preserve">视频处理器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拼接控制器</t>
    </r>
  </si>
  <si>
    <t xml:space="preserve">支持多信号接入、开窗漫游、分屏轮巡、弹窗告警上墙</t>
  </si>
  <si>
    <t xml:space="preserve">大屏主控</t>
  </si>
  <si>
    <t xml:space="preserve">大屏钢结构及安装</t>
  </si>
  <si>
    <t xml:space="preserve">屏体钢结构、包边、检修通道及安装调试</t>
  </si>
  <si>
    <t xml:space="preserve">含结构与安装</t>
  </si>
  <si>
    <t xml:space="preserve">监控操作台（多联坐席）</t>
  </si>
  <si>
    <t xml:space="preserve">多联监控操作台，含理线、承重与人体工学设计</t>
  </si>
  <si>
    <r>
      <rPr>
        <sz val="9"/>
        <color rgb="FF595959"/>
        <rFont val="Noto Sans CJK SC"/>
        <family val="2"/>
      </rPr>
      <t xml:space="preserve">值班坐席，暂估</t>
    </r>
    <r>
      <rPr>
        <sz val="9"/>
        <color rgb="FF595959"/>
        <rFont val="宋体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联</t>
    </r>
  </si>
  <si>
    <r>
      <rPr>
        <sz val="10"/>
        <color rgb="FF000000"/>
        <rFont val="宋体"/>
        <family val="0"/>
        <charset val="1"/>
      </rPr>
      <t xml:space="preserve">UPS</t>
    </r>
    <r>
      <rPr>
        <sz val="10"/>
        <color rgb="FF000000"/>
        <rFont val="Noto Sans CJK SC"/>
        <family val="2"/>
      </rPr>
      <t xml:space="preserve">不间断电源（含电池）</t>
    </r>
  </si>
  <si>
    <r>
      <rPr>
        <sz val="9"/>
        <color rgb="FF000000"/>
        <rFont val="Noto Sans CJK SC"/>
        <family val="2"/>
      </rPr>
      <t xml:space="preserve">在线式</t>
    </r>
    <r>
      <rPr>
        <sz val="9"/>
        <color rgb="FF000000"/>
        <rFont val="宋体"/>
        <family val="0"/>
        <charset val="1"/>
      </rPr>
      <t xml:space="preserve">UPS</t>
    </r>
    <r>
      <rPr>
        <sz val="9"/>
        <color rgb="FF000000"/>
        <rFont val="Noto Sans CJK SC"/>
        <family val="2"/>
      </rPr>
      <t xml:space="preserve">，容量按中心负载配置（暂估</t>
    </r>
    <r>
      <rPr>
        <sz val="9"/>
        <color rgb="FF000000"/>
        <rFont val="宋体"/>
        <family val="0"/>
        <charset val="1"/>
      </rPr>
      <t xml:space="preserve">20kVA</t>
    </r>
    <r>
      <rPr>
        <sz val="9"/>
        <color rgb="FF000000"/>
        <rFont val="Noto Sans CJK SC"/>
        <family val="2"/>
      </rPr>
      <t xml:space="preserve">），后备≥</t>
    </r>
    <r>
      <rPr>
        <sz val="9"/>
        <color rgb="FF000000"/>
        <rFont val="宋体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小时</t>
    </r>
  </si>
  <si>
    <r>
      <rPr>
        <sz val="9"/>
        <color rgb="FF595959"/>
        <rFont val="Noto Sans CJK SC"/>
        <family val="2"/>
      </rPr>
      <t xml:space="preserve">保障</t>
    </r>
    <r>
      <rPr>
        <sz val="9"/>
        <color rgb="FF595959"/>
        <rFont val="宋体"/>
        <family val="0"/>
        <charset val="1"/>
      </rPr>
      <t xml:space="preserve">7×24</t>
    </r>
    <r>
      <rPr>
        <sz val="9"/>
        <color rgb="FF595959"/>
        <rFont val="Noto Sans CJK SC"/>
        <family val="2"/>
      </rPr>
      <t xml:space="preserve">运行，容量以负载核算</t>
    </r>
  </si>
  <si>
    <t xml:space="preserve">精密配电柜</t>
  </si>
  <si>
    <t xml:space="preserve">监控中心专用配电，含防雷、分路保护与计量</t>
  </si>
  <si>
    <t xml:space="preserve">防静电地板</t>
  </si>
  <si>
    <t xml:space="preserve">全钢防静电活动地板，含架空与走线</t>
  </si>
  <si>
    <t xml:space="preserve">面积以中心实测为准，暂估</t>
  </si>
  <si>
    <t xml:space="preserve">中心装饰装修</t>
  </si>
  <si>
    <t xml:space="preserve">吊顶、墙面、灯光、隔音及环境改造</t>
  </si>
  <si>
    <t xml:space="preserve">暂估，以设计为准</t>
  </si>
  <si>
    <t xml:space="preserve">客户端工作站</t>
  </si>
  <si>
    <t xml:space="preserve">监控客户端图形工作站，双屏</t>
  </si>
  <si>
    <t xml:space="preserve">暂估</t>
  </si>
  <si>
    <t xml:space="preserve">七、辅材与施工</t>
  </si>
  <si>
    <r>
      <rPr>
        <sz val="10"/>
        <color rgb="FF000000"/>
        <rFont val="Noto Sans CJK SC"/>
        <family val="2"/>
      </rPr>
      <t xml:space="preserve">摄像机支架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立杆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防水箱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电源</t>
    </r>
  </si>
  <si>
    <t xml:space="preserve">配合新增及更换点位安装的支架、立杆、防水盒、电源适配等</t>
  </si>
  <si>
    <r>
      <rPr>
        <sz val="9"/>
        <color rgb="FF595959"/>
        <rFont val="Noto Sans CJK SC"/>
        <family val="2"/>
      </rPr>
      <t xml:space="preserve">配合</t>
    </r>
    <r>
      <rPr>
        <sz val="9"/>
        <color rgb="FF595959"/>
        <rFont val="宋体"/>
        <family val="0"/>
        <charset val="1"/>
      </rPr>
      <t xml:space="preserve">146</t>
    </r>
    <r>
      <rPr>
        <sz val="9"/>
        <color rgb="FF595959"/>
        <rFont val="Noto Sans CJK SC"/>
        <family val="2"/>
      </rPr>
      <t xml:space="preserve">个点位</t>
    </r>
  </si>
  <si>
    <r>
      <rPr>
        <sz val="10"/>
        <color rgb="FF000000"/>
        <rFont val="Noto Sans CJK SC"/>
        <family val="2"/>
      </rPr>
      <t xml:space="preserve">综合布线（桥架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管线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线缆）</t>
    </r>
  </si>
  <si>
    <r>
      <rPr>
        <sz val="9"/>
        <color rgb="FF000000"/>
        <rFont val="Noto Sans CJK SC"/>
        <family val="2"/>
      </rPr>
      <t xml:space="preserve">室内外桥架、</t>
    </r>
    <r>
      <rPr>
        <sz val="9"/>
        <color rgb="FF000000"/>
        <rFont val="宋体"/>
        <family val="0"/>
        <charset val="1"/>
      </rPr>
      <t xml:space="preserve">PVC/</t>
    </r>
    <r>
      <rPr>
        <sz val="9"/>
        <color rgb="FF000000"/>
        <rFont val="Noto Sans CJK SC"/>
        <family val="2"/>
      </rPr>
      <t xml:space="preserve">镀锌管、网线、电源线及敷设辅材</t>
    </r>
  </si>
  <si>
    <t xml:space="preserve">暂估，以现场为准</t>
  </si>
  <si>
    <t xml:space="preserve">安装、接入与系统调试</t>
  </si>
  <si>
    <r>
      <rPr>
        <sz val="9"/>
        <color rgb="FF000000"/>
        <rFont val="Noto Sans CJK SC"/>
        <family val="2"/>
      </rPr>
      <t xml:space="preserve">前端安装、平台接入级联、</t>
    </r>
    <r>
      <rPr>
        <sz val="9"/>
        <color rgb="FF000000"/>
        <rFont val="宋体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与存储调试、网络割接与联调</t>
    </r>
  </si>
  <si>
    <t xml:space="preserve">含分区割接、不停业务</t>
  </si>
  <si>
    <t xml:space="preserve">八、服务</t>
  </si>
  <si>
    <r>
      <rPr>
        <sz val="10"/>
        <color rgb="FF000000"/>
        <rFont val="宋体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与线路规划</t>
    </r>
  </si>
  <si>
    <r>
      <rPr>
        <sz val="9"/>
        <color rgb="FF000000"/>
        <rFont val="Noto Sans CJK SC"/>
        <family val="2"/>
      </rPr>
      <t xml:space="preserve">按数智中心规划范围与规则，编制并实施《</t>
    </r>
    <r>
      <rPr>
        <sz val="9"/>
        <color rgb="FF000000"/>
        <rFont val="宋体"/>
        <family val="0"/>
        <charset val="1"/>
      </rPr>
      <t xml:space="preserve">IP</t>
    </r>
    <r>
      <rPr>
        <sz val="9"/>
        <color rgb="FF000000"/>
        <rFont val="Noto Sans CJK SC"/>
        <family val="2"/>
      </rPr>
      <t xml:space="preserve">与线路规划表》，协助排查各二级公司</t>
    </r>
    <r>
      <rPr>
        <sz val="9"/>
        <color rgb="FF000000"/>
        <rFont val="宋体"/>
        <family val="0"/>
        <charset val="1"/>
      </rPr>
      <t xml:space="preserve">IP</t>
    </r>
    <r>
      <rPr>
        <sz val="9"/>
        <color rgb="FF000000"/>
        <rFont val="Noto Sans CJK SC"/>
        <family val="2"/>
      </rPr>
      <t xml:space="preserve">并指出整改项</t>
    </r>
  </si>
  <si>
    <t xml:space="preserve">投标方负责实施</t>
  </si>
  <si>
    <t xml:space="preserve">系统联调测试与验收</t>
  </si>
  <si>
    <r>
      <rPr>
        <sz val="9"/>
        <color rgb="FF000000"/>
        <rFont val="Noto Sans CJK SC"/>
        <family val="2"/>
      </rPr>
      <t xml:space="preserve">整体联调、性能压测（≥</t>
    </r>
    <r>
      <rPr>
        <sz val="9"/>
        <color rgb="FF000000"/>
        <rFont val="宋体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路上墙）、试运行与竣工验收，交付竣工资料</t>
    </r>
  </si>
  <si>
    <t xml:space="preserve">培训</t>
  </si>
  <si>
    <t xml:space="preserve">面向监控值班、数智中心管理员、各单位维保人员的分层培训</t>
  </si>
  <si>
    <t xml:space="preserve">含操作与运维手册</t>
  </si>
  <si>
    <t xml:space="preserve">质保与运维服务</t>
  </si>
  <si>
    <r>
      <rPr>
        <sz val="9"/>
        <color rgb="FF000000"/>
        <rFont val="宋体"/>
        <family val="0"/>
        <charset val="1"/>
      </rPr>
      <t xml:space="preserve">≥1</t>
    </r>
    <r>
      <rPr>
        <sz val="9"/>
        <color rgb="FF000000"/>
        <rFont val="Noto Sans CJK SC"/>
        <family val="2"/>
      </rPr>
      <t xml:space="preserve">年免费质保，</t>
    </r>
    <r>
      <rPr>
        <sz val="9"/>
        <color rgb="FF000000"/>
        <rFont val="宋体"/>
        <family val="0"/>
        <charset val="1"/>
      </rPr>
      <t xml:space="preserve">7×24</t>
    </r>
    <r>
      <rPr>
        <sz val="9"/>
        <color rgb="FF000000"/>
        <rFont val="Noto Sans CJK SC"/>
        <family val="2"/>
      </rPr>
      <t xml:space="preserve">报障响应，平台版本与</t>
    </r>
    <r>
      <rPr>
        <sz val="9"/>
        <color rgb="FF000000"/>
        <rFont val="宋体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算法升级</t>
    </r>
  </si>
  <si>
    <t xml:space="preserve">质保期可按合同延长</t>
  </si>
  <si>
    <r>
      <rPr>
        <sz val="9"/>
        <color rgb="FF1F4E79"/>
        <rFont val="Noto Sans CJK SC"/>
        <family val="2"/>
      </rPr>
      <t xml:space="preserve">关键指标（源自需求清单，数量确定）：补盲新增摄像机 </t>
    </r>
    <r>
      <rPr>
        <sz val="9"/>
        <color rgb="FF1F4E79"/>
        <rFont val="宋体"/>
        <family val="0"/>
        <charset val="1"/>
      </rPr>
      <t xml:space="preserve">102 </t>
    </r>
    <r>
      <rPr>
        <sz val="9"/>
        <color rgb="FF1F4E79"/>
        <rFont val="Noto Sans CJK SC"/>
        <family val="2"/>
      </rPr>
      <t xml:space="preserve">台，老旧更换 </t>
    </r>
    <r>
      <rPr>
        <sz val="9"/>
        <color rgb="FF1F4E79"/>
        <rFont val="宋体"/>
        <family val="0"/>
        <charset val="1"/>
      </rPr>
      <t xml:space="preserve">44 </t>
    </r>
    <r>
      <rPr>
        <sz val="9"/>
        <color rgb="FF1F4E79"/>
        <rFont val="Noto Sans CJK SC"/>
        <family val="2"/>
      </rPr>
      <t xml:space="preserve">台，</t>
    </r>
    <r>
      <rPr>
        <sz val="9"/>
        <color rgb="FF1F4E79"/>
        <rFont val="宋体"/>
        <family val="0"/>
        <charset val="1"/>
      </rPr>
      <t xml:space="preserve">AI </t>
    </r>
    <r>
      <rPr>
        <sz val="9"/>
        <color rgb="FF1F4E79"/>
        <rFont val="Noto Sans CJK SC"/>
        <family val="2"/>
      </rPr>
      <t xml:space="preserve">行为分析升级 </t>
    </r>
    <r>
      <rPr>
        <sz val="9"/>
        <color rgb="FF1F4E79"/>
        <rFont val="宋体"/>
        <family val="0"/>
        <charset val="1"/>
      </rPr>
      <t xml:space="preserve">193 </t>
    </r>
    <r>
      <rPr>
        <sz val="9"/>
        <color rgb="FF1F4E79"/>
        <rFont val="Noto Sans CJK SC"/>
        <family val="2"/>
      </rPr>
      <t xml:space="preserve">路，在建衔接 </t>
    </r>
    <r>
      <rPr>
        <sz val="9"/>
        <color rgb="FF1F4E79"/>
        <rFont val="宋体"/>
        <family val="0"/>
        <charset val="1"/>
      </rPr>
      <t xml:space="preserve">92 </t>
    </r>
    <r>
      <rPr>
        <sz val="9"/>
        <color rgb="FF1F4E79"/>
        <rFont val="Noto Sans CJK SC"/>
        <family val="2"/>
      </rPr>
      <t xml:space="preserve">台，统一存储时长 </t>
    </r>
    <r>
      <rPr>
        <sz val="9"/>
        <color rgb="FF1F4E79"/>
        <rFont val="宋体"/>
        <family val="0"/>
        <charset val="1"/>
      </rPr>
      <t xml:space="preserve">90 </t>
    </r>
    <r>
      <rPr>
        <sz val="9"/>
        <color rgb="FF1F4E79"/>
        <rFont val="Noto Sans CJK SC"/>
        <family val="2"/>
      </rPr>
      <t xml:space="preserve">天，平台授权 ≥</t>
    </r>
    <r>
      <rPr>
        <sz val="9"/>
        <color rgb="FF1F4E79"/>
        <rFont val="宋体"/>
        <family val="0"/>
        <charset val="1"/>
      </rPr>
      <t xml:space="preserve">3000 </t>
    </r>
    <r>
      <rPr>
        <sz val="9"/>
        <color rgb="FF1F4E79"/>
        <rFont val="Noto Sans CJK SC"/>
        <family val="2"/>
      </rPr>
      <t xml:space="preserve">路，网络由千兆升级为万兆，</t>
    </r>
    <r>
      <rPr>
        <sz val="9"/>
        <color rgb="FF1F4E79"/>
        <rFont val="宋体"/>
        <family val="0"/>
        <charset val="1"/>
      </rPr>
      <t xml:space="preserve">LED </t>
    </r>
    <r>
      <rPr>
        <sz val="9"/>
        <color rgb="FF1F4E79"/>
        <rFont val="Noto Sans CJK SC"/>
        <family val="2"/>
      </rPr>
      <t xml:space="preserve">大屏 </t>
    </r>
    <r>
      <rPr>
        <sz val="9"/>
        <color rgb="FF1F4E79"/>
        <rFont val="宋体"/>
        <family val="0"/>
        <charset val="1"/>
      </rPr>
      <t xml:space="preserve">7.2m×2.8m</t>
    </r>
    <r>
      <rPr>
        <sz val="9"/>
        <color rgb="FF1F4E79"/>
        <rFont val="Noto Sans CJK SC"/>
        <family val="2"/>
      </rPr>
      <t xml:space="preserve">。</t>
    </r>
  </si>
  <si>
    <r>
      <rPr>
        <b val="true"/>
        <sz val="14"/>
        <color rgb="FF1F4E79"/>
        <rFont val="Noto Sans CJK SC"/>
        <family val="2"/>
      </rPr>
      <t xml:space="preserve">摄像机点位明细表（补盲 </t>
    </r>
    <r>
      <rPr>
        <b val="true"/>
        <sz val="14"/>
        <color rgb="FF1F4E79"/>
        <rFont val="黑体"/>
        <family val="0"/>
        <charset val="1"/>
      </rPr>
      <t xml:space="preserve">/ </t>
    </r>
    <r>
      <rPr>
        <b val="true"/>
        <sz val="14"/>
        <color rgb="FF1F4E79"/>
        <rFont val="Noto Sans CJK SC"/>
        <family val="2"/>
      </rPr>
      <t xml:space="preserve">更换 </t>
    </r>
    <r>
      <rPr>
        <b val="true"/>
        <sz val="14"/>
        <color rgb="FF1F4E79"/>
        <rFont val="黑体"/>
        <family val="0"/>
        <charset val="1"/>
      </rPr>
      <t xml:space="preserve">/ AI</t>
    </r>
    <r>
      <rPr>
        <b val="true"/>
        <sz val="14"/>
        <color rgb="FF1F4E79"/>
        <rFont val="Noto Sans CJK SC"/>
        <family val="2"/>
      </rPr>
      <t xml:space="preserve">升级 </t>
    </r>
    <r>
      <rPr>
        <b val="true"/>
        <sz val="14"/>
        <color rgb="FF1F4E79"/>
        <rFont val="黑体"/>
        <family val="0"/>
        <charset val="1"/>
      </rPr>
      <t xml:space="preserve">/ </t>
    </r>
    <r>
      <rPr>
        <b val="true"/>
        <sz val="14"/>
        <color rgb="FF1F4E79"/>
        <rFont val="Noto Sans CJK SC"/>
        <family val="2"/>
      </rPr>
      <t xml:space="preserve">在建）</t>
    </r>
  </si>
  <si>
    <t xml:space="preserve">一级单位</t>
  </si>
  <si>
    <t xml:space="preserve">监控位置</t>
  </si>
  <si>
    <r>
      <rPr>
        <b val="true"/>
        <sz val="10"/>
        <color rgb="FF1F3864"/>
        <rFont val="Noto Sans CJK SC"/>
        <family val="2"/>
      </rPr>
      <t xml:space="preserve">补盲新增</t>
    </r>
    <r>
      <rPr>
        <b val="true"/>
        <sz val="10"/>
        <color rgb="FF1F3864"/>
        <rFont val="黑体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台</t>
    </r>
  </si>
  <si>
    <r>
      <rPr>
        <b val="true"/>
        <sz val="10"/>
        <color rgb="FF1F3864"/>
        <rFont val="Noto Sans CJK SC"/>
        <family val="2"/>
      </rPr>
      <t xml:space="preserve">老旧更换</t>
    </r>
    <r>
      <rPr>
        <b val="true"/>
        <sz val="10"/>
        <color rgb="FF1F3864"/>
        <rFont val="黑体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台</t>
    </r>
  </si>
  <si>
    <r>
      <rPr>
        <b val="true"/>
        <sz val="10"/>
        <color rgb="FF1F3864"/>
        <rFont val="黑体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升级</t>
    </r>
    <r>
      <rPr>
        <b val="true"/>
        <sz val="10"/>
        <color rgb="FF1F3864"/>
        <rFont val="黑体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路</t>
    </r>
  </si>
  <si>
    <r>
      <rPr>
        <b val="true"/>
        <sz val="10"/>
        <color rgb="FF1F3864"/>
        <rFont val="Noto Sans CJK SC"/>
        <family val="2"/>
      </rPr>
      <t xml:space="preserve">在建衔接</t>
    </r>
    <r>
      <rPr>
        <b val="true"/>
        <sz val="10"/>
        <color rgb="FF1F3864"/>
        <rFont val="黑体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台</t>
    </r>
  </si>
  <si>
    <t xml:space="preserve">东明炼化公司</t>
  </si>
  <si>
    <t xml:space="preserve">前海化工</t>
  </si>
  <si>
    <r>
      <rPr>
        <sz val="9"/>
        <color rgb="FF595959"/>
        <rFont val="宋体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周界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越线</t>
    </r>
  </si>
  <si>
    <t xml:space="preserve">洁源环保</t>
  </si>
  <si>
    <t xml:space="preserve">万海氯碱</t>
  </si>
  <si>
    <r>
      <rPr>
        <sz val="10"/>
        <color rgb="FF000000"/>
        <rFont val="Noto Sans CJK SC"/>
        <family val="2"/>
      </rPr>
      <t xml:space="preserve">万海（</t>
    </r>
    <r>
      <rPr>
        <sz val="10"/>
        <color rgb="FF000000"/>
        <rFont val="宋体"/>
        <family val="0"/>
        <charset val="1"/>
      </rPr>
      <t xml:space="preserve">LNG</t>
    </r>
    <r>
      <rPr>
        <sz val="10"/>
        <color rgb="FF000000"/>
        <rFont val="Noto Sans CJK SC"/>
        <family val="2"/>
      </rPr>
      <t xml:space="preserve">）</t>
    </r>
  </si>
  <si>
    <t xml:space="preserve">公共工程公司</t>
  </si>
  <si>
    <t xml:space="preserve">园区</t>
  </si>
  <si>
    <t xml:space="preserve">在建，同步纳管</t>
  </si>
  <si>
    <t xml:space="preserve">华汪围墙</t>
  </si>
  <si>
    <t xml:space="preserve">周界补盲，带拾音喊话</t>
  </si>
  <si>
    <t xml:space="preserve">鲁班建安公司</t>
  </si>
  <si>
    <t xml:space="preserve">防腐厂</t>
  </si>
  <si>
    <t xml:space="preserve">东明港运公司</t>
  </si>
  <si>
    <r>
      <rPr>
        <sz val="10"/>
        <color rgb="FF000000"/>
        <rFont val="Noto Sans CJK SC"/>
        <family val="2"/>
      </rPr>
      <t xml:space="preserve">围墙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仓库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值班室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重点设备</t>
    </r>
  </si>
  <si>
    <r>
      <rPr>
        <sz val="9"/>
        <color rgb="FF595959"/>
        <rFont val="Noto Sans CJK SC"/>
        <family val="2"/>
      </rPr>
      <t xml:space="preserve">补盲</t>
    </r>
    <r>
      <rPr>
        <sz val="9"/>
        <color rgb="FF595959"/>
        <rFont val="宋体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台 </t>
    </r>
    <r>
      <rPr>
        <sz val="9"/>
        <color rgb="FF595959"/>
        <rFont val="宋体"/>
        <family val="0"/>
        <charset val="1"/>
      </rPr>
      <t xml:space="preserve">+ AI 44</t>
    </r>
    <r>
      <rPr>
        <sz val="9"/>
        <color rgb="FF595959"/>
        <rFont val="Noto Sans CJK SC"/>
        <family val="2"/>
      </rPr>
      <t xml:space="preserve">路</t>
    </r>
  </si>
  <si>
    <r>
      <rPr>
        <sz val="10"/>
        <color rgb="FF000000"/>
        <rFont val="宋体"/>
        <family val="0"/>
        <charset val="1"/>
      </rPr>
      <t xml:space="preserve">PO/SM</t>
    </r>
    <r>
      <rPr>
        <sz val="10"/>
        <color rgb="FF000000"/>
        <rFont val="Noto Sans CJK SC"/>
        <family val="2"/>
      </rPr>
      <t xml:space="preserve">建设分公司</t>
    </r>
  </si>
  <si>
    <t xml:space="preserve">围墙</t>
  </si>
  <si>
    <t xml:space="preserve">战略采购中心</t>
  </si>
  <si>
    <t xml:space="preserve">中油仓库</t>
  </si>
  <si>
    <t xml:space="preserve">在建</t>
  </si>
  <si>
    <t xml:space="preserve">润泽仓库</t>
  </si>
  <si>
    <t xml:space="preserve">华汪库区</t>
  </si>
  <si>
    <t xml:space="preserve">防腐厂惠生仓库</t>
  </si>
  <si>
    <t xml:space="preserve">润华实业</t>
  </si>
  <si>
    <t xml:space="preserve">各门岗</t>
  </si>
  <si>
    <r>
      <rPr>
        <sz val="9"/>
        <color rgb="FF595959"/>
        <rFont val="Noto Sans CJK SC"/>
        <family val="2"/>
      </rPr>
      <t xml:space="preserve">门岗补盲，覆盖前后</t>
    </r>
    <r>
      <rPr>
        <sz val="9"/>
        <color rgb="FF595959"/>
        <rFont val="宋体"/>
        <family val="0"/>
        <charset val="1"/>
      </rPr>
      <t xml:space="preserve">20m</t>
    </r>
    <r>
      <rPr>
        <sz val="9"/>
        <color rgb="FF595959"/>
        <rFont val="Noto Sans CJK SC"/>
        <family val="2"/>
      </rPr>
      <t xml:space="preserve">，含拾音喊话</t>
    </r>
  </si>
  <si>
    <t xml:space="preserve">各区域</t>
  </si>
  <si>
    <t xml:space="preserve">老旧点位（以勘查为准）</t>
  </si>
  <si>
    <r>
      <rPr>
        <sz val="9"/>
        <color rgb="FF595959"/>
        <rFont val="Noto Sans CJK SC"/>
        <family val="2"/>
      </rPr>
      <t xml:space="preserve">等量更换，≥</t>
    </r>
    <r>
      <rPr>
        <sz val="9"/>
        <color rgb="FF595959"/>
        <rFont val="宋体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万像素</t>
    </r>
  </si>
  <si>
    <t xml:space="preserve">合计</t>
  </si>
  <si>
    <r>
      <rPr>
        <b val="true"/>
        <sz val="10"/>
        <color rgb="FF000000"/>
        <rFont val="宋体"/>
        <family val="0"/>
        <charset val="1"/>
      </rPr>
      <t xml:space="preserve">12 </t>
    </r>
    <r>
      <rPr>
        <b val="true"/>
        <sz val="10"/>
        <color rgb="FF000000"/>
        <rFont val="Noto Sans CJK SC"/>
        <family val="2"/>
      </rPr>
      <t xml:space="preserve">个一级单位 </t>
    </r>
    <r>
      <rPr>
        <b val="true"/>
        <sz val="10"/>
        <color rgb="FF000000"/>
        <rFont val="宋体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约 </t>
    </r>
    <r>
      <rPr>
        <b val="true"/>
        <sz val="10"/>
        <color rgb="FF000000"/>
        <rFont val="宋体"/>
        <family val="0"/>
        <charset val="1"/>
      </rPr>
      <t xml:space="preserve">40 </t>
    </r>
    <r>
      <rPr>
        <b val="true"/>
        <sz val="10"/>
        <color rgb="FF000000"/>
        <rFont val="Noto Sans CJK SC"/>
        <family val="2"/>
      </rPr>
      <t xml:space="preserve">点位</t>
    </r>
  </si>
  <si>
    <r>
      <rPr>
        <b val="true"/>
        <sz val="9"/>
        <color rgb="FF1F4E79"/>
        <rFont val="Noto Sans CJK SC"/>
        <family val="2"/>
      </rPr>
      <t xml:space="preserve">应为 </t>
    </r>
    <r>
      <rPr>
        <b val="true"/>
        <sz val="9"/>
        <color rgb="FF1F4E79"/>
        <rFont val="宋体"/>
        <family val="0"/>
        <charset val="1"/>
      </rPr>
      <t xml:space="preserve">102 / 44 / 193 / 92</t>
    </r>
  </si>
  <si>
    <t xml:space="preserve">编制说明与计量假设</t>
  </si>
  <si>
    <t xml:space="preserve">一、本清单依据《东明石化非生产区域监控智能化改造需求清单》及配套《项目实施方案》整理，作为工程量框架，最终以现场勘查点表、深化设计及商务报价为准。</t>
  </si>
  <si>
    <t xml:space="preserve">二、数量性质说明：</t>
  </si>
  <si>
    <r>
      <rPr>
        <sz val="10.5"/>
        <color rgb="FF000000"/>
        <rFont val="宋体"/>
        <family val="0"/>
        <charset val="1"/>
      </rPr>
      <t xml:space="preserve">    1. “</t>
    </r>
    <r>
      <rPr>
        <sz val="10.5"/>
        <color rgb="FF000000"/>
        <rFont val="Noto Sans CJK SC"/>
        <family val="2"/>
      </rPr>
      <t xml:space="preserve">确定”数量直接源自需求清单：补盲新增摄像机 </t>
    </r>
    <r>
      <rPr>
        <sz val="10.5"/>
        <color rgb="FF000000"/>
        <rFont val="宋体"/>
        <family val="0"/>
        <charset val="1"/>
      </rPr>
      <t xml:space="preserve">102 </t>
    </r>
    <r>
      <rPr>
        <sz val="10.5"/>
        <color rgb="FF000000"/>
        <rFont val="Noto Sans CJK SC"/>
        <family val="2"/>
      </rPr>
      <t xml:space="preserve">台、老旧更换 </t>
    </r>
    <r>
      <rPr>
        <sz val="10.5"/>
        <color rgb="FF000000"/>
        <rFont val="宋体"/>
        <family val="0"/>
        <charset val="1"/>
      </rPr>
      <t xml:space="preserve">44 </t>
    </r>
    <r>
      <rPr>
        <sz val="10.5"/>
        <color rgb="FF000000"/>
        <rFont val="Noto Sans CJK SC"/>
        <family val="2"/>
      </rPr>
      <t xml:space="preserve">台、</t>
    </r>
    <r>
      <rPr>
        <sz val="10.5"/>
        <color rgb="FF000000"/>
        <rFont val="宋体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行为分析 </t>
    </r>
    <r>
      <rPr>
        <sz val="10.5"/>
        <color rgb="FF000000"/>
        <rFont val="宋体"/>
        <family val="0"/>
        <charset val="1"/>
      </rPr>
      <t xml:space="preserve">193 </t>
    </r>
    <r>
      <rPr>
        <sz val="10.5"/>
        <color rgb="FF000000"/>
        <rFont val="Noto Sans CJK SC"/>
        <family val="2"/>
      </rPr>
      <t xml:space="preserve">路、在建衔接 </t>
    </r>
    <r>
      <rPr>
        <sz val="10.5"/>
        <color rgb="FF000000"/>
        <rFont val="宋体"/>
        <family val="0"/>
        <charset val="1"/>
      </rPr>
      <t xml:space="preserve">92 </t>
    </r>
    <r>
      <rPr>
        <sz val="10.5"/>
        <color rgb="FF000000"/>
        <rFont val="Noto Sans CJK SC"/>
        <family val="2"/>
      </rPr>
      <t xml:space="preserve">台、平台授权 ≥</t>
    </r>
    <r>
      <rPr>
        <sz val="10.5"/>
        <color rgb="FF000000"/>
        <rFont val="宋体"/>
        <family val="0"/>
        <charset val="1"/>
      </rPr>
      <t xml:space="preserve">3000 </t>
    </r>
    <r>
      <rPr>
        <sz val="10.5"/>
        <color rgb="FF000000"/>
        <rFont val="Noto Sans CJK SC"/>
        <family val="2"/>
      </rPr>
      <t xml:space="preserve">路、</t>
    </r>
    <r>
      <rPr>
        <sz val="10.5"/>
        <color rgb="FF000000"/>
        <rFont val="宋体"/>
        <family val="0"/>
        <charset val="1"/>
      </rPr>
      <t xml:space="preserve">LED </t>
    </r>
    <r>
      <rPr>
        <sz val="10.5"/>
        <color rgb="FF000000"/>
        <rFont val="Noto Sans CJK SC"/>
        <family val="2"/>
      </rPr>
      <t xml:space="preserve">大屏 </t>
    </r>
    <r>
      <rPr>
        <sz val="10.5"/>
        <color rgb="FF000000"/>
        <rFont val="宋体"/>
        <family val="0"/>
        <charset val="1"/>
      </rPr>
      <t xml:space="preserve">7.2m×2.8m</t>
    </r>
    <r>
      <rPr>
        <sz val="10.5"/>
        <color rgb="FF000000"/>
        <rFont val="Noto Sans CJK SC"/>
        <family val="2"/>
      </rPr>
      <t xml:space="preserve">、统一存储 </t>
    </r>
    <r>
      <rPr>
        <sz val="10.5"/>
        <color rgb="FF000000"/>
        <rFont val="宋体"/>
        <family val="0"/>
        <charset val="1"/>
      </rPr>
      <t xml:space="preserve">90 </t>
    </r>
    <r>
      <rPr>
        <sz val="10.5"/>
        <color rgb="FF000000"/>
        <rFont val="Noto Sans CJK SC"/>
        <family val="2"/>
      </rPr>
      <t xml:space="preserve">天。</t>
    </r>
  </si>
  <si>
    <r>
      <rPr>
        <sz val="10.5"/>
        <color rgb="FF000000"/>
        <rFont val="宋体"/>
        <family val="0"/>
        <charset val="1"/>
      </rPr>
      <t xml:space="preserve">    2. “</t>
    </r>
    <r>
      <rPr>
        <sz val="10.5"/>
        <color rgb="FF000000"/>
        <rFont val="Noto Sans CJK SC"/>
        <family val="2"/>
      </rPr>
      <t xml:space="preserve">利旧”资源为集团现有可利用设备：平台服务器 </t>
    </r>
    <r>
      <rPr>
        <sz val="10.5"/>
        <color rgb="FF000000"/>
        <rFont val="宋体"/>
        <family val="0"/>
        <charset val="1"/>
      </rPr>
      <t xml:space="preserve">3 </t>
    </r>
    <r>
      <rPr>
        <sz val="10.5"/>
        <color rgb="FF000000"/>
        <rFont val="Noto Sans CJK SC"/>
        <family val="2"/>
      </rPr>
      <t xml:space="preserve">台（含 </t>
    </r>
    <r>
      <rPr>
        <sz val="10.5"/>
        <color rgb="FF000000"/>
        <rFont val="宋体"/>
        <family val="0"/>
        <charset val="1"/>
      </rPr>
      <t xml:space="preserve">1500 </t>
    </r>
    <r>
      <rPr>
        <sz val="10.5"/>
        <color rgb="FF000000"/>
        <rFont val="Noto Sans CJK SC"/>
        <family val="2"/>
      </rPr>
      <t xml:space="preserve">路视频授权）、磁盘阵列 </t>
    </r>
    <r>
      <rPr>
        <sz val="10.5"/>
        <color rgb="FF000000"/>
        <rFont val="宋体"/>
        <family val="0"/>
        <charset val="1"/>
      </rPr>
      <t xml:space="preserve">2 </t>
    </r>
    <r>
      <rPr>
        <sz val="10.5"/>
        <color rgb="FF000000"/>
        <rFont val="Noto Sans CJK SC"/>
        <family val="2"/>
      </rPr>
      <t xml:space="preserve">套（共 </t>
    </r>
    <r>
      <rPr>
        <sz val="10.5"/>
        <color rgb="FF000000"/>
        <rFont val="宋体"/>
        <family val="0"/>
        <charset val="1"/>
      </rPr>
      <t xml:space="preserve">384T</t>
    </r>
    <r>
      <rPr>
        <sz val="10.5"/>
        <color rgb="FF000000"/>
        <rFont val="Noto Sans CJK SC"/>
        <family val="2"/>
      </rPr>
      <t xml:space="preserve">）、视频解码矩阵 </t>
    </r>
    <r>
      <rPr>
        <sz val="10.5"/>
        <color rgb="FF000000"/>
        <rFont val="宋体"/>
        <family val="0"/>
        <charset val="1"/>
      </rPr>
      <t xml:space="preserve">1 </t>
    </r>
    <r>
      <rPr>
        <sz val="10.5"/>
        <color rgb="FF000000"/>
        <rFont val="Noto Sans CJK SC"/>
        <family val="2"/>
      </rPr>
      <t xml:space="preserve">台（可扩展）。</t>
    </r>
  </si>
  <si>
    <r>
      <rPr>
        <sz val="10.5"/>
        <color rgb="FF000000"/>
        <rFont val="宋体"/>
        <family val="0"/>
        <charset val="1"/>
      </rPr>
      <t xml:space="preserve">    3. </t>
    </r>
    <r>
      <rPr>
        <sz val="10.5"/>
        <color rgb="FF000000"/>
        <rFont val="Noto Sans CJK SC"/>
        <family val="2"/>
      </rPr>
      <t xml:space="preserve">标注“暂估</t>
    </r>
    <r>
      <rPr>
        <sz val="10.5"/>
        <color rgb="FF000000"/>
        <rFont val="宋体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以勘查为准”的项目（网络交换机、光模块、光缆、单向光闸、存储扩容、监控中心配套、辅材施工等）为工程估算，须经现场勘查与深化设计后据实调整。</t>
    </r>
  </si>
  <si>
    <t xml:space="preserve">三、主要估算依据：</t>
  </si>
  <si>
    <r>
      <rPr>
        <sz val="10.5"/>
        <color rgb="FF000000"/>
        <rFont val="宋体"/>
        <family val="0"/>
        <charset val="1"/>
      </rPr>
      <t xml:space="preserve">    · AI </t>
    </r>
    <r>
      <rPr>
        <sz val="10.5"/>
        <color rgb="FF000000"/>
        <rFont val="Noto Sans CJK SC"/>
        <family val="2"/>
      </rPr>
      <t xml:space="preserve">边缘算力服务器按 </t>
    </r>
    <r>
      <rPr>
        <sz val="10.5"/>
        <color rgb="FF000000"/>
        <rFont val="宋体"/>
        <family val="0"/>
        <charset val="1"/>
      </rPr>
      <t xml:space="preserve">32 </t>
    </r>
    <r>
      <rPr>
        <sz val="10.5"/>
        <color rgb="FF000000"/>
        <rFont val="Noto Sans CJK SC"/>
        <family val="2"/>
      </rPr>
      <t xml:space="preserve">路</t>
    </r>
    <r>
      <rPr>
        <sz val="10.5"/>
        <color rgb="FF000000"/>
        <rFont val="宋体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台配置，</t>
    </r>
    <r>
      <rPr>
        <sz val="10.5"/>
        <color rgb="FF000000"/>
        <rFont val="宋体"/>
        <family val="0"/>
        <charset val="1"/>
      </rPr>
      <t xml:space="preserve">193 </t>
    </r>
    <r>
      <rPr>
        <sz val="10.5"/>
        <color rgb="FF000000"/>
        <rFont val="Noto Sans CJK SC"/>
        <family val="2"/>
      </rPr>
      <t xml:space="preserve">路含约 </t>
    </r>
    <r>
      <rPr>
        <sz val="10.5"/>
        <color rgb="FF000000"/>
        <rFont val="宋体"/>
        <family val="0"/>
        <charset val="1"/>
      </rPr>
      <t xml:space="preserve">20% </t>
    </r>
    <r>
      <rPr>
        <sz val="10.5"/>
        <color rgb="FF000000"/>
        <rFont val="Noto Sans CJK SC"/>
        <family val="2"/>
      </rPr>
      <t xml:space="preserve">余量取 </t>
    </r>
    <r>
      <rPr>
        <sz val="10.5"/>
        <color rgb="FF000000"/>
        <rFont val="宋体"/>
        <family val="0"/>
        <charset val="1"/>
      </rPr>
      <t xml:space="preserve">8 </t>
    </r>
    <r>
      <rPr>
        <sz val="10.5"/>
        <color rgb="FF000000"/>
        <rFont val="Noto Sans CJK SC"/>
        <family val="2"/>
      </rPr>
      <t xml:space="preserve">台；具体以所选算法与产品实际分析路数为准。</t>
    </r>
  </si>
  <si>
    <r>
      <rPr>
        <sz val="10.5"/>
        <color rgb="FF000000"/>
        <rFont val="宋体"/>
        <family val="0"/>
        <charset val="1"/>
      </rPr>
      <t xml:space="preserve">    · </t>
    </r>
    <r>
      <rPr>
        <sz val="10.5"/>
        <color rgb="FF000000"/>
        <rFont val="Noto Sans CJK SC"/>
        <family val="2"/>
      </rPr>
      <t xml:space="preserve">存储采用“边缘分布式为主、中心集中为辅”，全域约 </t>
    </r>
    <r>
      <rPr>
        <sz val="10.5"/>
        <color rgb="FF000000"/>
        <rFont val="宋体"/>
        <family val="0"/>
        <charset val="1"/>
      </rPr>
      <t xml:space="preserve">2041 </t>
    </r>
    <r>
      <rPr>
        <sz val="10.5"/>
        <color rgb="FF000000"/>
        <rFont val="Noto Sans CJK SC"/>
        <family val="2"/>
      </rPr>
      <t xml:space="preserve">路 </t>
    </r>
    <r>
      <rPr>
        <sz val="10.5"/>
        <color rgb="FF000000"/>
        <rFont val="宋体"/>
        <family val="0"/>
        <charset val="1"/>
      </rPr>
      <t xml:space="preserve">90 </t>
    </r>
    <r>
      <rPr>
        <sz val="10.5"/>
        <color rgb="FF000000"/>
        <rFont val="Noto Sans CJK SC"/>
        <family val="2"/>
      </rPr>
      <t xml:space="preserve">天存储主体由各站点边缘 </t>
    </r>
    <r>
      <rPr>
        <sz val="10.5"/>
        <color rgb="FF000000"/>
        <rFont val="宋体"/>
        <family val="0"/>
        <charset val="1"/>
      </rPr>
      <t xml:space="preserve">NVR </t>
    </r>
    <r>
      <rPr>
        <sz val="10.5"/>
        <color rgb="FF000000"/>
        <rFont val="Noto Sans CJK SC"/>
        <family val="2"/>
      </rPr>
      <t xml:space="preserve">承担；启用 </t>
    </r>
    <r>
      <rPr>
        <sz val="10.5"/>
        <color rgb="FF000000"/>
        <rFont val="宋体"/>
        <family val="0"/>
        <charset val="1"/>
      </rPr>
      <t xml:space="preserve">H.265/H.265+ </t>
    </r>
    <r>
      <rPr>
        <sz val="10.5"/>
        <color rgb="FF000000"/>
        <rFont val="Noto Sans CJK SC"/>
        <family val="2"/>
      </rPr>
      <t xml:space="preserve">智能编码压缩，尽量利用原有存储，仅对不足 </t>
    </r>
    <r>
      <rPr>
        <sz val="10.5"/>
        <color rgb="FF000000"/>
        <rFont val="宋体"/>
        <family val="0"/>
        <charset val="1"/>
      </rPr>
      <t xml:space="preserve">90 </t>
    </r>
    <r>
      <rPr>
        <sz val="10.5"/>
        <color rgb="FF000000"/>
        <rFont val="Noto Sans CJK SC"/>
        <family val="2"/>
      </rPr>
      <t xml:space="preserve">天站点最小化扩盘（暂估硬盘 </t>
    </r>
    <r>
      <rPr>
        <sz val="10.5"/>
        <color rgb="FF000000"/>
        <rFont val="宋体"/>
        <family val="0"/>
        <charset val="1"/>
      </rPr>
      <t xml:space="preserve">16TB×20 </t>
    </r>
    <r>
      <rPr>
        <sz val="10.5"/>
        <color rgb="FF000000"/>
        <rFont val="Noto Sans CJK SC"/>
        <family val="2"/>
      </rPr>
      <t xml:space="preserve">块及 </t>
    </r>
    <r>
      <rPr>
        <sz val="10.5"/>
        <color rgb="FF000000"/>
        <rFont val="宋体"/>
        <family val="0"/>
        <charset val="1"/>
      </rPr>
      <t xml:space="preserve">NVR 10 </t>
    </r>
    <r>
      <rPr>
        <sz val="10.5"/>
        <color rgb="FF000000"/>
        <rFont val="Noto Sans CJK SC"/>
        <family val="2"/>
      </rPr>
      <t xml:space="preserve">台）。</t>
    </r>
  </si>
  <si>
    <r>
      <rPr>
        <sz val="10.5"/>
        <color rgb="FF000000"/>
        <rFont val="宋体"/>
        <family val="0"/>
        <charset val="1"/>
      </rPr>
      <t xml:space="preserve">    · </t>
    </r>
    <r>
      <rPr>
        <sz val="10.5"/>
        <color rgb="FF000000"/>
        <rFont val="Noto Sans CJK SC"/>
        <family val="2"/>
      </rPr>
      <t xml:space="preserve">网络按 </t>
    </r>
    <r>
      <rPr>
        <sz val="10.5"/>
        <color rgb="FF000000"/>
        <rFont val="宋体"/>
        <family val="0"/>
        <charset val="1"/>
      </rPr>
      <t xml:space="preserve">30 </t>
    </r>
    <r>
      <rPr>
        <sz val="10.5"/>
        <color rgb="FF000000"/>
        <rFont val="Noto Sans CJK SC"/>
        <family val="2"/>
      </rPr>
      <t xml:space="preserve">余个独立监控室</t>
    </r>
    <r>
      <rPr>
        <sz val="10.5"/>
        <color rgb="FF000000"/>
        <rFont val="宋体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二级单位估算汇聚交换机 </t>
    </r>
    <r>
      <rPr>
        <sz val="10.5"/>
        <color rgb="FF000000"/>
        <rFont val="宋体"/>
        <family val="0"/>
        <charset val="1"/>
      </rPr>
      <t xml:space="preserve">30 </t>
    </r>
    <r>
      <rPr>
        <sz val="10.5"/>
        <color rgb="FF000000"/>
        <rFont val="Noto Sans CJK SC"/>
        <family val="2"/>
      </rPr>
      <t xml:space="preserve">台；接入交换机、光模块、光缆等按新增</t>
    </r>
    <r>
      <rPr>
        <sz val="10.5"/>
        <color rgb="FF000000"/>
        <rFont val="宋体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更换点位及联通需求暂估。</t>
    </r>
  </si>
  <si>
    <r>
      <rPr>
        <sz val="10.5"/>
        <color rgb="FF000000"/>
        <rFont val="宋体"/>
        <family val="0"/>
        <charset val="1"/>
      </rPr>
      <t xml:space="preserve">    · </t>
    </r>
    <r>
      <rPr>
        <sz val="10.5"/>
        <color rgb="FF000000"/>
        <rFont val="Noto Sans CJK SC"/>
        <family val="2"/>
      </rPr>
      <t xml:space="preserve">网络由千兆升级为万兆组网，监控专网与生产</t>
    </r>
    <r>
      <rPr>
        <sz val="10.5"/>
        <color rgb="FF000000"/>
        <rFont val="宋体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办公网通过单向光闸</t>
    </r>
    <r>
      <rPr>
        <sz val="10.5"/>
        <color rgb="FF000000"/>
        <rFont val="宋体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网闸单向汇聚并逻辑隔离，满足等保 </t>
    </r>
    <r>
      <rPr>
        <sz val="10.5"/>
        <color rgb="FF000000"/>
        <rFont val="宋体"/>
        <family val="0"/>
        <charset val="1"/>
      </rPr>
      <t xml:space="preserve">2.0</t>
    </r>
    <r>
      <rPr>
        <sz val="10.5"/>
        <color rgb="FF000000"/>
        <rFont val="Noto Sans CJK SC"/>
        <family val="2"/>
      </rPr>
      <t xml:space="preserve">。</t>
    </r>
  </si>
  <si>
    <r>
      <rPr>
        <sz val="10.5"/>
        <color rgb="FF000000"/>
        <rFont val="宋体"/>
        <family val="0"/>
        <charset val="1"/>
      </rPr>
      <t xml:space="preserve">    · </t>
    </r>
    <r>
      <rPr>
        <sz val="10.5"/>
        <color rgb="FF000000"/>
        <rFont val="Noto Sans CJK SC"/>
        <family val="2"/>
      </rPr>
      <t xml:space="preserve">拾音喊话按新增</t>
    </r>
    <r>
      <rPr>
        <sz val="10.5"/>
        <color rgb="FF000000"/>
        <rFont val="宋体"/>
        <family val="0"/>
        <charset val="1"/>
      </rPr>
      <t xml:space="preserve">+</t>
    </r>
    <r>
      <rPr>
        <sz val="10.5"/>
        <color rgb="FF000000"/>
        <rFont val="Noto Sans CJK SC"/>
        <family val="2"/>
      </rPr>
      <t xml:space="preserve">更换共 </t>
    </r>
    <r>
      <rPr>
        <sz val="10.5"/>
        <color rgb="FF000000"/>
        <rFont val="宋体"/>
        <family val="0"/>
        <charset val="1"/>
      </rPr>
      <t xml:space="preserve">146 </t>
    </r>
    <r>
      <rPr>
        <sz val="10.5"/>
        <color rgb="FF000000"/>
        <rFont val="Noto Sans CJK SC"/>
        <family val="2"/>
      </rPr>
      <t xml:space="preserve">个点位配置音柱；门岗点位覆盖前后各 </t>
    </r>
    <r>
      <rPr>
        <sz val="10.5"/>
        <color rgb="FF000000"/>
        <rFont val="宋体"/>
        <family val="0"/>
        <charset val="1"/>
      </rPr>
      <t xml:space="preserve">20m</t>
    </r>
    <r>
      <rPr>
        <sz val="10.5"/>
        <color rgb="FF000000"/>
        <rFont val="Noto Sans CJK SC"/>
        <family val="2"/>
      </rPr>
      <t xml:space="preserve">。</t>
    </r>
  </si>
  <si>
    <r>
      <rPr>
        <sz val="10.5"/>
        <color rgb="FF000000"/>
        <rFont val="宋体"/>
        <family val="0"/>
        <charset val="1"/>
      </rPr>
      <t xml:space="preserve">    · LED </t>
    </r>
    <r>
      <rPr>
        <sz val="10.5"/>
        <color rgb="FF000000"/>
        <rFont val="Noto Sans CJK SC"/>
        <family val="2"/>
      </rPr>
      <t xml:space="preserve">大屏面积 </t>
    </r>
    <r>
      <rPr>
        <sz val="10.5"/>
        <color rgb="FF000000"/>
        <rFont val="宋体"/>
        <family val="0"/>
        <charset val="1"/>
      </rPr>
      <t xml:space="preserve">7.2m×2.8m≈20.16</t>
    </r>
    <r>
      <rPr>
        <sz val="10.5"/>
        <color rgb="FF000000"/>
        <rFont val="Noto Sans CJK SC"/>
        <family val="2"/>
      </rPr>
      <t xml:space="preserve">㎡，箱体数量及配电按所选间距（建议 </t>
    </r>
    <r>
      <rPr>
        <sz val="10.5"/>
        <color rgb="FF000000"/>
        <rFont val="宋体"/>
        <family val="0"/>
        <charset val="1"/>
      </rPr>
      <t xml:space="preserve">P1.2~P1.5</t>
    </r>
    <r>
      <rPr>
        <sz val="10.5"/>
        <color rgb="FF000000"/>
        <rFont val="Noto Sans CJK SC"/>
        <family val="2"/>
      </rPr>
      <t xml:space="preserve">）厂家标准配置。</t>
    </r>
  </si>
  <si>
    <r>
      <rPr>
        <sz val="10.5"/>
        <color rgb="FF000000"/>
        <rFont val="Noto Sans CJK SC"/>
        <family val="2"/>
      </rPr>
      <t xml:space="preserve">四、本清单未包含土建、强电引入至中心配电柜上端、以及各二级公司维保单位负责的本地 </t>
    </r>
    <r>
      <rPr>
        <sz val="10.5"/>
        <color rgb="FF000000"/>
        <rFont val="宋体"/>
        <family val="0"/>
        <charset val="1"/>
      </rPr>
      <t xml:space="preserve">IP </t>
    </r>
    <r>
      <rPr>
        <sz val="10.5"/>
        <color rgb="FF000000"/>
        <rFont val="Noto Sans CJK SC"/>
        <family val="2"/>
      </rPr>
      <t xml:space="preserve">整改等界外内容。</t>
    </r>
  </si>
  <si>
    <t xml:space="preserve">五、金额未列明，由投标方结合自身产品与现场勘查在商务文件中报价。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</si>
</sst>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宋体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黑体"/>
      <family val="0"/>
      <charset val="1"/>
    </font>
    <font>
      <b val="true"/>
      <sz val="10.5"/>
      <color rgb="FF2E74B5"/>
      <name val="Noto Sans CJK SC"/>
      <family val="2"/>
    </font>
    <font>
      <sz val="10"/>
      <color rgb="FF000000"/>
      <name val="宋体"/>
      <family val="0"/>
      <charset val="1"/>
    </font>
    <font>
      <sz val="10"/>
      <color rgb="FF000000"/>
      <name val="Noto Sans CJK SC"/>
      <family val="2"/>
    </font>
    <font>
      <sz val="9"/>
      <color rgb="FF000000"/>
      <name val="宋体"/>
      <family val="0"/>
      <charset val="1"/>
    </font>
    <font>
      <sz val="9"/>
      <color rgb="FF00000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宋体"/>
      <family val="0"/>
      <charset val="1"/>
    </font>
    <font>
      <b val="true"/>
      <sz val="10"/>
      <color rgb="FF000000"/>
      <name val="Noto Sans CJK SC"/>
      <family val="2"/>
    </font>
    <font>
      <sz val="10"/>
      <color rgb="FFC00000"/>
      <name val="Noto Sans CJK SC"/>
      <family val="2"/>
    </font>
    <font>
      <sz val="10"/>
      <color rgb="FFC00000"/>
      <name val="宋体"/>
      <family val="0"/>
      <charset val="1"/>
    </font>
    <font>
      <sz val="9"/>
      <color rgb="FF1F4E79"/>
      <name val="Noto Sans CJK SC"/>
      <family val="2"/>
    </font>
    <font>
      <sz val="9"/>
      <color rgb="FF1F4E79"/>
      <name val="宋体"/>
      <family val="0"/>
      <charset val="1"/>
    </font>
    <font>
      <b val="true"/>
      <sz val="14"/>
      <color rgb="FF1F4E79"/>
      <name val="Noto Sans CJK SC"/>
      <family val="2"/>
    </font>
    <font>
      <b val="true"/>
      <sz val="14"/>
      <color rgb="FF1F4E79"/>
      <name val="黑体"/>
      <family val="0"/>
      <charset val="1"/>
    </font>
    <font>
      <b val="true"/>
      <sz val="10"/>
      <color rgb="FF000000"/>
      <name val="宋体"/>
      <family val="0"/>
      <charset val="1"/>
    </font>
    <font>
      <b val="true"/>
      <sz val="9"/>
      <color rgb="FF1F4E79"/>
      <name val="Noto Sans CJK SC"/>
      <family val="2"/>
    </font>
    <font>
      <b val="true"/>
      <sz val="9"/>
      <color rgb="FF1F4E79"/>
      <name val="宋体"/>
      <family val="0"/>
      <charset val="1"/>
    </font>
    <font>
      <sz val="10.5"/>
      <color rgb="FF000000"/>
      <name val="Noto Sans CJK SC"/>
      <family val="2"/>
    </font>
    <font>
      <sz val="10.5"/>
      <color rgb="FF000000"/>
      <name val="宋体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6"/>
    <col collapsed="false" customWidth="true" hidden="false" outlineLevel="0" max="6" min="5" style="0" width="9"/>
    <col collapsed="false" customWidth="true" hidden="false" outlineLevel="0" max="7" min="7" style="0" width="30"/>
  </cols>
  <sheetData>
    <row r="1" customFormat="false" ht="23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6.4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42" hidden="false" customHeight="true" outlineLevel="0" collapsed="false">
      <c r="A6" s="5" t="n">
        <v>1</v>
      </c>
      <c r="B6" s="6" t="s">
        <v>10</v>
      </c>
      <c r="C6" s="7" t="s">
        <v>11</v>
      </c>
      <c r="D6" s="8" t="s">
        <v>12</v>
      </c>
      <c r="E6" s="5" t="n">
        <v>58</v>
      </c>
      <c r="F6" s="8" t="s">
        <v>13</v>
      </c>
      <c r="G6" s="9" t="s">
        <v>14</v>
      </c>
    </row>
    <row r="7" customFormat="false" ht="29.85" hidden="false" customHeight="false" outlineLevel="0" collapsed="false">
      <c r="A7" s="5" t="n">
        <v>2</v>
      </c>
      <c r="B7" s="6" t="s">
        <v>15</v>
      </c>
      <c r="C7" s="7" t="s">
        <v>16</v>
      </c>
      <c r="D7" s="8" t="s">
        <v>12</v>
      </c>
      <c r="E7" s="5" t="n">
        <v>3</v>
      </c>
      <c r="F7" s="8" t="s">
        <v>13</v>
      </c>
      <c r="G7" s="9" t="s">
        <v>17</v>
      </c>
    </row>
    <row r="8" customFormat="false" ht="42" hidden="false" customHeight="true" outlineLevel="0" collapsed="false">
      <c r="A8" s="5" t="n">
        <v>3</v>
      </c>
      <c r="B8" s="6" t="s">
        <v>18</v>
      </c>
      <c r="C8" s="7" t="s">
        <v>19</v>
      </c>
      <c r="D8" s="8" t="s">
        <v>12</v>
      </c>
      <c r="E8" s="5" t="n">
        <v>41</v>
      </c>
      <c r="F8" s="8" t="s">
        <v>13</v>
      </c>
      <c r="G8" s="9" t="s">
        <v>20</v>
      </c>
    </row>
    <row r="9" customFormat="false" ht="42" hidden="false" customHeight="true" outlineLevel="0" collapsed="false">
      <c r="A9" s="5" t="n">
        <v>4</v>
      </c>
      <c r="B9" s="6" t="s">
        <v>21</v>
      </c>
      <c r="C9" s="7" t="s">
        <v>22</v>
      </c>
      <c r="D9" s="8" t="s">
        <v>12</v>
      </c>
      <c r="E9" s="5" t="n">
        <v>44</v>
      </c>
      <c r="F9" s="8" t="s">
        <v>13</v>
      </c>
      <c r="G9" s="9" t="s">
        <v>23</v>
      </c>
    </row>
    <row r="10" customFormat="false" ht="26.85" hidden="false" customHeight="false" outlineLevel="0" collapsed="false">
      <c r="A10" s="5" t="n">
        <v>5</v>
      </c>
      <c r="B10" s="6" t="s">
        <v>24</v>
      </c>
      <c r="C10" s="10" t="s">
        <v>25</v>
      </c>
      <c r="D10" s="8" t="s">
        <v>26</v>
      </c>
      <c r="E10" s="5" t="n">
        <v>146</v>
      </c>
      <c r="F10" s="8" t="s">
        <v>13</v>
      </c>
      <c r="G10" s="9" t="s">
        <v>27</v>
      </c>
    </row>
    <row r="11" customFormat="false" ht="15" hidden="false" customHeight="true" outlineLevel="0" collapsed="false">
      <c r="A11" s="11" t="s">
        <v>28</v>
      </c>
      <c r="B11" s="11"/>
      <c r="C11" s="11"/>
      <c r="D11" s="12" t="s">
        <v>12</v>
      </c>
      <c r="E11" s="12" t="n">
        <f aca="false">E6+E7+E8+E9</f>
        <v>146</v>
      </c>
      <c r="F11" s="13"/>
      <c r="G11" s="13"/>
    </row>
    <row r="12" customFormat="false" ht="16.4" hidden="false" customHeight="true" outlineLevel="0" collapsed="false">
      <c r="A12" s="4" t="s">
        <v>29</v>
      </c>
      <c r="B12" s="4"/>
      <c r="C12" s="4"/>
      <c r="D12" s="4"/>
      <c r="E12" s="4"/>
      <c r="F12" s="4"/>
      <c r="G12" s="4"/>
    </row>
    <row r="13" customFormat="false" ht="42" hidden="false" customHeight="true" outlineLevel="0" collapsed="false">
      <c r="A13" s="5" t="n">
        <v>6</v>
      </c>
      <c r="B13" s="14" t="s">
        <v>30</v>
      </c>
      <c r="C13" s="7" t="s">
        <v>31</v>
      </c>
      <c r="D13" s="8" t="s">
        <v>12</v>
      </c>
      <c r="E13" s="5" t="n">
        <v>8</v>
      </c>
      <c r="F13" s="8" t="s">
        <v>13</v>
      </c>
      <c r="G13" s="9" t="s">
        <v>32</v>
      </c>
    </row>
    <row r="14" customFormat="false" ht="15" hidden="false" customHeight="false" outlineLevel="0" collapsed="false">
      <c r="A14" s="5" t="n">
        <v>7</v>
      </c>
      <c r="B14" s="14" t="s">
        <v>33</v>
      </c>
      <c r="C14" s="10" t="s">
        <v>34</v>
      </c>
      <c r="D14" s="8" t="s">
        <v>35</v>
      </c>
      <c r="E14" s="5" t="n">
        <v>193</v>
      </c>
      <c r="F14" s="8" t="s">
        <v>13</v>
      </c>
      <c r="G14" s="9" t="s">
        <v>36</v>
      </c>
    </row>
    <row r="15" customFormat="false" ht="16.4" hidden="false" customHeight="true" outlineLevel="0" collapsed="false">
      <c r="A15" s="4" t="s">
        <v>37</v>
      </c>
      <c r="B15" s="4"/>
      <c r="C15" s="4"/>
      <c r="D15" s="4"/>
      <c r="E15" s="4"/>
      <c r="F15" s="4"/>
      <c r="G15" s="4"/>
    </row>
    <row r="16" customFormat="false" ht="42" hidden="false" customHeight="true" outlineLevel="0" collapsed="false">
      <c r="A16" s="5" t="n">
        <v>8</v>
      </c>
      <c r="B16" s="6" t="s">
        <v>38</v>
      </c>
      <c r="C16" s="10" t="s">
        <v>39</v>
      </c>
      <c r="D16" s="8" t="s">
        <v>26</v>
      </c>
      <c r="E16" s="5" t="n">
        <v>1</v>
      </c>
      <c r="F16" s="8" t="s">
        <v>13</v>
      </c>
      <c r="G16" s="9" t="s">
        <v>40</v>
      </c>
    </row>
    <row r="17" customFormat="false" ht="15" hidden="false" customHeight="false" outlineLevel="0" collapsed="false">
      <c r="A17" s="5" t="n">
        <v>9</v>
      </c>
      <c r="B17" s="6" t="s">
        <v>41</v>
      </c>
      <c r="C17" s="10" t="s">
        <v>42</v>
      </c>
      <c r="D17" s="8" t="s">
        <v>12</v>
      </c>
      <c r="E17" s="5" t="n">
        <v>3</v>
      </c>
      <c r="F17" s="15" t="s">
        <v>43</v>
      </c>
      <c r="G17" s="9" t="s">
        <v>44</v>
      </c>
    </row>
    <row r="18" customFormat="false" ht="42" hidden="false" customHeight="true" outlineLevel="0" collapsed="false">
      <c r="A18" s="5" t="n">
        <v>10</v>
      </c>
      <c r="B18" s="6" t="s">
        <v>45</v>
      </c>
      <c r="C18" s="10" t="s">
        <v>46</v>
      </c>
      <c r="D18" s="8" t="s">
        <v>35</v>
      </c>
      <c r="E18" s="5" t="n">
        <v>3000</v>
      </c>
      <c r="F18" s="15" t="s">
        <v>47</v>
      </c>
      <c r="G18" s="9" t="s">
        <v>48</v>
      </c>
    </row>
    <row r="19" customFormat="false" ht="15" hidden="false" customHeight="false" outlineLevel="0" collapsed="false">
      <c r="A19" s="5" t="n">
        <v>11</v>
      </c>
      <c r="B19" s="6" t="s">
        <v>49</v>
      </c>
      <c r="C19" s="10" t="s">
        <v>50</v>
      </c>
      <c r="D19" s="8" t="s">
        <v>12</v>
      </c>
      <c r="E19" s="5" t="n">
        <v>1</v>
      </c>
      <c r="F19" s="15" t="s">
        <v>43</v>
      </c>
      <c r="G19" s="9" t="s">
        <v>51</v>
      </c>
    </row>
    <row r="20" customFormat="false" ht="15" hidden="false" customHeight="false" outlineLevel="0" collapsed="false">
      <c r="A20" s="5" t="n">
        <v>12</v>
      </c>
      <c r="B20" s="6" t="s">
        <v>52</v>
      </c>
      <c r="C20" s="10" t="s">
        <v>53</v>
      </c>
      <c r="D20" s="8" t="s">
        <v>54</v>
      </c>
      <c r="E20" s="5" t="n">
        <v>1</v>
      </c>
      <c r="F20" s="8" t="s">
        <v>13</v>
      </c>
      <c r="G20" s="9" t="s">
        <v>55</v>
      </c>
    </row>
    <row r="21" customFormat="false" ht="16.4" hidden="false" customHeight="true" outlineLevel="0" collapsed="false">
      <c r="A21" s="4" t="s">
        <v>56</v>
      </c>
      <c r="B21" s="4"/>
      <c r="C21" s="4"/>
      <c r="D21" s="4"/>
      <c r="E21" s="4"/>
      <c r="F21" s="4"/>
      <c r="G21" s="4"/>
    </row>
    <row r="22" customFormat="false" ht="26.85" hidden="false" customHeight="false" outlineLevel="0" collapsed="false">
      <c r="A22" s="5" t="n">
        <v>13</v>
      </c>
      <c r="B22" s="6" t="s">
        <v>57</v>
      </c>
      <c r="C22" s="10" t="s">
        <v>58</v>
      </c>
      <c r="D22" s="8" t="s">
        <v>26</v>
      </c>
      <c r="E22" s="5" t="n">
        <v>2</v>
      </c>
      <c r="F22" s="15" t="s">
        <v>43</v>
      </c>
      <c r="G22" s="9" t="s">
        <v>59</v>
      </c>
    </row>
    <row r="23" customFormat="false" ht="42" hidden="false" customHeight="true" outlineLevel="0" collapsed="false">
      <c r="A23" s="5" t="n">
        <v>14</v>
      </c>
      <c r="B23" s="6" t="s">
        <v>60</v>
      </c>
      <c r="C23" s="10" t="s">
        <v>61</v>
      </c>
      <c r="D23" s="8" t="s">
        <v>62</v>
      </c>
      <c r="E23" s="5" t="n">
        <v>20</v>
      </c>
      <c r="F23" s="8" t="s">
        <v>13</v>
      </c>
      <c r="G23" s="9" t="s">
        <v>63</v>
      </c>
    </row>
    <row r="24" customFormat="false" ht="26.85" hidden="false" customHeight="false" outlineLevel="0" collapsed="false">
      <c r="A24" s="5" t="n">
        <v>15</v>
      </c>
      <c r="B24" s="6" t="s">
        <v>64</v>
      </c>
      <c r="C24" s="10" t="s">
        <v>65</v>
      </c>
      <c r="D24" s="8" t="s">
        <v>12</v>
      </c>
      <c r="E24" s="5" t="n">
        <v>10</v>
      </c>
      <c r="F24" s="8" t="s">
        <v>13</v>
      </c>
      <c r="G24" s="9" t="s">
        <v>66</v>
      </c>
    </row>
    <row r="25" customFormat="false" ht="16.4" hidden="false" customHeight="true" outlineLevel="0" collapsed="false">
      <c r="A25" s="4" t="s">
        <v>67</v>
      </c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5" t="n">
        <v>16</v>
      </c>
      <c r="B26" s="6" t="s">
        <v>68</v>
      </c>
      <c r="C26" s="10" t="s">
        <v>69</v>
      </c>
      <c r="D26" s="8" t="s">
        <v>12</v>
      </c>
      <c r="E26" s="5" t="n">
        <v>2</v>
      </c>
      <c r="F26" s="8" t="s">
        <v>13</v>
      </c>
      <c r="G26" s="9" t="s">
        <v>70</v>
      </c>
    </row>
    <row r="27" customFormat="false" ht="15" hidden="false" customHeight="false" outlineLevel="0" collapsed="false">
      <c r="A27" s="5" t="n">
        <v>17</v>
      </c>
      <c r="B27" s="6" t="s">
        <v>71</v>
      </c>
      <c r="C27" s="10" t="s">
        <v>72</v>
      </c>
      <c r="D27" s="8" t="s">
        <v>12</v>
      </c>
      <c r="E27" s="5" t="n">
        <v>30</v>
      </c>
      <c r="F27" s="8" t="s">
        <v>13</v>
      </c>
      <c r="G27" s="9" t="s">
        <v>73</v>
      </c>
    </row>
    <row r="28" customFormat="false" ht="15" hidden="false" customHeight="false" outlineLevel="0" collapsed="false">
      <c r="A28" s="5" t="n">
        <v>18</v>
      </c>
      <c r="B28" s="6" t="s">
        <v>74</v>
      </c>
      <c r="C28" s="7" t="s">
        <v>75</v>
      </c>
      <c r="D28" s="8" t="s">
        <v>12</v>
      </c>
      <c r="E28" s="5" t="n">
        <v>12</v>
      </c>
      <c r="F28" s="8" t="s">
        <v>13</v>
      </c>
      <c r="G28" s="9" t="s">
        <v>76</v>
      </c>
    </row>
    <row r="29" customFormat="false" ht="15" hidden="false" customHeight="false" outlineLevel="0" collapsed="false">
      <c r="A29" s="5" t="n">
        <v>19</v>
      </c>
      <c r="B29" s="6" t="s">
        <v>77</v>
      </c>
      <c r="C29" s="10" t="s">
        <v>78</v>
      </c>
      <c r="D29" s="8" t="s">
        <v>79</v>
      </c>
      <c r="E29" s="5" t="n">
        <v>80</v>
      </c>
      <c r="F29" s="8" t="s">
        <v>13</v>
      </c>
      <c r="G29" s="9" t="s">
        <v>80</v>
      </c>
    </row>
    <row r="30" customFormat="false" ht="26.85" hidden="false" customHeight="false" outlineLevel="0" collapsed="false">
      <c r="A30" s="5" t="n">
        <v>20</v>
      </c>
      <c r="B30" s="6" t="s">
        <v>81</v>
      </c>
      <c r="C30" s="10" t="s">
        <v>82</v>
      </c>
      <c r="D30" s="8" t="s">
        <v>83</v>
      </c>
      <c r="E30" s="5" t="n">
        <v>8000</v>
      </c>
      <c r="F30" s="8" t="s">
        <v>13</v>
      </c>
      <c r="G30" s="9" t="s">
        <v>84</v>
      </c>
    </row>
    <row r="31" customFormat="false" ht="15" hidden="false" customHeight="false" outlineLevel="0" collapsed="false">
      <c r="A31" s="5" t="n">
        <v>21</v>
      </c>
      <c r="B31" s="6" t="s">
        <v>85</v>
      </c>
      <c r="C31" s="10" t="s">
        <v>86</v>
      </c>
      <c r="D31" s="8" t="s">
        <v>54</v>
      </c>
      <c r="E31" s="5" t="n">
        <v>1</v>
      </c>
      <c r="F31" s="8" t="s">
        <v>13</v>
      </c>
      <c r="G31" s="9" t="s">
        <v>87</v>
      </c>
    </row>
    <row r="32" customFormat="false" ht="29.85" hidden="false" customHeight="false" outlineLevel="0" collapsed="false">
      <c r="A32" s="5" t="n">
        <v>22</v>
      </c>
      <c r="B32" s="6" t="s">
        <v>88</v>
      </c>
      <c r="C32" s="10" t="s">
        <v>89</v>
      </c>
      <c r="D32" s="8" t="s">
        <v>26</v>
      </c>
      <c r="E32" s="5" t="n">
        <v>2</v>
      </c>
      <c r="F32" s="8" t="s">
        <v>13</v>
      </c>
      <c r="G32" s="9" t="s">
        <v>90</v>
      </c>
    </row>
    <row r="33" customFormat="false" ht="26.85" hidden="false" customHeight="false" outlineLevel="0" collapsed="false">
      <c r="A33" s="5" t="n">
        <v>23</v>
      </c>
      <c r="B33" s="6" t="s">
        <v>91</v>
      </c>
      <c r="C33" s="10" t="s">
        <v>92</v>
      </c>
      <c r="D33" s="8" t="s">
        <v>12</v>
      </c>
      <c r="E33" s="5" t="n">
        <v>2</v>
      </c>
      <c r="F33" s="8" t="s">
        <v>13</v>
      </c>
      <c r="G33" s="9" t="s">
        <v>93</v>
      </c>
    </row>
    <row r="34" customFormat="false" ht="16.4" hidden="false" customHeight="true" outlineLevel="0" collapsed="false">
      <c r="A34" s="4" t="s">
        <v>94</v>
      </c>
      <c r="B34" s="4"/>
      <c r="C34" s="4"/>
      <c r="D34" s="4"/>
      <c r="E34" s="4"/>
      <c r="F34" s="4"/>
      <c r="G34" s="4"/>
    </row>
    <row r="35" customFormat="false" ht="42" hidden="false" customHeight="true" outlineLevel="0" collapsed="false">
      <c r="A35" s="5" t="n">
        <v>24</v>
      </c>
      <c r="B35" s="6" t="s">
        <v>95</v>
      </c>
      <c r="C35" s="10" t="s">
        <v>96</v>
      </c>
      <c r="D35" s="8" t="s">
        <v>97</v>
      </c>
      <c r="E35" s="5" t="n">
        <v>20.16</v>
      </c>
      <c r="F35" s="8" t="s">
        <v>13</v>
      </c>
      <c r="G35" s="9" t="s">
        <v>98</v>
      </c>
    </row>
    <row r="36" customFormat="false" ht="15" hidden="false" customHeight="false" outlineLevel="0" collapsed="false">
      <c r="A36" s="5" t="n">
        <v>25</v>
      </c>
      <c r="B36" s="14" t="s">
        <v>99</v>
      </c>
      <c r="C36" s="10" t="s">
        <v>100</v>
      </c>
      <c r="D36" s="8" t="s">
        <v>12</v>
      </c>
      <c r="E36" s="5" t="n">
        <v>1</v>
      </c>
      <c r="F36" s="8" t="s">
        <v>13</v>
      </c>
      <c r="G36" s="9" t="s">
        <v>101</v>
      </c>
    </row>
    <row r="37" customFormat="false" ht="15" hidden="false" customHeight="false" outlineLevel="0" collapsed="false">
      <c r="A37" s="5" t="n">
        <v>26</v>
      </c>
      <c r="B37" s="6" t="s">
        <v>102</v>
      </c>
      <c r="C37" s="10" t="s">
        <v>103</v>
      </c>
      <c r="D37" s="8" t="s">
        <v>54</v>
      </c>
      <c r="E37" s="5" t="n">
        <v>1</v>
      </c>
      <c r="F37" s="8" t="s">
        <v>13</v>
      </c>
      <c r="G37" s="9" t="s">
        <v>104</v>
      </c>
    </row>
    <row r="38" customFormat="false" ht="15" hidden="false" customHeight="false" outlineLevel="0" collapsed="false">
      <c r="A38" s="5" t="n">
        <v>27</v>
      </c>
      <c r="B38" s="6" t="s">
        <v>105</v>
      </c>
      <c r="C38" s="10" t="s">
        <v>106</v>
      </c>
      <c r="D38" s="8" t="s">
        <v>26</v>
      </c>
      <c r="E38" s="5" t="n">
        <v>1</v>
      </c>
      <c r="F38" s="8" t="s">
        <v>13</v>
      </c>
      <c r="G38" s="9" t="s">
        <v>107</v>
      </c>
    </row>
    <row r="39" customFormat="false" ht="15" hidden="false" customHeight="false" outlineLevel="0" collapsed="false">
      <c r="A39" s="5" t="n">
        <v>28</v>
      </c>
      <c r="B39" s="14" t="s">
        <v>108</v>
      </c>
      <c r="C39" s="10" t="s">
        <v>109</v>
      </c>
      <c r="D39" s="8" t="s">
        <v>26</v>
      </c>
      <c r="E39" s="5" t="n">
        <v>1</v>
      </c>
      <c r="F39" s="8" t="s">
        <v>13</v>
      </c>
      <c r="G39" s="9" t="s">
        <v>110</v>
      </c>
    </row>
    <row r="40" customFormat="false" ht="15" hidden="false" customHeight="false" outlineLevel="0" collapsed="false">
      <c r="A40" s="5" t="n">
        <v>29</v>
      </c>
      <c r="B40" s="6" t="s">
        <v>111</v>
      </c>
      <c r="C40" s="10" t="s">
        <v>112</v>
      </c>
      <c r="D40" s="8" t="s">
        <v>26</v>
      </c>
      <c r="E40" s="5" t="n">
        <v>1</v>
      </c>
      <c r="F40" s="8" t="s">
        <v>13</v>
      </c>
      <c r="G40" s="9"/>
    </row>
    <row r="41" customFormat="false" ht="15" hidden="false" customHeight="false" outlineLevel="0" collapsed="false">
      <c r="A41" s="5" t="n">
        <v>30</v>
      </c>
      <c r="B41" s="6" t="s">
        <v>113</v>
      </c>
      <c r="C41" s="10" t="s">
        <v>114</v>
      </c>
      <c r="D41" s="8" t="s">
        <v>97</v>
      </c>
      <c r="E41" s="5" t="n">
        <v>40</v>
      </c>
      <c r="F41" s="8" t="s">
        <v>13</v>
      </c>
      <c r="G41" s="9" t="s">
        <v>115</v>
      </c>
    </row>
    <row r="42" customFormat="false" ht="15" hidden="false" customHeight="false" outlineLevel="0" collapsed="false">
      <c r="A42" s="5" t="n">
        <v>31</v>
      </c>
      <c r="B42" s="6" t="s">
        <v>116</v>
      </c>
      <c r="C42" s="10" t="s">
        <v>117</v>
      </c>
      <c r="D42" s="8" t="s">
        <v>54</v>
      </c>
      <c r="E42" s="5" t="n">
        <v>1</v>
      </c>
      <c r="F42" s="8" t="s">
        <v>13</v>
      </c>
      <c r="G42" s="9" t="s">
        <v>118</v>
      </c>
    </row>
    <row r="43" customFormat="false" ht="15" hidden="false" customHeight="false" outlineLevel="0" collapsed="false">
      <c r="A43" s="5" t="n">
        <v>32</v>
      </c>
      <c r="B43" s="6" t="s">
        <v>119</v>
      </c>
      <c r="C43" s="10" t="s">
        <v>120</v>
      </c>
      <c r="D43" s="8" t="s">
        <v>12</v>
      </c>
      <c r="E43" s="5" t="n">
        <v>2</v>
      </c>
      <c r="F43" s="8" t="s">
        <v>13</v>
      </c>
      <c r="G43" s="9" t="s">
        <v>121</v>
      </c>
    </row>
    <row r="44" customFormat="false" ht="16.4" hidden="false" customHeight="true" outlineLevel="0" collapsed="false">
      <c r="A44" s="4" t="s">
        <v>122</v>
      </c>
      <c r="B44" s="4"/>
      <c r="C44" s="4"/>
      <c r="D44" s="4"/>
      <c r="E44" s="4"/>
      <c r="F44" s="4"/>
      <c r="G44" s="4"/>
    </row>
    <row r="45" customFormat="false" ht="15" hidden="false" customHeight="false" outlineLevel="0" collapsed="false">
      <c r="A45" s="5" t="n">
        <v>33</v>
      </c>
      <c r="B45" s="6" t="s">
        <v>123</v>
      </c>
      <c r="C45" s="10" t="s">
        <v>124</v>
      </c>
      <c r="D45" s="8" t="s">
        <v>54</v>
      </c>
      <c r="E45" s="5" t="n">
        <v>1</v>
      </c>
      <c r="F45" s="8" t="s">
        <v>13</v>
      </c>
      <c r="G45" s="9" t="s">
        <v>125</v>
      </c>
    </row>
    <row r="46" customFormat="false" ht="15" hidden="false" customHeight="false" outlineLevel="0" collapsed="false">
      <c r="A46" s="5" t="n">
        <v>34</v>
      </c>
      <c r="B46" s="6" t="s">
        <v>126</v>
      </c>
      <c r="C46" s="10" t="s">
        <v>127</v>
      </c>
      <c r="D46" s="8" t="s">
        <v>54</v>
      </c>
      <c r="E46" s="5" t="n">
        <v>1</v>
      </c>
      <c r="F46" s="8" t="s">
        <v>13</v>
      </c>
      <c r="G46" s="9" t="s">
        <v>128</v>
      </c>
    </row>
    <row r="47" customFormat="false" ht="15" hidden="false" customHeight="false" outlineLevel="0" collapsed="false">
      <c r="A47" s="5" t="n">
        <v>35</v>
      </c>
      <c r="B47" s="6" t="s">
        <v>129</v>
      </c>
      <c r="C47" s="10" t="s">
        <v>130</v>
      </c>
      <c r="D47" s="8" t="s">
        <v>54</v>
      </c>
      <c r="E47" s="5" t="n">
        <v>1</v>
      </c>
      <c r="F47" s="8" t="s">
        <v>13</v>
      </c>
      <c r="G47" s="9" t="s">
        <v>131</v>
      </c>
    </row>
    <row r="48" customFormat="false" ht="16.4" hidden="false" customHeight="true" outlineLevel="0" collapsed="false">
      <c r="A48" s="4" t="s">
        <v>132</v>
      </c>
      <c r="B48" s="4"/>
      <c r="C48" s="4"/>
      <c r="D48" s="4"/>
      <c r="E48" s="4"/>
      <c r="F48" s="4"/>
      <c r="G48" s="4"/>
    </row>
    <row r="49" customFormat="false" ht="42" hidden="false" customHeight="true" outlineLevel="0" collapsed="false">
      <c r="A49" s="5" t="n">
        <v>36</v>
      </c>
      <c r="B49" s="14" t="s">
        <v>133</v>
      </c>
      <c r="C49" s="10" t="s">
        <v>134</v>
      </c>
      <c r="D49" s="8" t="s">
        <v>54</v>
      </c>
      <c r="E49" s="5" t="n">
        <v>1</v>
      </c>
      <c r="F49" s="8" t="s">
        <v>13</v>
      </c>
      <c r="G49" s="9" t="s">
        <v>135</v>
      </c>
    </row>
    <row r="50" customFormat="false" ht="26.85" hidden="false" customHeight="false" outlineLevel="0" collapsed="false">
      <c r="A50" s="5" t="n">
        <v>37</v>
      </c>
      <c r="B50" s="6" t="s">
        <v>136</v>
      </c>
      <c r="C50" s="10" t="s">
        <v>137</v>
      </c>
      <c r="D50" s="8" t="s">
        <v>54</v>
      </c>
      <c r="E50" s="5" t="n">
        <v>1</v>
      </c>
      <c r="F50" s="8" t="s">
        <v>13</v>
      </c>
      <c r="G50" s="9"/>
    </row>
    <row r="51" customFormat="false" ht="15" hidden="false" customHeight="false" outlineLevel="0" collapsed="false">
      <c r="A51" s="5" t="n">
        <v>38</v>
      </c>
      <c r="B51" s="6" t="s">
        <v>138</v>
      </c>
      <c r="C51" s="10" t="s">
        <v>139</v>
      </c>
      <c r="D51" s="8" t="s">
        <v>54</v>
      </c>
      <c r="E51" s="5" t="n">
        <v>1</v>
      </c>
      <c r="F51" s="8" t="s">
        <v>13</v>
      </c>
      <c r="G51" s="9" t="s">
        <v>140</v>
      </c>
    </row>
    <row r="52" customFormat="false" ht="15" hidden="false" customHeight="false" outlineLevel="0" collapsed="false">
      <c r="A52" s="5" t="n">
        <v>39</v>
      </c>
      <c r="B52" s="6" t="s">
        <v>141</v>
      </c>
      <c r="C52" s="7" t="s">
        <v>142</v>
      </c>
      <c r="D52" s="8" t="s">
        <v>54</v>
      </c>
      <c r="E52" s="5" t="n">
        <v>1</v>
      </c>
      <c r="F52" s="8" t="s">
        <v>13</v>
      </c>
      <c r="G52" s="9" t="s">
        <v>143</v>
      </c>
    </row>
    <row r="53" customFormat="false" ht="30" hidden="false" customHeight="true" outlineLevel="0" collapsed="false">
      <c r="A53" s="16" t="s">
        <v>144</v>
      </c>
      <c r="B53" s="16"/>
      <c r="C53" s="16"/>
      <c r="D53" s="16"/>
      <c r="E53" s="16"/>
      <c r="F53" s="16"/>
      <c r="G53" s="16"/>
    </row>
  </sheetData>
  <mergeCells count="12">
    <mergeCell ref="A1:G1"/>
    <mergeCell ref="A2:G2"/>
    <mergeCell ref="A5:G5"/>
    <mergeCell ref="A11:C11"/>
    <mergeCell ref="A12:G12"/>
    <mergeCell ref="A15:G15"/>
    <mergeCell ref="A21:G21"/>
    <mergeCell ref="A25:G25"/>
    <mergeCell ref="A34:G34"/>
    <mergeCell ref="A44:G44"/>
    <mergeCell ref="A48:G48"/>
    <mergeCell ref="A53:G5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7" min="4" style="0" width="12"/>
    <col collapsed="false" customWidth="true" hidden="false" outlineLevel="0" max="8" min="8" style="0" width="26"/>
  </cols>
  <sheetData>
    <row r="1" customFormat="false" ht="21.6" hidden="false" customHeight="true" outlineLevel="0" collapsed="false">
      <c r="A1" s="17" t="s">
        <v>145</v>
      </c>
      <c r="B1" s="17"/>
      <c r="C1" s="17"/>
      <c r="D1" s="17"/>
      <c r="E1" s="17"/>
      <c r="F1" s="17"/>
      <c r="G1" s="17"/>
      <c r="H1" s="17"/>
    </row>
    <row r="3" customFormat="false" ht="30" hidden="false" customHeight="true" outlineLevel="0" collapsed="false">
      <c r="A3" s="3" t="s">
        <v>2</v>
      </c>
      <c r="B3" s="3" t="s">
        <v>146</v>
      </c>
      <c r="C3" s="3" t="s">
        <v>147</v>
      </c>
      <c r="D3" s="3" t="s">
        <v>148</v>
      </c>
      <c r="E3" s="3" t="s">
        <v>149</v>
      </c>
      <c r="F3" s="18" t="s">
        <v>150</v>
      </c>
      <c r="G3" s="3" t="s">
        <v>151</v>
      </c>
      <c r="H3" s="3" t="s">
        <v>8</v>
      </c>
    </row>
    <row r="4" customFormat="false" ht="15" hidden="false" customHeight="false" outlineLevel="0" collapsed="false">
      <c r="A4" s="5" t="n">
        <v>1</v>
      </c>
      <c r="B4" s="6" t="s">
        <v>152</v>
      </c>
      <c r="C4" s="6" t="s">
        <v>153</v>
      </c>
      <c r="D4" s="5"/>
      <c r="E4" s="5"/>
      <c r="F4" s="5" t="n">
        <v>58</v>
      </c>
      <c r="G4" s="5"/>
      <c r="H4" s="19" t="s">
        <v>154</v>
      </c>
    </row>
    <row r="5" customFormat="false" ht="15" hidden="false" customHeight="false" outlineLevel="0" collapsed="false">
      <c r="A5" s="5" t="n">
        <v>2</v>
      </c>
      <c r="B5" s="6" t="s">
        <v>152</v>
      </c>
      <c r="C5" s="6" t="s">
        <v>155</v>
      </c>
      <c r="D5" s="5"/>
      <c r="E5" s="5"/>
      <c r="F5" s="5" t="n">
        <v>27</v>
      </c>
      <c r="G5" s="5"/>
      <c r="H5" s="19" t="s">
        <v>154</v>
      </c>
    </row>
    <row r="6" customFormat="false" ht="15" hidden="false" customHeight="false" outlineLevel="0" collapsed="false">
      <c r="A6" s="5" t="n">
        <v>3</v>
      </c>
      <c r="B6" s="6" t="s">
        <v>152</v>
      </c>
      <c r="C6" s="6" t="s">
        <v>156</v>
      </c>
      <c r="D6" s="5"/>
      <c r="E6" s="5"/>
      <c r="F6" s="5" t="n">
        <v>8</v>
      </c>
      <c r="G6" s="5"/>
      <c r="H6" s="19" t="s">
        <v>154</v>
      </c>
    </row>
    <row r="7" customFormat="false" ht="15" hidden="false" customHeight="false" outlineLevel="0" collapsed="false">
      <c r="A7" s="5" t="n">
        <v>4</v>
      </c>
      <c r="B7" s="6" t="s">
        <v>152</v>
      </c>
      <c r="C7" s="6" t="s">
        <v>157</v>
      </c>
      <c r="D7" s="5"/>
      <c r="E7" s="5"/>
      <c r="F7" s="5" t="n">
        <v>2</v>
      </c>
      <c r="G7" s="5"/>
      <c r="H7" s="19" t="s">
        <v>154</v>
      </c>
    </row>
    <row r="8" customFormat="false" ht="15" hidden="false" customHeight="false" outlineLevel="0" collapsed="false">
      <c r="A8" s="5" t="n">
        <v>5</v>
      </c>
      <c r="B8" s="6" t="s">
        <v>158</v>
      </c>
      <c r="C8" s="6" t="s">
        <v>159</v>
      </c>
      <c r="D8" s="5"/>
      <c r="E8" s="5"/>
      <c r="F8" s="5"/>
      <c r="G8" s="5" t="n">
        <v>70</v>
      </c>
      <c r="H8" s="9" t="s">
        <v>160</v>
      </c>
    </row>
    <row r="9" customFormat="false" ht="15" hidden="false" customHeight="false" outlineLevel="0" collapsed="false">
      <c r="A9" s="5" t="n">
        <v>6</v>
      </c>
      <c r="B9" s="6" t="s">
        <v>158</v>
      </c>
      <c r="C9" s="6" t="s">
        <v>161</v>
      </c>
      <c r="D9" s="5" t="n">
        <v>58</v>
      </c>
      <c r="E9" s="5"/>
      <c r="F9" s="5"/>
      <c r="G9" s="5"/>
      <c r="H9" s="9" t="s">
        <v>162</v>
      </c>
    </row>
    <row r="10" customFormat="false" ht="15" hidden="false" customHeight="false" outlineLevel="0" collapsed="false">
      <c r="A10" s="5" t="n">
        <v>7</v>
      </c>
      <c r="B10" s="6" t="s">
        <v>163</v>
      </c>
      <c r="C10" s="6" t="s">
        <v>164</v>
      </c>
      <c r="D10" s="5"/>
      <c r="E10" s="5"/>
      <c r="F10" s="5" t="n">
        <v>46</v>
      </c>
      <c r="G10" s="5"/>
      <c r="H10" s="19" t="s">
        <v>154</v>
      </c>
    </row>
    <row r="11" customFormat="false" ht="15" hidden="false" customHeight="false" outlineLevel="0" collapsed="false">
      <c r="A11" s="5" t="n">
        <v>8</v>
      </c>
      <c r="B11" s="6" t="s">
        <v>165</v>
      </c>
      <c r="C11" s="6" t="s">
        <v>166</v>
      </c>
      <c r="D11" s="5" t="n">
        <v>3</v>
      </c>
      <c r="E11" s="5"/>
      <c r="F11" s="5" t="n">
        <v>44</v>
      </c>
      <c r="G11" s="5"/>
      <c r="H11" s="9" t="s">
        <v>167</v>
      </c>
    </row>
    <row r="12" customFormat="false" ht="15" hidden="false" customHeight="false" outlineLevel="0" collapsed="false">
      <c r="A12" s="5" t="n">
        <v>9</v>
      </c>
      <c r="B12" s="14" t="s">
        <v>168</v>
      </c>
      <c r="C12" s="6" t="s">
        <v>169</v>
      </c>
      <c r="D12" s="5"/>
      <c r="E12" s="5"/>
      <c r="F12" s="5" t="n">
        <v>8</v>
      </c>
      <c r="G12" s="5"/>
      <c r="H12" s="19" t="s">
        <v>154</v>
      </c>
    </row>
    <row r="13" customFormat="false" ht="15" hidden="false" customHeight="false" outlineLevel="0" collapsed="false">
      <c r="A13" s="5" t="n">
        <v>10</v>
      </c>
      <c r="B13" s="6" t="s">
        <v>170</v>
      </c>
      <c r="C13" s="6" t="s">
        <v>171</v>
      </c>
      <c r="D13" s="5"/>
      <c r="E13" s="5"/>
      <c r="F13" s="5"/>
      <c r="G13" s="5" t="n">
        <v>10</v>
      </c>
      <c r="H13" s="9" t="s">
        <v>172</v>
      </c>
    </row>
    <row r="14" customFormat="false" ht="15" hidden="false" customHeight="false" outlineLevel="0" collapsed="false">
      <c r="A14" s="5" t="n">
        <v>11</v>
      </c>
      <c r="B14" s="6" t="s">
        <v>170</v>
      </c>
      <c r="C14" s="6" t="s">
        <v>173</v>
      </c>
      <c r="D14" s="5"/>
      <c r="E14" s="5"/>
      <c r="F14" s="5"/>
      <c r="G14" s="5" t="n">
        <v>4</v>
      </c>
      <c r="H14" s="9" t="s">
        <v>172</v>
      </c>
    </row>
    <row r="15" customFormat="false" ht="15" hidden="false" customHeight="false" outlineLevel="0" collapsed="false">
      <c r="A15" s="5" t="n">
        <v>12</v>
      </c>
      <c r="B15" s="6" t="s">
        <v>170</v>
      </c>
      <c r="C15" s="6" t="s">
        <v>174</v>
      </c>
      <c r="D15" s="5"/>
      <c r="E15" s="5"/>
      <c r="F15" s="5"/>
      <c r="G15" s="5" t="n">
        <v>2</v>
      </c>
      <c r="H15" s="9" t="s">
        <v>172</v>
      </c>
    </row>
    <row r="16" customFormat="false" ht="15" hidden="false" customHeight="false" outlineLevel="0" collapsed="false">
      <c r="A16" s="5" t="n">
        <v>13</v>
      </c>
      <c r="B16" s="6" t="s">
        <v>170</v>
      </c>
      <c r="C16" s="6" t="s">
        <v>175</v>
      </c>
      <c r="D16" s="5"/>
      <c r="E16" s="5"/>
      <c r="F16" s="5"/>
      <c r="G16" s="5" t="n">
        <v>6</v>
      </c>
      <c r="H16" s="9" t="s">
        <v>172</v>
      </c>
    </row>
    <row r="17" customFormat="false" ht="26.85" hidden="false" customHeight="false" outlineLevel="0" collapsed="false">
      <c r="A17" s="5" t="n">
        <v>14</v>
      </c>
      <c r="B17" s="6" t="s">
        <v>176</v>
      </c>
      <c r="C17" s="6" t="s">
        <v>177</v>
      </c>
      <c r="D17" s="5" t="n">
        <v>41</v>
      </c>
      <c r="E17" s="5"/>
      <c r="F17" s="5"/>
      <c r="G17" s="5"/>
      <c r="H17" s="9" t="s">
        <v>178</v>
      </c>
    </row>
    <row r="18" customFormat="false" ht="15" hidden="false" customHeight="false" outlineLevel="0" collapsed="false">
      <c r="A18" s="5" t="n">
        <v>15</v>
      </c>
      <c r="B18" s="6" t="s">
        <v>179</v>
      </c>
      <c r="C18" s="6" t="s">
        <v>180</v>
      </c>
      <c r="D18" s="5"/>
      <c r="E18" s="5" t="n">
        <v>44</v>
      </c>
      <c r="F18" s="5"/>
      <c r="G18" s="5"/>
      <c r="H18" s="9" t="s">
        <v>181</v>
      </c>
    </row>
    <row r="19" customFormat="false" ht="15" hidden="false" customHeight="true" outlineLevel="0" collapsed="false">
      <c r="A19" s="20" t="s">
        <v>182</v>
      </c>
      <c r="B19" s="21" t="s">
        <v>183</v>
      </c>
      <c r="C19" s="21"/>
      <c r="D19" s="20" t="n">
        <f aca="false">SUM(D4:D18)</f>
        <v>102</v>
      </c>
      <c r="E19" s="20" t="n">
        <f aca="false">SUM(E4:E18)</f>
        <v>44</v>
      </c>
      <c r="F19" s="20" t="n">
        <f aca="false">SUM(F4:F18)</f>
        <v>193</v>
      </c>
      <c r="G19" s="20" t="n">
        <f aca="false">SUM(G4:G18)</f>
        <v>92</v>
      </c>
      <c r="H19" s="22" t="s">
        <v>184</v>
      </c>
    </row>
  </sheetData>
  <mergeCells count="2">
    <mergeCell ref="A1:H1"/>
    <mergeCell ref="B19:C1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1.6" hidden="false" customHeight="true" outlineLevel="0" collapsed="false">
      <c r="A1" s="17" t="s">
        <v>185</v>
      </c>
      <c r="B1" s="17"/>
    </row>
    <row r="3" customFormat="false" ht="30" hidden="false" customHeight="true" outlineLevel="0" collapsed="false">
      <c r="A3" s="23" t="s">
        <v>186</v>
      </c>
      <c r="B3" s="23"/>
    </row>
    <row r="4" customFormat="false" ht="18" hidden="false" customHeight="true" outlineLevel="0" collapsed="false">
      <c r="A4" s="23" t="s">
        <v>187</v>
      </c>
      <c r="B4" s="23"/>
    </row>
    <row r="5" customFormat="false" ht="30" hidden="false" customHeight="true" outlineLevel="0" collapsed="false">
      <c r="A5" s="24" t="s">
        <v>188</v>
      </c>
      <c r="B5" s="24"/>
    </row>
    <row r="6" customFormat="false" ht="30" hidden="false" customHeight="true" outlineLevel="0" collapsed="false">
      <c r="A6" s="24" t="s">
        <v>189</v>
      </c>
      <c r="B6" s="24"/>
    </row>
    <row r="7" customFormat="false" ht="30" hidden="false" customHeight="true" outlineLevel="0" collapsed="false">
      <c r="A7" s="24" t="s">
        <v>190</v>
      </c>
      <c r="B7" s="24"/>
    </row>
    <row r="8" customFormat="false" ht="18" hidden="false" customHeight="true" outlineLevel="0" collapsed="false">
      <c r="A8" s="23" t="s">
        <v>191</v>
      </c>
      <c r="B8" s="23"/>
    </row>
    <row r="9" customFormat="false" ht="30" hidden="false" customHeight="true" outlineLevel="0" collapsed="false">
      <c r="A9" s="24" t="s">
        <v>192</v>
      </c>
      <c r="B9" s="24"/>
    </row>
    <row r="10" customFormat="false" ht="30" hidden="false" customHeight="true" outlineLevel="0" collapsed="false">
      <c r="A10" s="24" t="s">
        <v>193</v>
      </c>
      <c r="B10" s="24"/>
    </row>
    <row r="11" customFormat="false" ht="30" hidden="false" customHeight="true" outlineLevel="0" collapsed="false">
      <c r="A11" s="24" t="s">
        <v>194</v>
      </c>
      <c r="B11" s="24"/>
    </row>
    <row r="12" customFormat="false" ht="30" hidden="false" customHeight="true" outlineLevel="0" collapsed="false">
      <c r="A12" s="24" t="s">
        <v>195</v>
      </c>
      <c r="B12" s="24"/>
    </row>
    <row r="13" customFormat="false" ht="18" hidden="false" customHeight="true" outlineLevel="0" collapsed="false">
      <c r="A13" s="24" t="s">
        <v>196</v>
      </c>
      <c r="B13" s="24"/>
    </row>
    <row r="14" customFormat="false" ht="30" hidden="false" customHeight="true" outlineLevel="0" collapsed="false">
      <c r="A14" s="24" t="s">
        <v>197</v>
      </c>
      <c r="B14" s="24"/>
    </row>
    <row r="15" customFormat="false" ht="18" hidden="false" customHeight="true" outlineLevel="0" collapsed="false">
      <c r="A15" s="23" t="s">
        <v>198</v>
      </c>
      <c r="B15" s="23"/>
    </row>
    <row r="16" customFormat="false" ht="18" hidden="false" customHeight="true" outlineLevel="0" collapsed="false">
      <c r="A16" s="23" t="s">
        <v>199</v>
      </c>
      <c r="B16" s="23"/>
    </row>
  </sheetData>
  <mergeCells count="15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2026-07-13T09:39:45Z</dcterms:created>
  <dc:creator>openpyxl</dc:creator>
  <dc:description/>
  <dc:language>en-US</dc:language>
  <cp:lastModifiedBy/>
  <dcterms:modified xsi:type="dcterms:W3CDTF">2026-07-13T09:39:45Z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