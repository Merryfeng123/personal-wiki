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分项清单" sheetId="8" r:id="rId1"/>
    <sheet name="存储容量设计表" sheetId="9"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<sst xmlns="http://schemas.openxmlformats.org/spreadsheetml/2006/main" count="411" uniqueCount="266">
  <si>
    <t>东明石化-非生产区域视频监控智能化改造-分项报价表</t>
  </si>
  <si>
    <t>序号</t>
  </si>
  <si>
    <t>产品类别</t>
  </si>
  <si>
    <t>品牌</t>
  </si>
  <si>
    <t>规格型号</t>
  </si>
  <si>
    <t>技术规格</t>
  </si>
  <si>
    <t>单位</t>
  </si>
  <si>
    <t>数量</t>
  </si>
  <si>
    <t>用途</t>
  </si>
  <si>
    <t>用量计算</t>
  </si>
  <si>
    <t>说明</t>
  </si>
  <si>
    <t>一、前端采集设备</t>
  </si>
  <si>
    <t>智能警戒网络摄像机</t>
  </si>
  <si>
    <t>海康威视</t>
  </si>
  <si>
    <t>DS-2CD2T48PZA4-LHC</t>
  </si>
  <si>
    <t>400万定焦智能筒型网络摄像机
最高分辨率可达2688 × 1520 @25 fps，在该分辨率下可输出实时图像
支持背光补偿，强光抑制，3D数字降噪，数字宽动态，适应不同环境
支持白光/红外双补光，红外光最远可达50 m，白光最远可达30 m
支持开放型网络视频接口，ISAPI，SDK，GB28181，萤石云协议接入
支持多种事件检测和异常侦测，支持智能警戒，支持联动声音报警
支持H.265/H.264 视频压缩算法，支持多级别视频质量配置、编码复杂度设置
支持ROI感兴趣区域增强编码，支持Smart265/264编码，可根据场景情况自适应调整码率分配，有效节省存储成本
1个内置麦克风，1个内置扬声器，支持双向语音对讲
符合IP67防尘防水设计，可靠性高
传感器类型：1/3" Progressive Scan CMOS
最低照度：彩色：0.005 Lux @（F1.2，AGC ON），0 Lux with Light
宽动态：120 dB 
焦距&amp;视场角：4 mm，水平视场角：83.7°，垂直视场角：43°，对角视场角：100.3°
6 mm，水平视场角：51.8°，垂直视场角：27.9°，对角视场角：60.5°
8 mm，水平视场角：39.4°，垂直视场角：21.8°，对角视场角：45.7° 
补光灯类型：支持白光，红外补光
补光距离：红外光最远可达50 m，白光最远可达30 m
红外波长范围：850 nm 
最大分辨率：2688 × 1520
视频压缩标准：主码流：H.265/H.264
子码流：H.265/H.264/MJPEG
第三码流：H.265/H.264 
内置麦克风：1个内置麦克风
内置扬声器：1个内置扬声器
网络：1个RJ45 10 M/100 M自适应以太网口 
联动方式：上传FTP/NAS，上传中心，邮件，录像，抓图，报警输出，声音报警
供电方式：DC：12 V ± 25%，支持防反接保护
PoE：IEEE 802.3af，CLASS 3
电流及功耗：DC：12 V，0.84 A，最大功耗：10 W
PoE：IEEE 802.3af，CLASS 3， 最大功耗：12 W
电源接口类型：Ø5.5 mm圆口
防护：IP67</t>
  </si>
  <si>
    <t>台</t>
  </si>
  <si>
    <t>公共工程公司-华汪围墙58台</t>
  </si>
  <si>
    <t>依据项目实施方案要求，数量61台</t>
  </si>
  <si>
    <t>周界补盲</t>
  </si>
  <si>
    <t>东明港运公司（围墙/重点设备）3台；</t>
  </si>
  <si>
    <t>重点部位补盲</t>
  </si>
  <si>
    <t>星光网络摄像机</t>
  </si>
  <si>
    <t>DS-2CD2T48PZSV3-LHT</t>
  </si>
  <si>
    <t>400万白光全彩筒型网络摄像机
自研AI-ISP图像处理引擎，最高分辨率可达2688 × 1520 @25 fps
支持Smart侦测：场景变更侦测，虚焦侦测，区域入侵侦测 ，越界侦测，进入区域侦测，离开区域侦测，物品遗留侦测，物品拿取侦测，徘徊侦测，停车侦测，人员聚集侦测，快速移动侦测，音频异常侦测，音频陡升侦测，音频陡降侦测
支持背光补偿，强光抑制，3D数字降噪，120 dB宽动态
内置麦克风和喇叭，支持双向语音对讲
支持白光/红外双补光，红外光最远可达50 m，暖光最远可达30 m
符合IP66防尘防水设计，可靠性高
自研观澜编码Lite，省存储，画质稳
传感器类型：1/2.4" Progressive Scan CMOS
最低照度：彩色：0.005 Lux
宽动态：120 dB 
焦距&amp;视场角：4 mm，水平视场角：83°，垂直视场角：44°，对角视场角：99°
6 mm，水平视场角：51°，垂直视场角：27°，对角视场角：60°
8 mm，水平视场角：39°，垂直视场角：21°，对角视场角：46° 
补光灯类型：白光灯，红外灯
补光距离：红外光最远可达50 m，白光最远可达30 m
防补光过曝：支持
红外波长范围：850 nm 
最大分辨率：2688 × 1520 
网络：1个RJ45 10 M/100 M自适应以太网口
音频：1个内置麦克风
1个内置扬声器 
恢复出厂设置：支持客户端或浏览器恢复
电流及功耗：DC：12 V，0.84A，最大功耗：10 W
PoE：IEEE 802.3af，CLASS 3，最大功耗：12 W
供电方式：DC：12 V ± 25%，支持防反接保护
PoE：IEEE 802.3af，CLASS 3
电源接口类型：Ø5.5 mm圆口 
防护：IP66</t>
  </si>
  <si>
    <t>润华实业各门岗</t>
  </si>
  <si>
    <t>依据项目实施方案要求，数量62台</t>
  </si>
  <si>
    <t>门岗补盲</t>
  </si>
  <si>
    <t>各区域老旧点位更换</t>
  </si>
  <si>
    <t>依据项目实施方案要求，数量63台</t>
  </si>
  <si>
    <t>二、智能分析设备</t>
  </si>
  <si>
    <t>周界算法服务器</t>
  </si>
  <si>
    <t>iDS-8664NX-I9/X</t>
  </si>
  <si>
    <t>2U机架式9盘位嵌入式边缘计算主机，采用存算一体架构，内置高性能AI处理器
【硬件规格】
存储接口：9个SATA接口，支持硬盘热插拔，可满配16TB硬盘
视频接口：2×HDMI，2×VGA
网络接口：2×RJ45 10/100/1000Mbps自适应以太网口
报警接口：16路报警输入，4路报警输出
串行接口：1路RS-232接口，1路全双工RS-485接口
USB接口：2×USB 2.0，2×USB 3.0
扩展接口：1×eSATA
【产品性能】
输入带宽：384Mbps
输出带宽：256Mbps
接入能力：64路H.264、H.265格式高清码流接入
解码能力：最大支持32×1080P
显示能力：最大支持8K+1080P、2×4K异源输出
RAID模式：RAID0、RAID1、RAID5、RAID6、RAID10，支持全局热备盘
【智能模式】
产品具备两种工作模式，整机搭载2颗AI引擎，可灵活应对不同的应用需求
模式一：文搜模式（默认）
1颗文搜引擎，1颗以图搜图引擎
模式二：非文搜模式（通用智能分析）
2颗引擎均可独立配置（6选1）：目标识别、周界防范、周界大模型二次分析、视频结构化、以图搜图、高空抛物</t>
  </si>
  <si>
    <t>对193台普通摄像机进行视频流分析，实现周界入侵、越界报警功能。预留10%扩容空间</t>
  </si>
  <si>
    <t>前海化工58台、洁源环保 27台、防腐厂46台、东明港运44台、万海氯碱8台、PO/SM 8台、万海（LNG）2台</t>
  </si>
  <si>
    <t>iDS-96256NX-H24R</t>
  </si>
  <si>
    <t>4U标准机架式24盘位边缘计算主机，整机采用无线缆模块化设计，1+1冗余电源，1+1冗余风扇，支持前置硬盘热插拔
存储接口：24个SATA口，支持满配20TB硬盘（总容量可达480TB)
视频接口：2个HDMI接口、1个VGA接口、2个DP接口、2个V-DP接口，支持8K和4K模式
网络接口：4个10M/100M/1000M/2.5Gbps网口
USB接口：2个USB2.0接口、4个USB3.0接口
音频接口：1路音频输入、1路音频输出
报警接口：16路报警输入，8路报警输出
串行接口：1路全双工485接口 ，1路标准RS-232接口
扩展接口：1个eSATA接口
【产品性能】
输入带宽：1Gbps
输出带宽：768Mbps
接入能力：256路H.264、H.265格式高清码流接入
解码能力：最大支持32×1080P
RAID模式：RAID0、RAID1、RAID5、RAID6、RAID10，支持全局热备盘
【智能模式】
产品具备两种工作模式，整机搭载18颗AI引擎，可灵活应对不同的应用需求
模式一：文搜模式（默认） 
4颗文搜引擎，2颗以图搜图引擎，12颗引擎可独立配置（6选1）：目标识别、周界防范、周界大模型二次分析、视频结构化、以图搜图、高空抛物
模式二：非文搜模式（通用智能分析）
18颗通用引擎均可独立配置（6选1）：目标识别、周界防范、周界大模型二次分析、视频结构化、以图搜图、高空抛物</t>
  </si>
  <si>
    <t>AI行为分析算法授权</t>
  </si>
  <si>
    <t>配套</t>
  </si>
  <si>
    <t>周界入侵、越线报警等行为分析算法，按路授权，报警统一接入平台</t>
  </si>
  <si>
    <t>路</t>
  </si>
  <si>
    <t>三、平台与软件</t>
  </si>
  <si>
    <t>平台管理服务器</t>
  </si>
  <si>
    <t>DS-VM22R-CL/R2/PH2044</t>
  </si>
  <si>
    <t>H系列双路通用服务器
技术规格：2U海光3000双路标准机架式服务器
CPU：配置2颗 C86架构HYGON 3350处理器，单处理器物理核心数≥8核，主频≥3.0 GHz，末级缓存容量≥16 MB，线程数≥16线程，支持内存的最高速率≥3200 MHz，通道数≥2，位宽≥64；
内存：配置128G DDR4，8根内存插槽，最大可支持扩展至1TB；
硬盘：配置2块600G 10K SAS HDD硬盘，前置最大可选支持12块3.5寸(兼容2.5寸)热插拔SATA/SAS硬盘，后置最大可选支持2块2.5寸热插拔SATA/SAS硬盘，内置最大可选支持2块2.5寸非热插拔SATA SSD硬盘，板载最大可选支持1个SATA M.2硬盘；
阵列卡：配置SAS_HBA卡（支持RAID 0/1/10）；
PCIE扩展：最大支持4个标准PCIE插槽；
网口：标配板载2个千兆电口，支持选配10GbE/25GbE SFP+等多种网络接口；
其他接口：标配1个IPMI RJ-45管理接口，位于机箱后部；7个USB 3.0接口 4个位于机箱后部，2个位于机箱前部，1个位于机箱内部；2个VGA接口 1个位于机箱前部，1个位于机箱后部；
电源：配置550W（1+1）高效铂金CRPS冗余电源；</t>
  </si>
  <si>
    <t>用于安装综合安防管理平台</t>
  </si>
  <si>
    <t>依据项目实施方案要求</t>
  </si>
  <si>
    <t>流媒体服务器</t>
  </si>
  <si>
    <t>DS-VM21R-C/Edge/4016</t>
  </si>
  <si>
    <t>H系列单路边缘服务器
技术规格：技术规格：2U单路标准机架式服务器
CPU：配置1颗 C86架构HYGON 3350处理器，核数≥8核，频率≥3.0GHz，末级缓存容量≥16 MB，线程数≥16线程，支持内存的最高速率≥3200 MHz，通道数≥2，位宽≥64，热设计功耗≥65W；
内存：配置64G DDR4，4根内存插槽，最大支持扩展至256GB
硬盘：配置2块600GB 10K 2.5英寸 SAS盘，最高支持前置3块3.5寸（兼容2.5寸）+后置4块2.5寸热插拔SATA/SAS硬盘
阵列卡：配置1块SAS_HBA卡，(支持RAID 0/1/10)
PCIE扩展：支持4个PCIE插槽
网口：板载2个千兆电口，支持选配10GbE、25GbE SFP+等多种网络接口
其他接口：1个千兆RJ-45管理接口，7个USB 3.0接口，6个位于机箱前部，1个位于机箱内部，2个VGA口，位于机箱前部
电源：配置360W高效单电源
机箱规格：445mm(宽)x 87.5mm(高)x451mm(深)-不含箱耳
设备重量：约15KG（不含导轨）</t>
  </si>
  <si>
    <t>视频转发核心，负责视频流接收、分发与代理转发，解决多路并发预览、回放的带宽压力，实现多终端同时访问监控画面。</t>
  </si>
  <si>
    <t>综合安防管理平台</t>
  </si>
  <si>
    <t>iVMS-6988 PHISC</t>
  </si>
  <si>
    <t>3000路视频监控授权；视频监控应用提供视频管理服务，支持编码设备通过海康设备网络SDK协议、海康Ehome协议、海康ISUP5.0协议、GB28181协议、ONVIF协议、大华设备网络SDK协议、萤石协议接入平台，实现视频预览、录像回放、视频上墙、视频事件监控服务能力，并且在网络带宽不足、有流量限制的网络环境下可以通过以图片替代视频的模式提供监控服务。
【功能介绍】
一、视频预览
1、支持视频实时预览能力，实现预览窗口布局切换、预览画面自适应及全屏切换；
2、支持云台控制、实时抓图、紧急录像、即时回放、主子码流切换、声音开启\关闭、辅屏预览（1个辅屏）、对讲、广播、报警输出控制的能力；
3、支持智能规则展示的能力（如：针对热成像设备温度信息实时展示）；
4、支持资源视图管理能力，以视图形式管理监控点、视频预览轮巡等自定义资源组，其中视图类型包含公有视图和私有视图；
5、支持全景视频监控预览能力，支持球型鹰眼、全景摄像机的全景模式；
二、录像回放
1、支持录像计划管理能力，支持实时录像计划、录像回传计划；
2、支持录像回放能力，支持多画面同步回放和异步回放切换、超高倍速回放、分段回放、录像下载、录像剪辑、录像标签、录像锁定、录像抓图；
三、图片监控
1、支持视频预览与图片实时监控模式切换能力，实现图片监控模式；
2、支持图片查询回放能力，实现按监控点、时间段展示抓拍图片；
3、支持图片自动播放能力，支持图片自动播放速度可设置；
4、支持图片下载能力；
四、视频上墙
1、支持电视墙场景管理能力，实现场景窗口配置、场景切换计划配置以及轮巡计划的管理；
2、支持上墙控制能力，实现场景一键上墙、场景切换、电视墙切换、监控点上下墙、轮巡控制操作；
五、视频事件
1、支持视频事件布撤防能力，可按计划模版进行布防，事件类型包括移动侦测、视频丢失、视频遮挡、报警输入、报警输出；
六、事件录像管理
支持事件录像存储配置、事件录像检索和下载管理。
【规格参数】
1、支持监控点数量10W个（本次部署3000路授权）；
2、支持并发取流带宽2000M，例如以2M/路计算最大并发路数为1000路 （以千兆服务器为例，每台服务器并发取流带宽为600M，超过600M需要分布式部署）；
3、解码能力：在i7、GTX1070的PC上，解码H264、720P的视频36路；
4、支持电视墙最大场景数128个；
5、单个电视墙最大支持数量25*25个；
6、单个窗口最大分割数量16个。</t>
  </si>
  <si>
    <t>套</t>
  </si>
  <si>
    <t>实现设备集中运维、安防事件联动预警、可视化调度与处置。</t>
  </si>
  <si>
    <t>3000路平台视频授权，依据项目实施方案要求</t>
  </si>
  <si>
    <t>时钟校准服务器</t>
  </si>
  <si>
    <t>DS-VEN11H-NTP/PH4077</t>
  </si>
  <si>
    <t>接口：(晶振+BD +NTP+1*1路IPPS+RS485×5+光口×4+1000Mbps×4×2)/1U
通用款，该板卡配置推荐前端接入规模40000路以内
【晶振款】
产品特点：
支持北斗、上级NTP；（选配支持CDMA校时）
支持多网域校时
支持双机热备、级联方案
处理器：嵌入式ARM处理器
同步精度：卫星同步精度&lt;20ns
存储：512M
守时精度：≤28us
跟踪通道数：32
捕获通道数：128
冷启动捕获灵敏度：-148dBm
热启动捕获灵敏度：-156dBm
热启动时间＜2min；冷启动时间＜20min
授时容量： 10000次/每秒（单千兆网口）
授时精度：≤5us
授时频段：北斗: 1561.098±2.046MHz
接口（4个可插拔模块化输出卡）
NTP输出卡1（RJ45）：NTP1~NTP4，支持端口、双卡绑定
NTP输出卡2（RJ45）：NTP5~NTP8，支持端口、双卡绑定
光输出卡1（ST）：1-4路
RS422/485输出卡1：1-5路
网络管理端口（RJ45）：管理口
NTP输入端口（RJ45）:NTP INP
PPS授时端口（SMA）：1PPS
10M授时端口（SMA）：10MHZ
串行管理端口（RS232）：串口
1路BD线接口 （支持选配2路）
软件功能：
支持web管理、设备级联、双机热备、双卡绑定、用户列表、告警等功能</t>
  </si>
  <si>
    <t>为监控系统内摄像头、平台、存储等所有设备统一提供标准时间校准，保证录像、报警日志时间一致，便于事后事件溯源取证。</t>
  </si>
  <si>
    <t>支持前端接入规模4万路</t>
  </si>
  <si>
    <t>四、存储设备</t>
  </si>
  <si>
    <t>网络硬盘录像机</t>
  </si>
  <si>
    <t>DS-7604N-F1-V3</t>
  </si>
  <si>
    <t>1盘位嵌入式网络硬盘录像机
【硬件规格】
存储接口：1个SATA接口，可满配6TB硬盘
视频接口：1×HDMI，1×VGA
网络接口：1×RJ45 10/100Mbps自适应以太网口
USB接口：2×USB 2.0
【产品性能】
输入带宽：40Mbps
输出带宽：60Mbps
接入能力：4路H.264、H.265格式高清码流接入
解码能力：最大支持6×1080P
显示能力：最大支持1080P输出</t>
  </si>
  <si>
    <t>前端摄像机存储扩容</t>
  </si>
  <si>
    <t>详见“存储容量设计表”</t>
  </si>
  <si>
    <t>DS-8616N-E8-V3</t>
  </si>
  <si>
    <t>1.5U机架式8盘位嵌入式网络硬盘录像机，采用短机箱设计，搭载高性能ATX电源
【硬件规格】
存储接口：8个SATA接口，可满配8TB硬盘
视频接口：1×HDMI，1×VGA
网络接口：2×RJ45 10/100/1000Mbps自适应以太网口
报警接口：16路报警输入，4路报警输出
串行接口：1路RS-232接口，1路半双工RS-485接口
USB接口：3×USB 2.0
【产品性能】
输入带宽：160Mbps
输出带宽：80Mbps
接入能力：16路H.264、H.265格式高清码流接入
解码能力：最大支持8×1080P
显示能力：最大支持4K输出</t>
  </si>
  <si>
    <t>DS-8632N-E8-V3</t>
  </si>
  <si>
    <t>1.5U机架式8盘位嵌入式网络硬盘录像机，采用短机箱设计，搭载高性能ATX电源
【硬件规格】
存储接口：8个SATA接口，可满配8TB硬盘
视频接口：1×HDMI，1×VGA
网络接口：2×RJ45 10/100/1000Mbps自适应以太网口
报警接口：16路报警输入，4路报警输出
串行接口：1路RS-232接口，1路半双工RS-485接口
USB接口：3×USB 2.0
【产品性能】
输入带宽：160Mbps
输出带宽：80Mbps
接入能力：32路H.264、H.265格式高清码流接入
解码能力：最大支持8×1080P
显示能力：最大支持4K输出</t>
  </si>
  <si>
    <t>DS-8632N-K16-V3</t>
  </si>
  <si>
    <t>3U机架式16盘位嵌入式网络硬盘录像机，采用短机箱设计，搭载高性能ATX电源
【硬件规格】
存储接口：16个SATA接口，可满配12TB硬盘
视频接口：2×HDMI，2×VGA
网络接口：2×RJ45 10/100/1000Mbps自适应以太网口
报警接口：16路报警输入，4路报警输出
串行接口：1路RS-232接口，2路半双工RS-485接口
USB接口：2×USB 2.0，1×USB 3.0
【产品性能】
输入带宽：256Mbps
输出带宽：160Mbps
接入能力：32路H.264、H.265格式高清码流接入
解码能力：最大支持24×1080P
显示能力：最大支持4K+1080P异源输出</t>
  </si>
  <si>
    <t>DS-8664N-K16-V3</t>
  </si>
  <si>
    <t>3U机架式16盘位嵌入式网络硬盘录像机，采用短机箱设计，搭载高性能ATX电源
【硬件规格】
存储接口：16个SATA接口，可满配12TB硬盘
视频接口：2×HDMI，2×VGA
网络接口：2×RJ45 10/100/1000Mbps自适应以太网口
报警接口：16路报警输入，4路报警输出
串行接口：1路RS-232接口，2路半双工RS-485接口
USB接口：2×USB 2.0，1×USB 3.0
【产品性能】
输入带宽：320Mbps
输出带宽：160Mbps
接入能力：64路H.264、H.265格式高清码流接入
解码能力：最大支持16×1080P
显示能力：最大支持4K+1080P异源输出</t>
  </si>
  <si>
    <t>DS-95100N-HS24R-V2</t>
  </si>
  <si>
    <t>4U机架式24盘位网络硬盘录像机，整机采用短机箱设计，搭载1+1冗余电源
【硬件规格】
存储接口：24个SATA接口，支持硬盘热插拔，可满配20TB硬盘
视频接口：2×HDMI
网络接口：4×RJ45 2.5Gbps电口
报警接口：16路报警输入，8路报警输出
串行接口：1路RS-232接口
USB接口：2×USB 2.0，4×USB 3.0
【产品性能】
输入带宽：800Mbps（开启RAID后带宽为512Mbps）
输出带宽：800Mbps（开启RAID后带宽为512Mbps）
接入能力：100路H.264、H.265格式高清码流接入
解码能力：最大支持16×1080P
显示能力：最大支持双4K异源输出
RAID模式：RAID0、RAID1、RAID5、RAID6、RAID10，支持全局热备盘</t>
  </si>
  <si>
    <t>DS-95200N-HS24R-V2</t>
  </si>
  <si>
    <t>4U机架式24盘位网络硬盘录像机，整机采用短机箱设计，搭载1+1冗余电源
【硬件规格】
存储接口：24个SATA接口，支持硬盘热插拔，可满配20TB硬盘
视频接口：2×HDMI
网络接口：4×RJ45 2.5Gbps电口
报警接口：16路报警输入，8路报警输出
串行接口：1路RS-232接口
USB接口：2×USB 2.0，4×USB 3.0
【产品性能】
输入带宽：1280Mbps（开启RAID后带宽为800Mbps）
输出带宽：1280Mbps（开启RAID后带宽为800Mbps）
接入能力：200路H.264、H.265格式高清码流接入
解码能力：最大支持16×1080P
显示能力：最大支持双4K异源输出
RAID模式：RAID0、RAID1、RAID5、RAID6、RAID10，支持全局热备盘</t>
  </si>
  <si>
    <t>监控存储硬盘</t>
  </si>
  <si>
    <t>西数/希捷</t>
  </si>
  <si>
    <t>4T</t>
  </si>
  <si>
    <t>4TB容量，3.5英寸，SATA3.0接口</t>
  </si>
  <si>
    <t>块</t>
  </si>
  <si>
    <t>总存储容量1400T，满足招标文件对存储容量及存储90天的要求</t>
  </si>
  <si>
    <t>6T</t>
  </si>
  <si>
    <t>6TB容量，3.5英寸，SATA3.0接口</t>
  </si>
  <si>
    <t>8T</t>
  </si>
  <si>
    <t>8TB容量，3.5英寸，SATA3.0接口</t>
  </si>
  <si>
    <t>12T</t>
  </si>
  <si>
    <t>12TB容量，3.5英寸，SATA3.0接口</t>
  </si>
  <si>
    <t>20T</t>
  </si>
  <si>
    <t>20TB容量，3.5英寸，SATA3.0接口</t>
  </si>
  <si>
    <t>五、网络传输设备</t>
  </si>
  <si>
    <t>框式核心交换机（双主控+双电源，48口万兆光+48口千兆电）</t>
  </si>
  <si>
    <t>DS-3E7803</t>
  </si>
  <si>
    <t>槽位数量：5
交换容量：68.2Tbps/307.2Tbps
包转发率：51200Mpps 
可靠性：支持主控板1+1冗余备份、电源1+1冗余备份
所有单板支持热插拔
支持IRF2技术，就是把多台物理设备互相连接起来，使其虚拟为一台逻辑设备，用户可以将这多台设备看成一台单一设备进行管理和使用。
支持Multi-VRF特性，可以作为MCE设备使用；支持三层的MPLS VPN和二层的MPLS VPN（Martini、Kompella）；支持MPLS OAM特性，方便用户的管理和维护
支持VPLS，VLL，还支持分层VPLS以及QINQ+VPLS接入方式，提供端到端2层VPN接入方案，支持MPLS/VPLS全线速转发，满足VPLS规模部署要求
支持IPv4/IPv6双协议栈,支持多种隧道技术，支持IPv4/IPv6的组播技术，为用户提供完善的IPv4/IPv6解决方案
提供完善的安全防护机制，可从控制、管理、转发三平面全面保障网络的安全：在控制平面，内置协议报文攻击识别模块，防止TCN、ARP等协议报文攻击，OSPF/BGP/IS-IS路由协议采用MD5验证，防止非法路由更新报文导致的网络瘫痪；在管理平面，SNMPv3网管协议，SSH V2，基于802.1x、AAA/Radius的用户身份认证以及分级的用户权限管理保证了设备管理的安全性
支持强大的ACL能力：支持标准和扩展ACL；支持基于VLAN的ACL，方便用户配置，节省ACL资源；支持出方向和入方向的ACL，满足金融等行业访问权限严格控制的需求
采用无单点故障设计，所有关键部件，如主控板、电源和风扇等采用冗余设计；无源背板避免了机箱出现单点故障；所有单板和电源模块支持热插拔功能；设备可以在恶劣的环境下长时间稳定运行，达到99.999%的电信级可靠性
支持RRPP环网技术
交换方式：存储转发
QoS：支持流量整形（Traffic Shaping）
支持802.1P/DSCP优先级Mark/Remark
支持层次化QoS（H-QoS），支持三级队列调度
支持队列调度机制，包括SP、WRR、SP+WRR、CBWFQ
支持拥塞避免机制，包括Tail-Drop、WRED
支持 Mirroring
VLAN：支持基于端口、协议、子网和MAC的VLAN划分
支持SuperVLAN、PVLAN
支持Multicast VLAN+
全部依靠VLAN-ID进行转发，不涉及MAC地址学习
支持VLAN MAPING/灵活QinQ
STP：支持STP/MSTP/RSTP
组播：支持IGMPv1/v2/v3 、IGMPv1/v2/v3 Snooping
支持IGMP Filter、IGMP Fast leave
支持PIM-SM/PIM-DM/PIM-SSM
支持MSDP
支持AnyCast-RP
支持MLDv2/MLDv2 Snooping
支持PIM-SMv6、PIM-DMv6、PIM-SSMv6
环网协议：支持RRPP、ERPS
安全特性：支持Portal认证、MAC认证、IEEE 802.1x认证和IEEE 802.1x SERVER
支持AAA/Radius
支持SSHv1.5/SSHv2
支持ACL流过滤机制
支持OSPF、RIPv2 及BGPv4 报文的明文及MD5密文认证
支持命令行采用分级保护方式，防止未授权用户的非法侵入，为不同级别的用户有不同的配置权限
支持受限的IP地址的Telnet的登录和口令机制
支持IP地址、VLAN ID、MAC地址和端口等多种组合绑定
支持uRPF
支持主备数据备份机制
支持故障后报警和自恢复
管理维护：支持FTP、TFTP、Xmodem
支持SNMP v1/v2/v3
支持sFlow流量统计
支持RMON
支持NTP时钟
支持设备在线状态监测机制，实现对包括主控引擎，背板和存储等关键元器件进行检测
IPV4路由：支持ARP Proxy、DHCP Relay、DHCP Server、静态路由、RIPv1/v2、OSPFv2、IS-IS、BGPv4
支持等价路由、策略路由、路由策略
IPV6路由：支持ICMPv6、ICMPv6重定向、DHCPv6、ACLv6、OSPFv3、RIPng、BGP4+、IS-ISv6
支持手工隧道、ISATAP、6to4隧道、IPv6和IPv4双栈
ACL：支持标准和扩展ACL
支持基于VLAN的ACL
支持Ingress/Egress ACL、Ingress/Egress CAR，粒度可达8Kbps
支持两级Meter能力
支持VLAN聚合CAR，MAC聚合CAR功能
报文抑制：支持端口广播/多播/未知单播风暴抑制
虚拟化：支持虚拟化
NTP：支持NTP时钟
DHCP：支持DHCP
MPLS：支持L3 MPLS VPN
支持L2 VPN: VPLS、VLL (Martini, Kompella)
支持MCE
支持MPLS OAM
支持分层VPLS，以及QinQ+VPLS接入
支持P/PE功能
支持LDP协议 
支持VRRP 
支持Ethernet OAM（802.1ag和802.3ah）
支持MAC Tracert
支持RRPP、ERPS
支持Graceful Restart for OSPF/BGP/IS-IS
支持DLDP
支持VCT
支持Smart-Link
支持热补丁</t>
  </si>
  <si>
    <t>安装在集团机房，作为整个监控网络的核心枢纽，汇聚所有区域汇聚交换机的数据流量，完成跨区域数据交换，对接平台、存储及服务器设备，实现整套安防系统的数据互通。</t>
  </si>
  <si>
    <t>端口配置：选用框式核心交换机，板卡配置48口万兆光口+48口千兆电口光电板卡，预留充足端口资源，满足后期新增业务设备扩容接入需求。；
可靠性冗余：核心交换机采用双主控、双电源冗余架构，消除单点故障，保障设备7×24小时持续稳定运行。
设备性能：考虑项目内部分原有摄像机为后端集中存储架构，存在持续性视频码流转发压力；同时新建3000路监控需承载实时预览、流媒体转发、智能分析事件上报等业务。因此本次核心交换机选用高性能设备，配置充足交换容量68.2Tbps/307.2Tbps、包转发率51200Mpps及光/电端口资源，预留性能余量，</t>
  </si>
  <si>
    <t>园区汇聚交换机（12千兆电+12千兆光+4万兆光）</t>
  </si>
  <si>
    <t>DS-3E3728TF-12GT12GF4XF-S</t>
  </si>
  <si>
    <t>三层千兆交换机（12千兆电，12千兆光，4万兆光）
 提供12个千兆电口，12个千兆光口，4个万兆光口
支持策略路由、RIP、OSPF、BGP、IS-IS等三层路由协议
支持iVMS-4200客户端和海康互联APP管理
支持统一网络管理平台管理
支持DHCP Server、DHCP Relay、DHCP Snooping
支持SP、WRR、SP+WRR等队列调度方式
支持IEEE 802.1x认证、Radius、Tacacs+认证
支持10 kV端口防雷，在恶劣的工作环境中也能极大地降低雷击对设备的损坏率
端口：12个千兆电口,12个千兆光口,4个万兆光口
交换容量：598 Gbps
包转发率：144 Mpps
MAC地址容量：16 K
缓存：12 Mbits 
链路聚合：支持静态聚合
支持动态聚合LACP
VLAN：支持基于端口的VLAN</t>
  </si>
  <si>
    <t>汇聚各区域前端监控设备的数据，统一上传至中心核心交换机，实现本区域监控流量集中转发与层级组网。</t>
  </si>
  <si>
    <t>每个区域部署1台，前端共20个区域</t>
  </si>
  <si>
    <t>万兆光模块</t>
  </si>
  <si>
    <t>HK-SFP+-10G-10-1310-DF</t>
  </si>
  <si>
    <t>万兆单模双纤模块</t>
  </si>
  <si>
    <t>个</t>
  </si>
  <si>
    <t>万兆数据传输</t>
  </si>
  <si>
    <t>每台汇聚交换机上联口配置1个万兆光模块，共计20个，核心交换机20个；防火墙2个；平台服务器2个；</t>
  </si>
  <si>
    <t>8口POE交换机</t>
  </si>
  <si>
    <t>DS-3E1510PT-S</t>
  </si>
  <si>
    <t>轻网管千兆POE交换机（8千兆PoE，2千兆电）
提供8个千兆PoE电口，2个千兆电口
线速转发、无阻塞设计
千兆网络接入设计
存储转发交换方式
坚固式高强度金属外壳
支持PoE输出功率管理
安装方式：桌面式可壁挂
供电方式：DC供电：54 V, 2.22 A（适配器供电）
风扇：无风扇
整机功耗：≤ 120 W
浪涌防护：支持6 kV防浪涌
平均无故障工作时间（MTBF）：100000小时   
端口：8个千兆PoE电口,2个千兆电口
交换容量：26 Gbps
包转发率：19.34 Mpps
MAC地址容量：16 K
缓存：8.4 Mbits 
DHCP：支持DHCP Client
支持DHCP Snooping
Super IP：10.180.190.200</t>
  </si>
  <si>
    <t>华汪围墙、港运公司前端摄像机接入</t>
  </si>
  <si>
    <t>华汪围墙、港运公司</t>
  </si>
  <si>
    <t>4口POE交换机</t>
  </si>
  <si>
    <t>DS-3E0105P-S(D)</t>
  </si>
  <si>
    <t>全百兆POE交换机（4百兆POE电，1百兆电）
提供 4 个百兆 PoE 电口，1 个百兆网络电口
支持 IEEE 802.3at/af
支持红口保障
支持远距离传输
支持 6 kV 防浪涌（PoE 口）
支持 PoE 输出功率管理
百兆网络接入设计
线速转发、无阻塞设计
存储转发交换方式
坚固式高强度金属外壳
无风扇设计，高可靠性
供电方式：DC 54 V, 1.2 A
红口：端口 1~2
风扇：无风扇
整机功耗：≤65 W
浪涌防护：6 kV 
端口规格：4 个百兆 PoE 电口，1 个百兆电口
交换方式：存储转发 
PoE标准：IEEE 802.3af，IEEE 802.3at
供电线芯：支持 4 芯供电，网线的 1/2/3/6 供电
PoE端口：端口 1~4
端口最大供电功率：30 W
整机最大供电功率：60 W
PoE远距离：端口 1~4 
交换容量：1 Gbps
包转发率：0.744 Mpps
MAC地址容量：2 K
缓存：768 Kbits</t>
  </si>
  <si>
    <t>门岗前端摄像机接入</t>
  </si>
  <si>
    <t>41个门岗</t>
  </si>
  <si>
    <t>无线网桥</t>
  </si>
  <si>
    <t>室外百兆-3千米</t>
  </si>
  <si>
    <t>室外远距离监控摄像头无线网桥 5GHz</t>
  </si>
  <si>
    <t>对</t>
  </si>
  <si>
    <t>室外光缆</t>
  </si>
  <si>
    <t>国产</t>
  </si>
  <si>
    <t>12芯</t>
  </si>
  <si>
    <t>12芯单模光缆</t>
  </si>
  <si>
    <t>米</t>
  </si>
  <si>
    <t>新增监控布线及其他未联通网络互联</t>
  </si>
  <si>
    <t>根据现场情况估算</t>
  </si>
  <si>
    <t>光缆熔接/尾纤/光纤配线架</t>
  </si>
  <si>
    <t>优质</t>
  </si>
  <si>
    <t>含熔接、尾纤、配线架及跳纤等</t>
  </si>
  <si>
    <t>项</t>
  </si>
  <si>
    <t>与光纤配套</t>
  </si>
  <si>
    <t>防火墙（含3年功能授权，包含入侵防御、病毒防护、URL过滤、应用识别功能）含万兆光口</t>
  </si>
  <si>
    <t>DS-SG100-M290/3Y</t>
  </si>
  <si>
    <t>下一代防火墙
【一】精细化的多维管控
（1）支持丰富的用户认证方式，包括TACACS+、RADIUS、LDAP 等外部服务器用户认证，以及本地认证、Web认证、802.1x认证等。
（2）支持针对用户实施精细化的访问控制、应用限制、带宽保证等管控手段。
（3）支持深度应用识别技术，可根据协议特征、行为特征及关联分析等准确识别数千种网络应用，为用户提供包括应用类别、应用风险等级、所用技术、应用特征分布等多维可视化信息。
（4）支持根据应用类型进行策略阻止、会话限制、流量管控、应用引流或时间限制等操作。
（5）支持针对SSL加密流量进行解密并对解密后的流量进行应用识别，支持对SSL解密流量开启安全防护功能，如IPS、AV、URL过滤、数据安全防护等功能。
（6）支持近百种主流文件类型的特征码及后缀名双重识别，并支持基于文件类型、文件大小、文件名称进行数据传输安全控制。
【二】协议识别与控制功能
（1）支持基于协议的访问控制，能够实现用户自定义安全策略，其控制条件可以是IP地址、端口、协议类型和时间的组合。
（2）支持GB/T28181、GB35114及主流安防厂商视频私有协议的识别，支持对采用非GB/T28181、GB35114的终端进行阻断，并产生告警日志。
（3）支持识别SIP、RTSP及ONVIF等协议并能制定协议过滤规则。
【三】全面的威胁检测与安全防护
（1）支持对ARP欺骗、IP地址欺骗、IP地址扫描、端口扫描攻击的防护，并支持设置边界流量过滤规则。
（2）支持对SQL 注入、跨站脚本、CC等攻击进行检测与过滤；支持外链检查防护和自定义外链特性，类型支持HTTP、HTTPS、FTP。
（3）具备百万级的病毒特征库规则列表，支持对RAR、ZIP、GZIP、BZIP2、TAR等压缩文件类型的病毒检测，并支持基于安全策略和安全域启用防病毒功能。
【四】丰富的VPN接入能力
（1）支持常见的主流VPN技术，包括IPSec VPN、SSL VPN、L2TP VPN、PnPVPN、拨号VPN、GRE over IPSec VPN等VPN接入方式。
（2）支持国家商用密码算法SM2/SM3/SM4。
【五】全面支持IPv6
（1）支持基于IPv6的访问控制、攻击防护、IPv6路由、应用识别与管控。
（2）支持隧道、DNS64/NAT64、IPv6 OVER IPv4 GRE隧道等多种过渡技术。
【六】智能链路选择及负载均衡技术
（1）支持动态探测链路响应速度并选择最优链路进行转发。
（2）支持基于应用协议的路由功能，根据应用类型进行路由选择，并支持在多个链路上实现负载分担。
【七】高可靠技术
 （1）支持主-主和主-备模式，支持HA设备之间的会话自动同步。
 （2）主备模式下支持基于设备优先级的主设备抢占功能。
最大网络层吞吐量：10Gbps
最大并发连接数：500万
每秒新建连接数(TCP)：7万
HTTP应用吞吐量：6Gbps
IPS吞吐量：3.5Gbps
AV吞吐量：3Gbps
IPSec VPN吞吐量：310Mbps
IPSec VPN隧道数：3000
SSL用户数(标配/最大)：15/4000
虚拟系统数（默认/最大）：8 
网络接口：16个千兆电口+4对Combo口+6个千兆光口+2个万兆光口
管理接口：1个CON口+1个MGMT口
USB接口：2个USB口
可扩展模块：2个接口扩展槽，可扩展4千兆电口(2对Bypass)/4千兆光口 
内存：8G
硬盘容量：标配480G SSD；1个扩展插槽，可额外扩展480G SSD 
机箱：1U标准机箱
电源：AC100-240V，46W， 交流双电源
尺寸：440mm（宽）×435mm（深）×44mm（高）
重量：5.6kg
环境要求：工作温度：0℃~40℃，环境湿度：10%~95%（不结露）</t>
  </si>
  <si>
    <t>满足等保2.0要求</t>
  </si>
  <si>
    <t>接口规格：设备配置万兆光口，采用万兆链路与核心交换机对接，提升链路传输带宽与报文转发性能；
安全授权：配套3年安全功能授权，包含入侵防御、病毒防护、URL过滤、应用识别模块，保障防火墙具备长期持续安全防护能力，保障网络稳定运行</t>
  </si>
  <si>
    <t>日志审计</t>
  </si>
  <si>
    <t>DS-LAS300-H/I</t>
  </si>
  <si>
    <t>物联网日志审计分析系统
【国密算法支持】
（1）基于国产密码卡进行国密运算，保障运算的安全性
（2）支持双因子身份认证，采用国密Ukey进行身份认证鉴别
（3）支持对存储的日志进行摘要计算，保护日志记录完整性
【仪表盘】
（1）仪表盘以可视化方式展示日志总量、数据盘使用情况、接入资产类型、安防设备审计事件、日志严重程度统计等核心信息，帮助用户快速掌握系统整体运行态势
【日志采集】
（1）采集对象：支持海康威视、大华等厂商的多种设备日志类型，包括IPC、NVR、安全设备、网络设备、系统日志、Web应用日志等
（2）采集方式：可支持syslog TLS加密传输、syslog明文传输、自有Agent采集、SNMP trap等多种日志采集方式
（3）采集控制：通过配置日志源白名单/黑名单进行日志采集范围控制，高效过滤原始日志数据
（4）日志源管理：集中管理日志源设备，展示日志源设备信息和日志传输速率，统计每台日志源设备采集的日志总量和类型
【日志解析】
（1）通过属性补齐、去重、格式化、统一格式等操作对采集的日志进行归一化处理
【日志检索】
（1）支持快速检索，可以通过关键字进行全文检索，支持在日志详情表格中点击查询图表或字段进行快捷筛选
（2）检索条件支持等于、不等于、匹配，可对日志属性进行精确筛选
【威胁分析】
（1）采用大数据挖掘分析技术对威胁事件日志进行分类聚合和告警
【操作分析】
（1）支持视频/视图库操作日志分析，包括基于终端日志的账号操作日志分析、设备操作日志分析、终端操作日志分析、操作统计分析
【系统管理】
（1）系统状态：支持查看系统运行时间、系统时间、CPU使用率、内存使用率、磁盘使用率、网络状态信息等
（2）账户管理：支持创建系统管理员、业务管理员、审计管理员、系统操作员、业务操作员、审计操作员用户角色，支持UKey新建用户
（3）系统运维：支持系统时间配置、网络配置、系统升级、规则库升级、登录安全性配置、服务配置
（4）操作日志：支持系统本身的操作日志记录、日志记录导出
日志处理：平均EPS≤1000 
网络接口：8个千兆电口
可扩展模块：1个扩展槽 
CPU：8核8线程
内存：8GB
硬盘容量：可用空间128GB SSD+4TB SATA（无RAID） 
机箱：1U标准机箱
电源：AC100V～240V，150W，单电源
尺寸：430mm（宽） x482mm（深) x44mm（高）</t>
  </si>
  <si>
    <t>满足网络安全等级保护2.0日志审计相关合规要求，本项目单独配置 1 台独立日志审计设备，实现日志采集、存储与审计分析。</t>
  </si>
  <si>
    <t>六、监控中心及大屏</t>
  </si>
  <si>
    <t>46寸0.88拼缝LCD拼接屏</t>
  </si>
  <si>
    <t>DS-D2046RP-0A/Z</t>
  </si>
  <si>
    <t>46英寸，0.88mm拼缝拼接屏
支持网络IPC、NVR等设备类型作为网络信号源解码输入。
支持网线级联控制和信号传输。
支持电视墙拼接、开窗、窗口跨屏漫游、场景轮巡和窗口轮巡。
支持Web、SmartWall客户端远程统一管理屏幕。
支持像素级色彩一致性校正。
支持安防、汇报、广告三种场景模式切换
运行稳定，可24小时持续工作。
支持壁挂、落地、吊装等多种安装方式。
采用金属外壳，防辐射、防磁场、防强电场干扰。
支持背光分区调光，动态对比度高，更节能。
视频解码格式：H.264，H.265，Smart264，Smart265，MJPEG
解码分辨率：最大3200W像素
视频解码通道：16路
视频解码能力：支持16路1080P@30Hz
画面分割数：支持1/4/6/8/9/16
场景数：8
预案数：支持1个平台预案 
显示尺寸：46 inch
背光源类型：D-LED
物理拼缝：0.88 mm
物理拼缝公差：±0.8 mm
物理分辨率：1920 × 1080@60 Hz（向下兼容）
亮度：500 ± 10% cd/m²
可视角：178°(H)/178°(V)
对比度：1000：1 
音视频输入接口：HDMI 1.4 × 1、USB 2.0× 1、1000 Mbps 网口 × 1
音视频输出接口：1000 Mbps 网口 × 1
控制接口：IR IN × 1、UART × 1、RS485 × 1</t>
  </si>
  <si>
    <t>用于显示前端视频监控图像及其他信号源</t>
  </si>
  <si>
    <t>拼接屏原厂安装</t>
  </si>
  <si>
    <t>LCD安装服务</t>
  </si>
  <si>
    <t>LCD拼接屏支架</t>
  </si>
  <si>
    <t>DP-D2X46XXX-1X1-Q1</t>
  </si>
  <si>
    <t>46英寸-新型模块化框架
性价比高
快速安装
支持现场扩容
产品配置：前封板后留空；
含侧封板、顶盖板，无后门结构
底座高度：200-1200mm
后拉杆长度：0-1800mm
配置代码下单请备注：屏幕物料代码+行列规模+底座高度+拉杆长度
材质：优质冷轧钢板(SPCC)，材料厚度从T1.0~T5.0不等
颜色：黑色
净重：10kg/个 
厚度：320mm
表面处理：静电喷塑，涂层厚度&gt;60微米
后拉杆长度：0-1800mm任意长度
底座高度：200-1200mm任意高度
弧度：0°</t>
  </si>
  <si>
    <t>经现场踏勘，现场不满足壁挂安装条件。结合项目技术要求，原有电视墙改造为侧方辅助显示继续复用，原有大屏为落地支架形式，因此本次拼接屏支架建议采用落地式支架。</t>
  </si>
  <si>
    <t>DP-D2X46XXX-0X0-Q0</t>
  </si>
  <si>
    <t>46英寸-新型模块化底座
支持现场扩容
产品配置：前封板后留空；
含侧封板、顶盖板，无后门结构
底座高度：200-1200mm
后拉杆长度：0-1800mm
配置代码下单请备注：屏幕物料代码+行列规模+底座高度+拉杆长度
若有其他定制项走支架深化定制流程 
材质：优质冷轧钢板(SPCC)，材料厚度从T1.0-T5.0不等
备注说明：后墙为承重墙，且墙面平整；
颜色：黑色
净重：16kg/个 
厚度：320mm
表面处理：静电喷塑，涂层厚度&gt;60微米
后拉杆长度：0-1800mm任意长度
底座高度：200-1200mm任意高度
弧度：0°</t>
  </si>
  <si>
    <t>解码输入控制器</t>
  </si>
  <si>
    <t>DS-C40N-01HI</t>
  </si>
  <si>
    <t>分布式拼控2K输入
1U半宽结构设计，支持标准机柜安装，设备自带 OLED 显示屏，可以直观方便快捷地获取设备属性配置和运行状态信息
所有设备通过网络连接，可以实现信号的远距离传输，突破地域的限制，实现信号的任意接入以及方便扩容，理论上系统规模可无限扩展
2K输入盒子支持1路1080P60输入，支持自定义分辨率
内置AI图像增强处理，实现接近于YUV444视觉无损的图像质量和显示效果
支持输入图像的裁剪显示，裁剪范围上下左右最大可达200像素
支持虚拟LED字幕功能，单面电视墙可同时3个不同的虚拟LED，支持背景颜色/透明度、字体类型/颜色/大小/方向、滚动速度设置，支持时钟添加，支持60HZ高刷滚动字幕，取代传统条屏功能，实现用户欢迎词等信息和电视墙内容的一体化管理和控制
支持场景的预设和切换，最大可设置1024个设备场景，切换过程无蓝屏和黑屏；支持预案的设置和调用，实现动态的场景自动切换和调度，最大可设置64个预案
支持ONVIF标准协议接入设备，支持GB28181协议接入设备
最大支持2条输入OSD叠加；不支持输入LOGO叠加
具备1000M SFP光口和1000M以太网电口，可实现多种形式的网络接入，支持光电热备
支持单播和组播协议的切换，第三方网络兼容性好
支持PC客户端、WEB方式访问和操作，浏览器支持IE8，chrome 45及以上版本
支持故障自动检测，包括网络异常、温度异常、风扇异常、信号异常等，支持设备异常报警功能，包括网络断开、IP冲突、非法访问、温度超限、风扇状态异常、设备异常等；支持可视化运维，维护界面展示主控及子系统节点状态信息
设备类型：输入节点 
视频输入分辨率：1024×768@60 Hz、1280×1024@60 Hz、1360×768@60 Hz、1440×900@60 Hz、1280×960@60 Hz、1600×1200@60 Hz、1280×720P@60 Hz、1280×720P@50 Hz、1920×1080P@60 Hz、1920×1080P@50 Hz、1920×1200@60 Hz以及1280×720~1920×1200范围的自定义分辨率
视频输入接口类型：HDMI1.4*1 
音频接口：HDMI内嵌*1+3.5mm同轴音频插孔*1 
视频编码通道数：1
视频编码能力：编码支持子码流及主码流类型，其中子码流含 CIF(352×288)/FCIF(704×576)/720P(1280×720)，主码流含 720P(1280×720) /XGA(1024×768)/XVGA(1280×960)/SXGA(1280×1024)/WXGA(1360×768)/WSXGA(1440×900)/UXGA(1600×1200)/1080P(1920×1080)/1920×1200，以及1280×720~1920×1200范围的自定义分辨率 
音频编码格式：G722.1、G711u、G711A、AAL_LC
音频编码通道数：1 
网络接口：1路1000M以太网口；1路1000M光口（SFP接口）
其他接口：HDMI1.4*1（环通输出）；USB2.0*1；485*1；232*1；IO/IR IN*1，IO/IR OUT*1；IR POWER*1；RELAY*1；RESET*1；CONSOLE调试串口*1 
供电方式：电源供电：AC 100-240V/0.7A
POE供电：802.3at协议
整机功耗：≤20W</t>
  </si>
  <si>
    <t>用于监控中心电脑信号源输入大屏显示</t>
  </si>
  <si>
    <t>LCD拼接屏配件</t>
  </si>
  <si>
    <t>DS-D23CP02</t>
  </si>
  <si>
    <t>LCD拼接屏快捷操作面板
支持全屏开关机
支持屏幕亮度调节
支持切换4种不同显示场景
86盒大小
工作温度：0 ℃ ~ 40 ℃
工作湿度：10%~90% RH（无冷凝水）
存储温度：-20 ℃ ~ 60 ℃
存储湿度：5%~90% RH（无冷凝水） 
按键数量：8个
供电方式：干电池供电
电池规格：7号干电池 × 2
遥控距离：10米（空旷无阻挡）
安装类型：桌面平放、磁吸
产品尺寸：85.9 (W) mm × 85.9 (H) mm × 15 (D) mm
包装尺寸：160 (W) mm × 125 (H) mm × 64 (D) mm
净重：0.08 ± 0.01 kg
毛重：0.10 ± 0.01 kg</t>
  </si>
  <si>
    <t>宗</t>
  </si>
  <si>
    <t>HDMI线缆</t>
  </si>
  <si>
    <t>绿联</t>
  </si>
  <si>
    <t>DHMI</t>
  </si>
  <si>
    <t>HDMI 1.4 4K30Hz铜缆 （10米）</t>
  </si>
  <si>
    <t>条</t>
  </si>
  <si>
    <t>四联操作台席</t>
  </si>
  <si>
    <t>定制</t>
  </si>
  <si>
    <t>2.4米*900深*750台面高</t>
  </si>
  <si>
    <t>坐椅</t>
  </si>
  <si>
    <t>舒适久坐靠背椅</t>
  </si>
  <si>
    <t>把</t>
  </si>
  <si>
    <t>操作电脑</t>
  </si>
  <si>
    <t>联想</t>
  </si>
  <si>
    <t>酷睿i7处理，16g内存，512固态硬盘，27寸显示器</t>
  </si>
  <si>
    <t>其他辅材</t>
  </si>
  <si>
    <t>七、施工与辅材</t>
  </si>
  <si>
    <t>摄像机支架</t>
  </si>
  <si>
    <t>DS-1292ZJ-K/定制</t>
  </si>
  <si>
    <t>金属壁装支架
压铸纯铝合金材质，表面做喷塑处理
支架带出线孔，安装更加美观</t>
  </si>
  <si>
    <t>围墙部分支架需根据现场情况定制</t>
  </si>
  <si>
    <t>室外防雨设备箱</t>
  </si>
  <si>
    <t>200*300*400</t>
  </si>
  <si>
    <t>含空开、插排、熔接盘、导轨等</t>
  </si>
  <si>
    <t>用于安装前端POE交换机、空开、插排等</t>
  </si>
  <si>
    <t>根据现场实际情况</t>
  </si>
  <si>
    <t>室外监控杆</t>
  </si>
  <si>
    <t>根据现场情况定制</t>
  </si>
  <si>
    <t>根</t>
  </si>
  <si>
    <t>用于门岗监控</t>
  </si>
  <si>
    <t>超五类网线</t>
  </si>
  <si>
    <t>UTP-5</t>
  </si>
  <si>
    <t>超五类非屏蔽</t>
  </si>
  <si>
    <t>箱</t>
  </si>
  <si>
    <t>新增监控布线</t>
  </si>
  <si>
    <t>61个围墙摄像机*50米=2900米；门岗摄像机41个*50米=2050米；剩余为其他设备（老旧更换、跳线等）使用及预留</t>
  </si>
  <si>
    <t>电源线</t>
  </si>
  <si>
    <t>RVV2*1.0</t>
  </si>
  <si>
    <t>就近取电，用于前端设备箱内设备供电</t>
  </si>
  <si>
    <t>就近取电，按每个设备箱用40米电源线核算</t>
  </si>
  <si>
    <t>PVC穿线管</t>
  </si>
  <si>
    <t>20mm/25mm</t>
  </si>
  <si>
    <t>新敷设网线及电源线穿管</t>
  </si>
  <si>
    <t>同上</t>
  </si>
  <si>
    <t>安装辅材</t>
  </si>
  <si>
    <t>标签、接头、水晶头、跳纤、熔接盘等</t>
  </si>
  <si>
    <t>批</t>
  </si>
  <si>
    <t>安装、接入与系统调试</t>
  </si>
  <si>
    <t>动脉智能</t>
  </si>
  <si>
    <t>配套服务</t>
  </si>
  <si>
    <t>前端安装、平台接入级联、AI与存储调试、网络割接与联调</t>
  </si>
  <si>
    <t>前端存储容量设计一览表</t>
  </si>
  <si>
    <t>一级单位</t>
  </si>
  <si>
    <t>监控位置</t>
  </si>
  <si>
    <t>已建/台</t>
  </si>
  <si>
    <t>存储/天</t>
  </si>
  <si>
    <t>新增替换</t>
  </si>
  <si>
    <t>AI升级</t>
  </si>
  <si>
    <t>现有存储可存路数</t>
  </si>
  <si>
    <t>需增加存储路数</t>
  </si>
  <si>
    <t>门岗</t>
  </si>
  <si>
    <t>门岗相机数量</t>
  </si>
  <si>
    <t>增加相机存储总数</t>
  </si>
  <si>
    <t>新建相机数量</t>
  </si>
  <si>
    <t>总相机数量</t>
  </si>
  <si>
    <t>所需NVR路数</t>
  </si>
  <si>
    <t>总需求容量（T）(2M)</t>
  </si>
  <si>
    <t>硬盘录像机数量</t>
  </si>
  <si>
    <t>硬盘规格（T）</t>
  </si>
  <si>
    <t>硬盘数量</t>
  </si>
  <si>
    <t>总硬盘容量</t>
  </si>
  <si>
    <t>东明炼化公司</t>
  </si>
  <si>
    <t>劲海化工</t>
  </si>
  <si>
    <t>中油区域</t>
  </si>
  <si>
    <t>前海化工</t>
  </si>
  <si>
    <t>润泽-洁源环保</t>
  </si>
  <si>
    <t>万海氯碱</t>
  </si>
  <si>
    <t>晟原区域</t>
  </si>
  <si>
    <t>恒昌化工</t>
  </si>
  <si>
    <t>公共工程公司</t>
  </si>
  <si>
    <t>园区（含在建70台）</t>
  </si>
  <si>
    <t>水库</t>
  </si>
  <si>
    <t>华汪仓库室外物料</t>
  </si>
  <si>
    <t>鲁班建安公司</t>
  </si>
  <si>
    <t>防腐厂</t>
  </si>
  <si>
    <t>44普通</t>
  </si>
  <si>
    <t>商混建材公司</t>
  </si>
  <si>
    <t>京师大办公区幼儿园</t>
  </si>
  <si>
    <t>东明港运公司</t>
  </si>
  <si>
    <t>围墙/仓库/值班室/重点设备</t>
  </si>
  <si>
    <t>3普通</t>
  </si>
  <si>
    <t>烯烃新材项目</t>
  </si>
  <si>
    <t>机房/东西南北围墙/门岗</t>
  </si>
  <si>
    <t>90-180</t>
  </si>
  <si>
    <t>20万吨/天净水厂二期</t>
  </si>
  <si>
    <t>围墙</t>
  </si>
  <si>
    <t>东明经销</t>
  </si>
  <si>
    <t>—</t>
  </si>
  <si>
    <t>容量合计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</si>
</sst>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0">
    <font>
      <sz val="11"/>
      <color indexed="8"/>
      <name val="宋体"/>
      <charset val="134"/>
    </font>
    <font>
      <b/>
      <sz val="11"/>
      <color indexed="8"/>
      <name val="宋体"/>
      <charset val="134"/>
    </font>
    <font>
      <sz val="11"/>
      <name val="宋体"/>
      <charset val="134"/>
    </font>
    <font>
      <b/>
      <sz val="14"/>
      <color indexed="8"/>
      <name val="宋体"/>
      <charset val="134"/>
    </font>
    <font>
      <b/>
      <sz val="9.5"/>
      <color theme="1"/>
      <name val="宋体"/>
      <charset val="134"/>
    </font>
    <font>
      <b/>
      <sz val="9.5"/>
      <name val="宋体"/>
      <charset val="134"/>
    </font>
    <font>
      <sz val="9.5"/>
      <color theme="1"/>
      <name val="宋体"/>
      <charset val="134"/>
    </font>
    <font>
      <sz val="9.5"/>
      <name val="宋体"/>
      <charset val="134"/>
    </font>
    <font>
      <sz val="10.5"/>
      <color theme="1"/>
      <name val="宋体"/>
      <charset val="134"/>
    </font>
    <font>
      <b/>
      <sz val="11"/>
      <name val="宋体"/>
      <charset val="134"/>
    </font>
    <font>
      <b/>
      <sz val="10"/>
      <name val="宋体"/>
      <charset val="134"/>
    </font>
    <font>
      <sz val="10"/>
      <name val="宋体"/>
      <charset val="134"/>
    </font>
    <font>
      <sz val="10"/>
      <color indexed="8"/>
      <name val="宋体"/>
      <charset val="134"/>
    </font>
    <font>
      <b/>
      <sz val="16"/>
      <name val="宋体"/>
      <charset val="134"/>
    </font>
    <font>
      <b/>
      <sz val="12"/>
      <name val="宋体"/>
      <charset val="134"/>
    </font>
    <font>
      <sz val="9"/>
      <name val="宋体"/>
      <charset val="134"/>
    </font>
    <font>
      <sz val="9"/>
      <name val="SimSun"/>
      <charset val="134"/>
    </font>
    <font>
      <sz val="10"/>
      <color rgb="FFFF0000"/>
      <name val="宋体"/>
      <charset val="134"/>
    </font>
    <font>
      <sz val="10"/>
      <color theme="1"/>
      <name val="宋体"/>
      <charset val="134"/>
    </font>
    <font>
      <sz val="10"/>
      <name val="SimSu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134"/>
      <scheme val="minor"/>
    </font>
    <font>
      <b/>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2"/>
      <name val="Times New Roman"/>
      <charset val="134"/>
    </font>
  </fonts>
  <fills count="36">
    <fill>
      <patternFill patternType="none"/>
    </fill>
    <fill>
      <patternFill patternType="gray125"/>
    </fill>
    <fill>
      <patternFill patternType="solid">
        <fgColor theme="0" tint="-0.35"/>
        <bgColor indexed="64"/>
      </patternFill>
    </fill>
    <fill>
      <patternFill patternType="solid">
        <fgColor theme="3" tint="0.8"/>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5" borderId="5"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6" applyNumberFormat="0" applyFill="0" applyAlignment="0" applyProtection="0">
      <alignment vertical="center"/>
    </xf>
    <xf numFmtId="0" fontId="27" fillId="0" borderId="7" applyNumberFormat="0" applyFill="0" applyAlignment="0" applyProtection="0">
      <alignment vertical="center"/>
    </xf>
    <xf numFmtId="0" fontId="28" fillId="0" borderId="8" applyNumberFormat="0" applyFill="0" applyAlignment="0" applyProtection="0">
      <alignment vertical="center"/>
    </xf>
    <xf numFmtId="0" fontId="28" fillId="0" borderId="0" applyNumberFormat="0" applyFill="0" applyBorder="0" applyAlignment="0" applyProtection="0">
      <alignment vertical="center"/>
    </xf>
    <xf numFmtId="0" fontId="29" fillId="6" borderId="9" applyNumberFormat="0" applyAlignment="0" applyProtection="0">
      <alignment vertical="center"/>
    </xf>
    <xf numFmtId="0" fontId="30" fillId="7" borderId="10" applyNumberFormat="0" applyAlignment="0" applyProtection="0">
      <alignment vertical="center"/>
    </xf>
    <xf numFmtId="0" fontId="31" fillId="7" borderId="9" applyNumberFormat="0" applyAlignment="0" applyProtection="0">
      <alignment vertical="center"/>
    </xf>
    <xf numFmtId="0" fontId="32" fillId="8" borderId="11" applyNumberFormat="0" applyAlignment="0" applyProtection="0">
      <alignment vertical="center"/>
    </xf>
    <xf numFmtId="0" fontId="33" fillId="0" borderId="12" applyNumberFormat="0" applyFill="0" applyAlignment="0" applyProtection="0">
      <alignment vertical="center"/>
    </xf>
    <xf numFmtId="0" fontId="34" fillId="0" borderId="13" applyNumberFormat="0" applyFill="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38" fillId="35" borderId="0" applyNumberFormat="0" applyBorder="0" applyAlignment="0" applyProtection="0">
      <alignment vertical="center"/>
    </xf>
    <xf numFmtId="0" fontId="39" fillId="0" borderId="0"/>
    <xf numFmtId="0" fontId="39" fillId="0" borderId="0"/>
    <xf numFmtId="0" fontId="0" fillId="0" borderId="0" applyNumberFormat="0" applyFill="0" applyAlignment="0" applyProtection="0"/>
    <xf numFmtId="0" fontId="0" fillId="0" borderId="0"/>
  </cellStyleXfs>
  <cellXfs count="61">
    <xf numFmtId="0" fontId="0" fillId="0" borderId="0" xfId="0"/>
    <xf numFmtId="0" fontId="1" fillId="0" borderId="0" xfId="0" applyFont="1" applyAlignment="1">
      <alignment horizontal="center"/>
    </xf>
    <xf numFmtId="0" fontId="0" fillId="0" borderId="0" xfId="0" applyAlignment="1">
      <alignment horizontal="center"/>
    </xf>
    <xf numFmtId="0" fontId="2" fillId="0" borderId="0" xfId="0" applyFont="1" applyFill="1" applyAlignment="1">
      <alignment horizontal="center"/>
    </xf>
    <xf numFmtId="0" fontId="3" fillId="0" borderId="0" xfId="0" applyFont="1" applyAlignment="1">
      <alignment horizontal="center" vertical="center"/>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1" fillId="0" borderId="1" xfId="0" applyFont="1" applyBorder="1" applyAlignment="1">
      <alignment horizontal="center" vertical="center"/>
    </xf>
    <xf numFmtId="0" fontId="9" fillId="0" borderId="1" xfId="0" applyFont="1" applyFill="1" applyBorder="1" applyAlignment="1">
      <alignment horizontal="center" vertical="center"/>
    </xf>
    <xf numFmtId="0" fontId="10" fillId="0" borderId="0" xfId="0" applyFont="1" applyFill="1" applyBorder="1" applyAlignment="1">
      <alignment vertical="center" wrapText="1"/>
    </xf>
    <xf numFmtId="0" fontId="10" fillId="0" borderId="0" xfId="0" applyFont="1" applyFill="1" applyAlignment="1">
      <alignment vertical="center" wrapText="1"/>
    </xf>
    <xf numFmtId="0" fontId="11" fillId="0" borderId="0" xfId="0" applyFont="1" applyFill="1" applyAlignment="1">
      <alignment vertical="center" wrapText="1"/>
    </xf>
    <xf numFmtId="0" fontId="12" fillId="0" borderId="0" xfId="0" applyFont="1" applyFill="1" applyAlignment="1">
      <alignment wrapText="1"/>
    </xf>
    <xf numFmtId="0" fontId="11" fillId="0" borderId="0" xfId="0" applyFont="1" applyFill="1" applyAlignment="1">
      <alignment wrapText="1"/>
    </xf>
    <xf numFmtId="0" fontId="10" fillId="0" borderId="0" xfId="0" applyFont="1" applyFill="1" applyAlignment="1">
      <alignment horizontal="center" vertical="center" wrapText="1"/>
    </xf>
    <xf numFmtId="49" fontId="11" fillId="0" borderId="0" xfId="0" applyNumberFormat="1" applyFont="1" applyFill="1" applyAlignment="1">
      <alignment vertical="center" wrapText="1"/>
    </xf>
    <xf numFmtId="0" fontId="11" fillId="0" borderId="0" xfId="0" applyFont="1" applyFill="1" applyAlignment="1">
      <alignment horizontal="left" vertical="center" wrapText="1"/>
    </xf>
    <xf numFmtId="0" fontId="11" fillId="0" borderId="0" xfId="0" applyNumberFormat="1" applyFont="1" applyFill="1" applyAlignment="1">
      <alignment vertical="center" wrapText="1"/>
    </xf>
    <xf numFmtId="0" fontId="13" fillId="0" borderId="0" xfId="0" applyFont="1" applyFill="1" applyAlignment="1">
      <alignment horizontal="center" vertical="center" wrapText="1"/>
    </xf>
    <xf numFmtId="0" fontId="13" fillId="0" borderId="0" xfId="0" applyFont="1" applyFill="1" applyAlignment="1">
      <alignment horizontal="left" vertical="center" wrapText="1"/>
    </xf>
    <xf numFmtId="49" fontId="10"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49" fontId="14" fillId="4" borderId="1" xfId="0" applyNumberFormat="1" applyFont="1" applyFill="1" applyBorder="1" applyAlignment="1">
      <alignment horizontal="left" vertical="center" wrapText="1"/>
    </xf>
    <xf numFmtId="0" fontId="14" fillId="4" borderId="1" xfId="0" applyNumberFormat="1" applyFont="1" applyFill="1" applyBorder="1" applyAlignment="1">
      <alignment horizontal="left" vertical="center" wrapText="1"/>
    </xf>
    <xf numFmtId="49" fontId="10" fillId="4" borderId="1" xfId="0" applyNumberFormat="1" applyFont="1" applyFill="1" applyBorder="1" applyAlignment="1">
      <alignment horizontal="left" vertical="center" wrapText="1"/>
    </xf>
    <xf numFmtId="0" fontId="11" fillId="0" borderId="1" xfId="0" applyNumberFormat="1" applyFont="1" applyFill="1" applyBorder="1" applyAlignment="1">
      <alignment horizontal="center" vertical="center" wrapText="1"/>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49" fontId="11" fillId="0" borderId="1" xfId="0" applyNumberFormat="1" applyFont="1" applyFill="1" applyBorder="1" applyAlignment="1">
      <alignment horizontal="center" vertical="center" wrapText="1"/>
    </xf>
    <xf numFmtId="49" fontId="11" fillId="0" borderId="1" xfId="0" applyNumberFormat="1" applyFont="1" applyFill="1" applyBorder="1" applyAlignment="1">
      <alignment horizontal="left" vertical="center" wrapText="1"/>
    </xf>
    <xf numFmtId="0" fontId="11" fillId="0" borderId="1" xfId="0" applyFont="1" applyFill="1" applyBorder="1" applyAlignment="1">
      <alignment vertical="center" wrapText="1"/>
    </xf>
    <xf numFmtId="0" fontId="15" fillId="0" borderId="1"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center" vertical="center" wrapText="1"/>
    </xf>
    <xf numFmtId="0" fontId="11" fillId="0" borderId="2" xfId="0" applyFont="1" applyFill="1" applyBorder="1" applyAlignment="1">
      <alignment horizontal="left" vertical="center" wrapText="1"/>
    </xf>
    <xf numFmtId="0" fontId="11" fillId="0" borderId="3" xfId="0" applyFont="1" applyFill="1" applyBorder="1" applyAlignment="1">
      <alignment horizontal="left" vertical="center" wrapText="1"/>
    </xf>
    <xf numFmtId="0" fontId="11" fillId="0" borderId="4" xfId="0" applyFont="1" applyFill="1" applyBorder="1" applyAlignment="1">
      <alignment horizontal="left" vertical="center" wrapText="1"/>
    </xf>
    <xf numFmtId="0" fontId="17" fillId="0" borderId="1" xfId="0" applyFont="1" applyFill="1" applyBorder="1" applyAlignment="1">
      <alignment vertical="center" wrapText="1"/>
    </xf>
    <xf numFmtId="0" fontId="18" fillId="0" borderId="1" xfId="0" applyFont="1" applyFill="1" applyBorder="1" applyAlignment="1">
      <alignment horizontal="center" vertical="center" wrapText="1"/>
    </xf>
    <xf numFmtId="0" fontId="12" fillId="0" borderId="1" xfId="0" applyFont="1" applyFill="1" applyBorder="1" applyAlignment="1">
      <alignment wrapText="1"/>
    </xf>
    <xf numFmtId="0" fontId="17" fillId="0" borderId="2" xfId="0" applyFont="1" applyFill="1" applyBorder="1" applyAlignment="1">
      <alignment horizontal="left" vertical="center" wrapText="1"/>
    </xf>
    <xf numFmtId="0" fontId="17" fillId="0" borderId="4" xfId="0" applyFont="1" applyFill="1" applyBorder="1" applyAlignment="1">
      <alignment horizontal="left" vertical="center" wrapText="1"/>
    </xf>
    <xf numFmtId="0" fontId="11" fillId="0" borderId="1" xfId="0" applyFont="1" applyFill="1" applyBorder="1" applyAlignment="1">
      <alignment wrapText="1"/>
    </xf>
    <xf numFmtId="0" fontId="10" fillId="0" borderId="1" xfId="0" applyFont="1" applyFill="1" applyBorder="1" applyAlignment="1">
      <alignment vertical="center" wrapText="1"/>
    </xf>
    <xf numFmtId="0" fontId="11" fillId="0" borderId="2" xfId="0" applyNumberFormat="1" applyFont="1" applyFill="1" applyBorder="1" applyAlignment="1">
      <alignment horizontal="center" vertical="center" wrapText="1"/>
    </xf>
    <xf numFmtId="0" fontId="19" fillId="0" borderId="1" xfId="0" applyFont="1" applyFill="1" applyBorder="1" applyAlignment="1">
      <alignment horizontal="left" vertical="center" wrapText="1"/>
    </xf>
    <xf numFmtId="0" fontId="10"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left" vertical="center" wrapText="1"/>
    </xf>
    <xf numFmtId="0" fontId="10" fillId="0" borderId="1" xfId="0" applyFont="1" applyFill="1" applyBorder="1" applyAlignment="1">
      <alignment horizontal="center" vertical="center" wrapText="1"/>
    </xf>
    <xf numFmtId="49" fontId="10" fillId="0" borderId="1" xfId="0" applyNumberFormat="1" applyFont="1" applyFill="1" applyBorder="1" applyAlignment="1">
      <alignment horizontal="right" vertical="center" wrapText="1"/>
    </xf>
    <xf numFmtId="49" fontId="10" fillId="0" borderId="1" xfId="0" applyNumberFormat="1" applyFont="1" applyFill="1" applyBorder="1" applyAlignment="1">
      <alignment horizontal="left" vertical="center" wrapText="1"/>
    </xf>
    <xf numFmtId="176" fontId="11" fillId="0" borderId="0" xfId="0" applyNumberFormat="1" applyFont="1" applyFill="1" applyAlignment="1">
      <alignment horizontal="left" vertical="center" wrapText="1"/>
    </xf>
    <xf numFmtId="176" fontId="10" fillId="0" borderId="0" xfId="0" applyNumberFormat="1" applyFont="1" applyFill="1" applyAlignment="1">
      <alignment horizontal="left" vertical="center" wrapText="1"/>
    </xf>
    <xf numFmtId="0" fontId="10" fillId="0" borderId="0" xfId="0" applyFont="1" applyFill="1" applyAlignment="1">
      <alignment horizontal="left"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d__x000a_" xfId="49"/>
    <cellStyle name="Normal_GPRS PRICE SCHEDULE 20020529" xfId="50"/>
    <cellStyle name="常规 2" xfId="51"/>
    <cellStyle name="常规 3"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9"/>
  <sheetViews>
    <sheetView tabSelected="1" workbookViewId="0">
      <pane ySplit="2" topLeftCell="A3" activePane="bottomLeft" state="frozen"/>
      <selection/>
      <selection pane="bottomLeft" activeCell="P18" sqref="P18"/>
    </sheetView>
  </sheetViews>
  <sheetFormatPr defaultColWidth="9" defaultRowHeight="19" customHeight="1"/>
  <cols>
    <col min="1" max="1" width="5.35833333333333" style="21" customWidth="1"/>
    <col min="2" max="2" width="21.7333333333333" style="22" customWidth="1"/>
    <col min="3" max="3" width="11.6416666666667" style="17" customWidth="1"/>
    <col min="4" max="4" width="19.9083333333333" style="17" customWidth="1"/>
    <col min="5" max="5" width="20" style="22" customWidth="1"/>
    <col min="6" max="6" width="7" style="17" customWidth="1"/>
    <col min="7" max="7" width="7" style="23" customWidth="1"/>
    <col min="8" max="8" width="15.1833333333333" style="22" customWidth="1"/>
    <col min="9" max="9" width="14" style="22" customWidth="1"/>
    <col min="10" max="10" width="30.55" style="17" customWidth="1"/>
    <col min="11" max="11" width="6.81666666666667" style="17" customWidth="1"/>
    <col min="12" max="12" width="9.55" style="17"/>
    <col min="13" max="16384" width="9" style="17"/>
  </cols>
  <sheetData>
    <row r="1" s="15" customFormat="1" customHeight="1" spans="1:10">
      <c r="A1" s="24" t="s">
        <v>0</v>
      </c>
      <c r="B1" s="24"/>
      <c r="C1" s="24"/>
      <c r="D1" s="24"/>
      <c r="E1" s="24"/>
      <c r="F1" s="24"/>
      <c r="G1" s="24"/>
      <c r="H1" s="25"/>
      <c r="I1" s="24"/>
      <c r="J1" s="24"/>
    </row>
    <row r="2" s="16" customFormat="1" customHeight="1" spans="1:10">
      <c r="A2" s="26" t="s">
        <v>1</v>
      </c>
      <c r="B2" s="26" t="s">
        <v>2</v>
      </c>
      <c r="C2" s="26" t="s">
        <v>3</v>
      </c>
      <c r="D2" s="26" t="s">
        <v>4</v>
      </c>
      <c r="E2" s="26" t="s">
        <v>5</v>
      </c>
      <c r="F2" s="26" t="s">
        <v>6</v>
      </c>
      <c r="G2" s="27" t="s">
        <v>7</v>
      </c>
      <c r="H2" s="26" t="s">
        <v>8</v>
      </c>
      <c r="I2" s="26" t="s">
        <v>9</v>
      </c>
      <c r="J2" s="26" t="s">
        <v>10</v>
      </c>
    </row>
    <row r="3" s="16" customFormat="1" customHeight="1" spans="1:10">
      <c r="A3" s="28" t="s">
        <v>11</v>
      </c>
      <c r="B3" s="28"/>
      <c r="C3" s="28"/>
      <c r="D3" s="28"/>
      <c r="E3" s="28"/>
      <c r="F3" s="28"/>
      <c r="G3" s="29"/>
      <c r="H3" s="30"/>
      <c r="I3" s="30"/>
      <c r="J3" s="30"/>
    </row>
    <row r="4" s="17" customFormat="1" customHeight="1" spans="1:10">
      <c r="A4" s="31">
        <f>ROW()-3</f>
        <v>1</v>
      </c>
      <c r="B4" s="32" t="s">
        <v>12</v>
      </c>
      <c r="C4" s="33" t="s">
        <v>13</v>
      </c>
      <c r="D4" s="33" t="s">
        <v>14</v>
      </c>
      <c r="E4" s="32" t="s">
        <v>15</v>
      </c>
      <c r="F4" s="34" t="s">
        <v>16</v>
      </c>
      <c r="G4" s="31">
        <v>58</v>
      </c>
      <c r="H4" s="35" t="s">
        <v>17</v>
      </c>
      <c r="I4" s="35" t="s">
        <v>18</v>
      </c>
      <c r="J4" s="36" t="s">
        <v>19</v>
      </c>
    </row>
    <row r="5" s="17" customFormat="1" customHeight="1" spans="1:10">
      <c r="A5" s="31">
        <f>ROW()-3</f>
        <v>2</v>
      </c>
      <c r="B5" s="32" t="s">
        <v>12</v>
      </c>
      <c r="C5" s="33" t="s">
        <v>13</v>
      </c>
      <c r="D5" s="33" t="s">
        <v>14</v>
      </c>
      <c r="E5" s="32" t="s">
        <v>15</v>
      </c>
      <c r="F5" s="34" t="s">
        <v>16</v>
      </c>
      <c r="G5" s="31">
        <v>3</v>
      </c>
      <c r="H5" s="35" t="s">
        <v>20</v>
      </c>
      <c r="I5" s="35" t="s">
        <v>18</v>
      </c>
      <c r="J5" s="36" t="s">
        <v>21</v>
      </c>
    </row>
    <row r="6" s="17" customFormat="1" customHeight="1" spans="1:10">
      <c r="A6" s="31">
        <f>ROW()-3</f>
        <v>3</v>
      </c>
      <c r="B6" s="32" t="s">
        <v>22</v>
      </c>
      <c r="C6" s="33" t="s">
        <v>13</v>
      </c>
      <c r="D6" s="33" t="s">
        <v>23</v>
      </c>
      <c r="E6" s="32" t="s">
        <v>24</v>
      </c>
      <c r="F6" s="34" t="s">
        <v>16</v>
      </c>
      <c r="G6" s="31">
        <v>41</v>
      </c>
      <c r="H6" s="37" t="s">
        <v>25</v>
      </c>
      <c r="I6" s="35" t="s">
        <v>26</v>
      </c>
      <c r="J6" s="36" t="s">
        <v>27</v>
      </c>
    </row>
    <row r="7" s="17" customFormat="1" customHeight="1" spans="1:10">
      <c r="A7" s="31">
        <f>ROW()-3</f>
        <v>4</v>
      </c>
      <c r="B7" s="32" t="s">
        <v>22</v>
      </c>
      <c r="C7" s="33" t="s">
        <v>13</v>
      </c>
      <c r="D7" s="33" t="s">
        <v>23</v>
      </c>
      <c r="E7" s="32" t="s">
        <v>24</v>
      </c>
      <c r="F7" s="34" t="s">
        <v>16</v>
      </c>
      <c r="G7" s="31">
        <v>44</v>
      </c>
      <c r="H7" s="38" t="s">
        <v>28</v>
      </c>
      <c r="I7" s="35" t="s">
        <v>29</v>
      </c>
      <c r="J7" s="36" t="s">
        <v>27</v>
      </c>
    </row>
    <row r="8" s="16" customFormat="1" customHeight="1" spans="1:10">
      <c r="A8" s="28" t="s">
        <v>30</v>
      </c>
      <c r="B8" s="28"/>
      <c r="C8" s="28"/>
      <c r="D8" s="28"/>
      <c r="E8" s="28"/>
      <c r="F8" s="28"/>
      <c r="G8" s="29"/>
      <c r="H8" s="30"/>
      <c r="I8" s="30"/>
      <c r="J8" s="30"/>
    </row>
    <row r="9" s="17" customFormat="1" customHeight="1" spans="1:10">
      <c r="A9" s="31">
        <v>1</v>
      </c>
      <c r="B9" s="39" t="s">
        <v>31</v>
      </c>
      <c r="C9" s="40" t="s">
        <v>13</v>
      </c>
      <c r="D9" s="40" t="s">
        <v>32</v>
      </c>
      <c r="E9" s="39" t="s">
        <v>33</v>
      </c>
      <c r="F9" s="40" t="s">
        <v>16</v>
      </c>
      <c r="G9" s="40">
        <v>1</v>
      </c>
      <c r="H9" s="41" t="s">
        <v>34</v>
      </c>
      <c r="I9" s="41" t="s">
        <v>35</v>
      </c>
      <c r="J9" s="36"/>
    </row>
    <row r="10" s="17" customFormat="1" customHeight="1" spans="1:10">
      <c r="A10" s="31">
        <v>2</v>
      </c>
      <c r="B10" s="39" t="s">
        <v>31</v>
      </c>
      <c r="C10" s="40" t="s">
        <v>13</v>
      </c>
      <c r="D10" s="40" t="s">
        <v>36</v>
      </c>
      <c r="E10" s="39" t="s">
        <v>37</v>
      </c>
      <c r="F10" s="40" t="s">
        <v>16</v>
      </c>
      <c r="G10" s="40">
        <v>1</v>
      </c>
      <c r="H10" s="42"/>
      <c r="I10" s="42"/>
      <c r="J10" s="36"/>
    </row>
    <row r="11" s="17" customFormat="1" customHeight="1" spans="1:10">
      <c r="A11" s="31">
        <v>3</v>
      </c>
      <c r="B11" s="39" t="s">
        <v>38</v>
      </c>
      <c r="C11" s="40" t="s">
        <v>13</v>
      </c>
      <c r="D11" s="40" t="s">
        <v>39</v>
      </c>
      <c r="E11" s="40" t="s">
        <v>40</v>
      </c>
      <c r="F11" s="40" t="s">
        <v>41</v>
      </c>
      <c r="G11" s="31">
        <v>216</v>
      </c>
      <c r="H11" s="43"/>
      <c r="I11" s="43"/>
      <c r="J11" s="36"/>
    </row>
    <row r="12" s="16" customFormat="1" customHeight="1" spans="1:10">
      <c r="A12" s="28" t="s">
        <v>42</v>
      </c>
      <c r="B12" s="28"/>
      <c r="C12" s="28"/>
      <c r="D12" s="28"/>
      <c r="E12" s="28"/>
      <c r="F12" s="28"/>
      <c r="G12" s="29"/>
      <c r="H12" s="30"/>
      <c r="I12" s="30"/>
      <c r="J12" s="30"/>
    </row>
    <row r="13" s="17" customFormat="1" customHeight="1" spans="1:10">
      <c r="A13" s="31">
        <v>1</v>
      </c>
      <c r="B13" s="39" t="s">
        <v>43</v>
      </c>
      <c r="C13" s="40" t="s">
        <v>13</v>
      </c>
      <c r="D13" s="40" t="s">
        <v>44</v>
      </c>
      <c r="E13" s="39" t="s">
        <v>45</v>
      </c>
      <c r="F13" s="40" t="s">
        <v>16</v>
      </c>
      <c r="G13" s="31">
        <v>1</v>
      </c>
      <c r="H13" s="39" t="s">
        <v>46</v>
      </c>
      <c r="I13" s="39" t="s">
        <v>47</v>
      </c>
      <c r="J13" s="36"/>
    </row>
    <row r="14" s="17" customFormat="1" customHeight="1" spans="1:10">
      <c r="A14" s="31">
        <v>2</v>
      </c>
      <c r="B14" s="39" t="s">
        <v>48</v>
      </c>
      <c r="C14" s="40" t="s">
        <v>13</v>
      </c>
      <c r="D14" s="40" t="s">
        <v>49</v>
      </c>
      <c r="E14" s="39" t="s">
        <v>50</v>
      </c>
      <c r="F14" s="40" t="s">
        <v>16</v>
      </c>
      <c r="G14" s="31">
        <v>1</v>
      </c>
      <c r="H14" s="39" t="s">
        <v>51</v>
      </c>
      <c r="I14" s="39" t="s">
        <v>47</v>
      </c>
      <c r="J14" s="36"/>
    </row>
    <row r="15" s="17" customFormat="1" customHeight="1" spans="1:10">
      <c r="A15" s="31">
        <v>3</v>
      </c>
      <c r="B15" s="39" t="s">
        <v>52</v>
      </c>
      <c r="C15" s="40" t="s">
        <v>13</v>
      </c>
      <c r="D15" s="40" t="s">
        <v>53</v>
      </c>
      <c r="E15" s="39" t="s">
        <v>54</v>
      </c>
      <c r="F15" s="40" t="s">
        <v>55</v>
      </c>
      <c r="G15" s="31">
        <v>1</v>
      </c>
      <c r="H15" s="39" t="s">
        <v>56</v>
      </c>
      <c r="I15" s="39" t="s">
        <v>57</v>
      </c>
      <c r="J15" s="36"/>
    </row>
    <row r="16" s="17" customFormat="1" customHeight="1" spans="1:10">
      <c r="A16" s="31">
        <v>4</v>
      </c>
      <c r="B16" s="32" t="s">
        <v>58</v>
      </c>
      <c r="C16" s="33" t="s">
        <v>13</v>
      </c>
      <c r="D16" s="33" t="s">
        <v>59</v>
      </c>
      <c r="E16" s="32" t="s">
        <v>60</v>
      </c>
      <c r="F16" s="33" t="s">
        <v>16</v>
      </c>
      <c r="G16" s="33">
        <v>1</v>
      </c>
      <c r="H16" s="39" t="s">
        <v>61</v>
      </c>
      <c r="I16" s="39" t="s">
        <v>62</v>
      </c>
      <c r="J16" s="36"/>
    </row>
    <row r="17" s="16" customFormat="1" customHeight="1" spans="1:10">
      <c r="A17" s="28" t="s">
        <v>63</v>
      </c>
      <c r="B17" s="28"/>
      <c r="C17" s="28"/>
      <c r="D17" s="28"/>
      <c r="E17" s="28"/>
      <c r="F17" s="28"/>
      <c r="G17" s="29"/>
      <c r="H17" s="30"/>
      <c r="I17" s="30"/>
      <c r="J17" s="30"/>
    </row>
    <row r="18" s="17" customFormat="1" customHeight="1" spans="1:10">
      <c r="A18" s="31">
        <v>1</v>
      </c>
      <c r="B18" s="32" t="s">
        <v>64</v>
      </c>
      <c r="C18" s="33" t="s">
        <v>13</v>
      </c>
      <c r="D18" s="33" t="s">
        <v>65</v>
      </c>
      <c r="E18" s="32" t="s">
        <v>66</v>
      </c>
      <c r="F18" s="33" t="s">
        <v>16</v>
      </c>
      <c r="G18" s="33">
        <v>3</v>
      </c>
      <c r="H18" s="39" t="s">
        <v>67</v>
      </c>
      <c r="I18" s="39" t="s">
        <v>68</v>
      </c>
      <c r="J18" s="36"/>
    </row>
    <row r="19" s="17" customFormat="1" customHeight="1" spans="1:10">
      <c r="A19" s="31">
        <v>2</v>
      </c>
      <c r="B19" s="32" t="s">
        <v>64</v>
      </c>
      <c r="C19" s="33" t="s">
        <v>13</v>
      </c>
      <c r="D19" s="33" t="s">
        <v>69</v>
      </c>
      <c r="E19" s="32" t="s">
        <v>70</v>
      </c>
      <c r="F19" s="33" t="s">
        <v>16</v>
      </c>
      <c r="G19" s="33">
        <v>1</v>
      </c>
      <c r="H19" s="39" t="s">
        <v>67</v>
      </c>
      <c r="I19" s="39" t="s">
        <v>68</v>
      </c>
      <c r="J19" s="36"/>
    </row>
    <row r="20" s="17" customFormat="1" customHeight="1" spans="1:10">
      <c r="A20" s="31">
        <v>3</v>
      </c>
      <c r="B20" s="32" t="s">
        <v>64</v>
      </c>
      <c r="C20" s="33" t="s">
        <v>13</v>
      </c>
      <c r="D20" s="33" t="s">
        <v>71</v>
      </c>
      <c r="E20" s="32" t="s">
        <v>72</v>
      </c>
      <c r="F20" s="33" t="s">
        <v>16</v>
      </c>
      <c r="G20" s="33">
        <v>4</v>
      </c>
      <c r="H20" s="39" t="s">
        <v>67</v>
      </c>
      <c r="I20" s="39" t="s">
        <v>68</v>
      </c>
      <c r="J20" s="36"/>
    </row>
    <row r="21" s="17" customFormat="1" customHeight="1" spans="1:10">
      <c r="A21" s="31">
        <v>4</v>
      </c>
      <c r="B21" s="32" t="s">
        <v>64</v>
      </c>
      <c r="C21" s="33" t="s">
        <v>13</v>
      </c>
      <c r="D21" s="33" t="s">
        <v>73</v>
      </c>
      <c r="E21" s="32" t="s">
        <v>74</v>
      </c>
      <c r="F21" s="33" t="s">
        <v>16</v>
      </c>
      <c r="G21" s="33">
        <v>1</v>
      </c>
      <c r="H21" s="39" t="s">
        <v>67</v>
      </c>
      <c r="I21" s="39" t="s">
        <v>68</v>
      </c>
      <c r="J21" s="36"/>
    </row>
    <row r="22" s="17" customFormat="1" customHeight="1" spans="1:10">
      <c r="A22" s="31">
        <v>5</v>
      </c>
      <c r="B22" s="32" t="s">
        <v>64</v>
      </c>
      <c r="C22" s="33" t="s">
        <v>13</v>
      </c>
      <c r="D22" s="33" t="s">
        <v>75</v>
      </c>
      <c r="E22" s="32" t="s">
        <v>76</v>
      </c>
      <c r="F22" s="33" t="s">
        <v>16</v>
      </c>
      <c r="G22" s="33">
        <v>5</v>
      </c>
      <c r="H22" s="39" t="s">
        <v>67</v>
      </c>
      <c r="I22" s="39" t="s">
        <v>68</v>
      </c>
      <c r="J22" s="36"/>
    </row>
    <row r="23" s="17" customFormat="1" customHeight="1" spans="1:10">
      <c r="A23" s="31">
        <v>6</v>
      </c>
      <c r="B23" s="32" t="s">
        <v>64</v>
      </c>
      <c r="C23" s="33" t="s">
        <v>13</v>
      </c>
      <c r="D23" s="33" t="s">
        <v>77</v>
      </c>
      <c r="E23" s="32" t="s">
        <v>78</v>
      </c>
      <c r="F23" s="33" t="s">
        <v>16</v>
      </c>
      <c r="G23" s="33">
        <v>2</v>
      </c>
      <c r="H23" s="39" t="s">
        <v>67</v>
      </c>
      <c r="I23" s="39" t="s">
        <v>68</v>
      </c>
      <c r="J23" s="36"/>
    </row>
    <row r="24" s="17" customFormat="1" customHeight="1" spans="1:10">
      <c r="A24" s="31">
        <v>7</v>
      </c>
      <c r="B24" s="32" t="s">
        <v>64</v>
      </c>
      <c r="C24" s="33" t="s">
        <v>13</v>
      </c>
      <c r="D24" s="33" t="s">
        <v>79</v>
      </c>
      <c r="E24" s="32" t="s">
        <v>80</v>
      </c>
      <c r="F24" s="33" t="s">
        <v>16</v>
      </c>
      <c r="G24" s="33">
        <v>1</v>
      </c>
      <c r="H24" s="39" t="s">
        <v>67</v>
      </c>
      <c r="I24" s="39" t="s">
        <v>68</v>
      </c>
      <c r="J24" s="36"/>
    </row>
    <row r="25" s="17" customFormat="1" customHeight="1" spans="1:10">
      <c r="A25" s="31">
        <v>8</v>
      </c>
      <c r="B25" s="32" t="s">
        <v>81</v>
      </c>
      <c r="C25" s="33" t="s">
        <v>82</v>
      </c>
      <c r="D25" s="33" t="s">
        <v>83</v>
      </c>
      <c r="E25" s="32" t="s">
        <v>84</v>
      </c>
      <c r="F25" s="33" t="s">
        <v>85</v>
      </c>
      <c r="G25" s="33">
        <v>16</v>
      </c>
      <c r="H25" s="39" t="s">
        <v>67</v>
      </c>
      <c r="I25" s="39" t="s">
        <v>86</v>
      </c>
      <c r="J25" s="40"/>
    </row>
    <row r="26" s="17" customFormat="1" customHeight="1" spans="1:10">
      <c r="A26" s="31">
        <v>9</v>
      </c>
      <c r="B26" s="32" t="s">
        <v>81</v>
      </c>
      <c r="C26" s="33" t="s">
        <v>82</v>
      </c>
      <c r="D26" s="33" t="s">
        <v>87</v>
      </c>
      <c r="E26" s="32" t="s">
        <v>88</v>
      </c>
      <c r="F26" s="33" t="s">
        <v>85</v>
      </c>
      <c r="G26" s="33">
        <v>42</v>
      </c>
      <c r="H26" s="39" t="s">
        <v>67</v>
      </c>
      <c r="I26" s="39"/>
      <c r="J26" s="40"/>
    </row>
    <row r="27" s="17" customFormat="1" customHeight="1" spans="1:10">
      <c r="A27" s="31">
        <v>10</v>
      </c>
      <c r="B27" s="32" t="s">
        <v>81</v>
      </c>
      <c r="C27" s="33" t="s">
        <v>82</v>
      </c>
      <c r="D27" s="33" t="s">
        <v>89</v>
      </c>
      <c r="E27" s="32" t="s">
        <v>90</v>
      </c>
      <c r="F27" s="33" t="s">
        <v>85</v>
      </c>
      <c r="G27" s="33">
        <v>82</v>
      </c>
      <c r="H27" s="39" t="s">
        <v>67</v>
      </c>
      <c r="I27" s="39"/>
      <c r="J27" s="40"/>
    </row>
    <row r="28" s="17" customFormat="1" customHeight="1" spans="1:10">
      <c r="A28" s="31">
        <v>11</v>
      </c>
      <c r="B28" s="32" t="s">
        <v>81</v>
      </c>
      <c r="C28" s="33" t="s">
        <v>82</v>
      </c>
      <c r="D28" s="33" t="s">
        <v>91</v>
      </c>
      <c r="E28" s="32" t="s">
        <v>92</v>
      </c>
      <c r="F28" s="33" t="s">
        <v>85</v>
      </c>
      <c r="G28" s="33">
        <v>9</v>
      </c>
      <c r="H28" s="39" t="s">
        <v>67</v>
      </c>
      <c r="I28" s="39"/>
      <c r="J28" s="40"/>
    </row>
    <row r="29" s="17" customFormat="1" customHeight="1" spans="1:10">
      <c r="A29" s="31">
        <v>12</v>
      </c>
      <c r="B29" s="39" t="s">
        <v>81</v>
      </c>
      <c r="C29" s="40" t="s">
        <v>82</v>
      </c>
      <c r="D29" s="40" t="s">
        <v>93</v>
      </c>
      <c r="E29" s="39" t="s">
        <v>94</v>
      </c>
      <c r="F29" s="40" t="s">
        <v>85</v>
      </c>
      <c r="G29" s="40">
        <v>16</v>
      </c>
      <c r="H29" s="39" t="s">
        <v>67</v>
      </c>
      <c r="I29" s="39"/>
      <c r="J29" s="40"/>
    </row>
    <row r="30" s="16" customFormat="1" customHeight="1" spans="1:10">
      <c r="A30" s="28" t="s">
        <v>95</v>
      </c>
      <c r="B30" s="28"/>
      <c r="C30" s="28"/>
      <c r="D30" s="28"/>
      <c r="E30" s="28"/>
      <c r="F30" s="28"/>
      <c r="G30" s="29"/>
      <c r="H30" s="30"/>
      <c r="I30" s="30"/>
      <c r="J30" s="30"/>
    </row>
    <row r="31" s="17" customFormat="1" customHeight="1" spans="1:10">
      <c r="A31" s="31">
        <v>1</v>
      </c>
      <c r="B31" s="39" t="s">
        <v>96</v>
      </c>
      <c r="C31" s="40" t="s">
        <v>13</v>
      </c>
      <c r="D31" s="40" t="s">
        <v>97</v>
      </c>
      <c r="E31" s="39" t="s">
        <v>98</v>
      </c>
      <c r="F31" s="40" t="s">
        <v>16</v>
      </c>
      <c r="G31" s="31">
        <v>1</v>
      </c>
      <c r="H31" s="39" t="s">
        <v>99</v>
      </c>
      <c r="I31" s="39" t="s">
        <v>47</v>
      </c>
      <c r="J31" s="44" t="s">
        <v>100</v>
      </c>
    </row>
    <row r="32" s="17" customFormat="1" customHeight="1" spans="1:10">
      <c r="A32" s="31">
        <v>2</v>
      </c>
      <c r="B32" s="32" t="s">
        <v>101</v>
      </c>
      <c r="C32" s="33" t="s">
        <v>13</v>
      </c>
      <c r="D32" s="33" t="s">
        <v>102</v>
      </c>
      <c r="E32" s="32" t="s">
        <v>103</v>
      </c>
      <c r="F32" s="33" t="s">
        <v>16</v>
      </c>
      <c r="G32" s="33">
        <v>20</v>
      </c>
      <c r="H32" s="39" t="s">
        <v>104</v>
      </c>
      <c r="I32" s="39" t="s">
        <v>105</v>
      </c>
      <c r="J32" s="36"/>
    </row>
    <row r="33" s="17" customFormat="1" customHeight="1" spans="1:10">
      <c r="A33" s="31">
        <v>3</v>
      </c>
      <c r="B33" s="32" t="s">
        <v>106</v>
      </c>
      <c r="C33" s="33" t="s">
        <v>13</v>
      </c>
      <c r="D33" s="33" t="s">
        <v>107</v>
      </c>
      <c r="E33" s="32" t="s">
        <v>108</v>
      </c>
      <c r="F33" s="33" t="s">
        <v>109</v>
      </c>
      <c r="G33" s="45">
        <v>44</v>
      </c>
      <c r="H33" s="39" t="s">
        <v>110</v>
      </c>
      <c r="I33" s="39" t="s">
        <v>111</v>
      </c>
      <c r="J33" s="36"/>
    </row>
    <row r="34" s="17" customFormat="1" customHeight="1" spans="1:10">
      <c r="A34" s="31">
        <v>4</v>
      </c>
      <c r="B34" s="39" t="s">
        <v>112</v>
      </c>
      <c r="C34" s="40" t="s">
        <v>13</v>
      </c>
      <c r="D34" s="40" t="s">
        <v>113</v>
      </c>
      <c r="E34" s="39" t="s">
        <v>114</v>
      </c>
      <c r="F34" s="40" t="s">
        <v>16</v>
      </c>
      <c r="G34" s="31">
        <v>10</v>
      </c>
      <c r="H34" s="39" t="s">
        <v>115</v>
      </c>
      <c r="I34" s="39" t="s">
        <v>116</v>
      </c>
      <c r="J34" s="36"/>
    </row>
    <row r="35" s="17" customFormat="1" customHeight="1" spans="1:10">
      <c r="A35" s="31">
        <v>5</v>
      </c>
      <c r="B35" s="39" t="s">
        <v>117</v>
      </c>
      <c r="C35" s="40" t="s">
        <v>13</v>
      </c>
      <c r="D35" s="40" t="s">
        <v>118</v>
      </c>
      <c r="E35" s="39" t="s">
        <v>119</v>
      </c>
      <c r="F35" s="40" t="s">
        <v>16</v>
      </c>
      <c r="G35" s="31">
        <v>41</v>
      </c>
      <c r="H35" s="39" t="s">
        <v>120</v>
      </c>
      <c r="I35" s="39" t="s">
        <v>121</v>
      </c>
      <c r="J35" s="36"/>
    </row>
    <row r="36" s="17" customFormat="1" customHeight="1" spans="1:10">
      <c r="A36" s="31">
        <v>6</v>
      </c>
      <c r="B36" s="39" t="s">
        <v>122</v>
      </c>
      <c r="C36" s="40" t="s">
        <v>13</v>
      </c>
      <c r="D36" s="40" t="s">
        <v>123</v>
      </c>
      <c r="E36" s="39" t="s">
        <v>124</v>
      </c>
      <c r="F36" s="40" t="s">
        <v>125</v>
      </c>
      <c r="G36" s="31">
        <v>10</v>
      </c>
      <c r="H36" s="39"/>
      <c r="I36" s="39"/>
      <c r="J36" s="36"/>
    </row>
    <row r="37" s="18" customFormat="1" customHeight="1" spans="1:10">
      <c r="A37" s="31">
        <v>7</v>
      </c>
      <c r="B37" s="39" t="s">
        <v>126</v>
      </c>
      <c r="C37" s="40" t="s">
        <v>127</v>
      </c>
      <c r="D37" s="40" t="s">
        <v>128</v>
      </c>
      <c r="E37" s="39" t="s">
        <v>129</v>
      </c>
      <c r="F37" s="40" t="s">
        <v>130</v>
      </c>
      <c r="G37" s="31">
        <v>3000</v>
      </c>
      <c r="H37" s="39" t="s">
        <v>131</v>
      </c>
      <c r="I37" s="39" t="s">
        <v>132</v>
      </c>
      <c r="J37" s="46"/>
    </row>
    <row r="38" s="18" customFormat="1" customHeight="1" spans="1:10">
      <c r="A38" s="31">
        <v>8</v>
      </c>
      <c r="B38" s="39" t="s">
        <v>133</v>
      </c>
      <c r="C38" s="40" t="s">
        <v>127</v>
      </c>
      <c r="D38" s="40" t="s">
        <v>134</v>
      </c>
      <c r="E38" s="39" t="s">
        <v>135</v>
      </c>
      <c r="F38" s="40" t="s">
        <v>136</v>
      </c>
      <c r="G38" s="31">
        <v>1</v>
      </c>
      <c r="H38" s="39" t="s">
        <v>137</v>
      </c>
      <c r="I38" s="39"/>
      <c r="J38" s="46"/>
    </row>
    <row r="39" s="17" customFormat="1" customHeight="1" spans="1:10">
      <c r="A39" s="31">
        <v>9</v>
      </c>
      <c r="B39" s="39" t="s">
        <v>138</v>
      </c>
      <c r="C39" s="40" t="s">
        <v>13</v>
      </c>
      <c r="D39" s="40" t="s">
        <v>139</v>
      </c>
      <c r="E39" s="39" t="s">
        <v>140</v>
      </c>
      <c r="F39" s="40" t="s">
        <v>16</v>
      </c>
      <c r="G39" s="31">
        <v>1</v>
      </c>
      <c r="H39" s="39" t="s">
        <v>141</v>
      </c>
      <c r="I39" s="39" t="s">
        <v>47</v>
      </c>
      <c r="J39" s="44" t="s">
        <v>142</v>
      </c>
    </row>
    <row r="40" s="17" customFormat="1" customHeight="1" spans="1:10">
      <c r="A40" s="31">
        <v>10</v>
      </c>
      <c r="B40" s="39" t="s">
        <v>143</v>
      </c>
      <c r="C40" s="40" t="s">
        <v>13</v>
      </c>
      <c r="D40" s="40" t="s">
        <v>144</v>
      </c>
      <c r="E40" s="39" t="s">
        <v>145</v>
      </c>
      <c r="F40" s="40" t="s">
        <v>16</v>
      </c>
      <c r="G40" s="31">
        <v>1</v>
      </c>
      <c r="H40" s="39"/>
      <c r="I40" s="39" t="s">
        <v>47</v>
      </c>
      <c r="J40" s="44" t="s">
        <v>146</v>
      </c>
    </row>
    <row r="41" s="16" customFormat="1" customHeight="1" spans="1:10">
      <c r="A41" s="28" t="s">
        <v>147</v>
      </c>
      <c r="B41" s="28"/>
      <c r="C41" s="28"/>
      <c r="D41" s="28"/>
      <c r="E41" s="28"/>
      <c r="F41" s="28"/>
      <c r="G41" s="29"/>
      <c r="H41" s="30"/>
      <c r="I41" s="30"/>
      <c r="J41" s="30"/>
    </row>
    <row r="42" s="17" customFormat="1" customHeight="1" spans="1:10">
      <c r="A42" s="31">
        <v>1</v>
      </c>
      <c r="B42" s="32" t="s">
        <v>148</v>
      </c>
      <c r="C42" s="33" t="s">
        <v>13</v>
      </c>
      <c r="D42" s="33" t="s">
        <v>149</v>
      </c>
      <c r="E42" s="32" t="s">
        <v>150</v>
      </c>
      <c r="F42" s="33" t="s">
        <v>16</v>
      </c>
      <c r="G42" s="33">
        <v>18</v>
      </c>
      <c r="H42" s="39" t="s">
        <v>151</v>
      </c>
      <c r="I42" s="39" t="s">
        <v>47</v>
      </c>
      <c r="J42" s="36"/>
    </row>
    <row r="43" s="17" customFormat="1" customHeight="1" spans="1:10">
      <c r="A43" s="31">
        <v>2</v>
      </c>
      <c r="B43" s="32" t="s">
        <v>152</v>
      </c>
      <c r="C43" s="33" t="s">
        <v>13</v>
      </c>
      <c r="D43" s="33" t="s">
        <v>153</v>
      </c>
      <c r="E43" s="32" t="s">
        <v>153</v>
      </c>
      <c r="F43" s="33" t="s">
        <v>16</v>
      </c>
      <c r="G43" s="33">
        <v>18</v>
      </c>
      <c r="H43" s="39"/>
      <c r="I43" s="39" t="s">
        <v>47</v>
      </c>
      <c r="J43" s="36"/>
    </row>
    <row r="44" s="17" customFormat="1" customHeight="1" spans="1:10">
      <c r="A44" s="31">
        <v>3</v>
      </c>
      <c r="B44" s="32" t="s">
        <v>154</v>
      </c>
      <c r="C44" s="33" t="s">
        <v>13</v>
      </c>
      <c r="D44" s="33" t="s">
        <v>155</v>
      </c>
      <c r="E44" s="32" t="s">
        <v>156</v>
      </c>
      <c r="F44" s="33" t="s">
        <v>16</v>
      </c>
      <c r="G44" s="33">
        <v>18</v>
      </c>
      <c r="H44" s="39"/>
      <c r="I44" s="39" t="s">
        <v>47</v>
      </c>
      <c r="J44" s="47" t="s">
        <v>157</v>
      </c>
    </row>
    <row r="45" s="17" customFormat="1" customHeight="1" spans="1:10">
      <c r="A45" s="31">
        <v>4</v>
      </c>
      <c r="B45" s="32" t="s">
        <v>154</v>
      </c>
      <c r="C45" s="33" t="s">
        <v>13</v>
      </c>
      <c r="D45" s="33" t="s">
        <v>158</v>
      </c>
      <c r="E45" s="32" t="s">
        <v>159</v>
      </c>
      <c r="F45" s="33" t="s">
        <v>16</v>
      </c>
      <c r="G45" s="33">
        <v>6</v>
      </c>
      <c r="H45" s="39"/>
      <c r="I45" s="39" t="s">
        <v>47</v>
      </c>
      <c r="J45" s="48"/>
    </row>
    <row r="46" s="17" customFormat="1" customHeight="1" spans="1:10">
      <c r="A46" s="31">
        <v>5</v>
      </c>
      <c r="B46" s="32" t="s">
        <v>160</v>
      </c>
      <c r="C46" s="33" t="s">
        <v>13</v>
      </c>
      <c r="D46" s="33" t="s">
        <v>161</v>
      </c>
      <c r="E46" s="32" t="s">
        <v>162</v>
      </c>
      <c r="F46" s="33" t="s">
        <v>16</v>
      </c>
      <c r="G46" s="33">
        <v>1</v>
      </c>
      <c r="H46" s="39" t="s">
        <v>163</v>
      </c>
      <c r="I46" s="39" t="s">
        <v>47</v>
      </c>
      <c r="J46" s="36"/>
    </row>
    <row r="47" s="17" customFormat="1" customHeight="1" spans="1:10">
      <c r="A47" s="31">
        <v>6</v>
      </c>
      <c r="B47" s="32" t="s">
        <v>164</v>
      </c>
      <c r="C47" s="33" t="s">
        <v>13</v>
      </c>
      <c r="D47" s="33" t="s">
        <v>165</v>
      </c>
      <c r="E47" s="32" t="s">
        <v>166</v>
      </c>
      <c r="F47" s="33" t="s">
        <v>167</v>
      </c>
      <c r="G47" s="33">
        <v>1</v>
      </c>
      <c r="H47" s="39"/>
      <c r="I47" s="39"/>
      <c r="J47" s="36"/>
    </row>
    <row r="48" s="17" customFormat="1" customHeight="1" spans="1:10">
      <c r="A48" s="31">
        <v>7</v>
      </c>
      <c r="B48" s="39" t="s">
        <v>168</v>
      </c>
      <c r="C48" s="40" t="s">
        <v>169</v>
      </c>
      <c r="D48" s="40" t="s">
        <v>170</v>
      </c>
      <c r="E48" s="39" t="s">
        <v>171</v>
      </c>
      <c r="F48" s="40" t="s">
        <v>172</v>
      </c>
      <c r="G48" s="31">
        <v>20</v>
      </c>
      <c r="H48" s="39"/>
      <c r="I48" s="39" t="s">
        <v>47</v>
      </c>
      <c r="J48" s="36"/>
    </row>
    <row r="49" s="19" customFormat="1" customHeight="1" spans="1:10">
      <c r="A49" s="31">
        <v>8</v>
      </c>
      <c r="B49" s="39" t="s">
        <v>173</v>
      </c>
      <c r="C49" s="40" t="s">
        <v>127</v>
      </c>
      <c r="D49" s="40" t="s">
        <v>174</v>
      </c>
      <c r="E49" s="39" t="s">
        <v>175</v>
      </c>
      <c r="F49" s="40" t="s">
        <v>55</v>
      </c>
      <c r="G49" s="31">
        <v>1</v>
      </c>
      <c r="H49" s="39"/>
      <c r="I49" s="39" t="s">
        <v>47</v>
      </c>
      <c r="J49" s="49"/>
    </row>
    <row r="50" s="19" customFormat="1" customHeight="1" spans="1:10">
      <c r="A50" s="31">
        <v>9</v>
      </c>
      <c r="B50" s="39" t="s">
        <v>176</v>
      </c>
      <c r="C50" s="40" t="s">
        <v>127</v>
      </c>
      <c r="D50" s="40" t="s">
        <v>174</v>
      </c>
      <c r="E50" s="39" t="s">
        <v>177</v>
      </c>
      <c r="F50" s="40" t="s">
        <v>178</v>
      </c>
      <c r="G50" s="31">
        <v>4</v>
      </c>
      <c r="H50" s="39"/>
      <c r="I50" s="39" t="s">
        <v>47</v>
      </c>
      <c r="J50" s="49"/>
    </row>
    <row r="51" s="19" customFormat="1" customHeight="1" spans="1:10">
      <c r="A51" s="31">
        <v>10</v>
      </c>
      <c r="B51" s="39" t="s">
        <v>179</v>
      </c>
      <c r="C51" s="40" t="s">
        <v>180</v>
      </c>
      <c r="D51" s="40" t="s">
        <v>174</v>
      </c>
      <c r="E51" s="39" t="s">
        <v>181</v>
      </c>
      <c r="F51" s="40" t="s">
        <v>16</v>
      </c>
      <c r="G51" s="31">
        <v>2</v>
      </c>
      <c r="H51" s="39"/>
      <c r="I51" s="39" t="s">
        <v>47</v>
      </c>
      <c r="J51" s="49"/>
    </row>
    <row r="52" s="19" customFormat="1" customHeight="1" spans="1:10">
      <c r="A52" s="31">
        <v>11</v>
      </c>
      <c r="B52" s="39" t="s">
        <v>182</v>
      </c>
      <c r="C52" s="40" t="s">
        <v>127</v>
      </c>
      <c r="D52" s="40" t="s">
        <v>174</v>
      </c>
      <c r="E52" s="39"/>
      <c r="F52" s="40" t="s">
        <v>136</v>
      </c>
      <c r="G52" s="31">
        <v>1</v>
      </c>
      <c r="H52" s="39"/>
      <c r="I52" s="39" t="s">
        <v>47</v>
      </c>
      <c r="J52" s="49"/>
    </row>
    <row r="53" s="16" customFormat="1" customHeight="1" spans="1:10">
      <c r="A53" s="28" t="s">
        <v>183</v>
      </c>
      <c r="B53" s="28"/>
      <c r="C53" s="28"/>
      <c r="D53" s="28"/>
      <c r="E53" s="28"/>
      <c r="F53" s="28"/>
      <c r="G53" s="29"/>
      <c r="H53" s="30"/>
      <c r="I53" s="30"/>
      <c r="J53" s="30"/>
    </row>
    <row r="54" s="16" customFormat="1" customHeight="1" spans="1:10">
      <c r="A54" s="31">
        <v>1</v>
      </c>
      <c r="B54" s="39" t="s">
        <v>184</v>
      </c>
      <c r="C54" s="40" t="s">
        <v>13</v>
      </c>
      <c r="D54" s="40" t="s">
        <v>185</v>
      </c>
      <c r="E54" s="39" t="s">
        <v>186</v>
      </c>
      <c r="F54" s="31" t="s">
        <v>109</v>
      </c>
      <c r="G54" s="31">
        <v>146</v>
      </c>
      <c r="H54" s="39" t="s">
        <v>187</v>
      </c>
      <c r="I54" s="39"/>
      <c r="J54" s="50"/>
    </row>
    <row r="55" s="18" customFormat="1" customHeight="1" spans="1:10">
      <c r="A55" s="31">
        <v>2</v>
      </c>
      <c r="B55" s="39" t="s">
        <v>188</v>
      </c>
      <c r="C55" s="40" t="s">
        <v>127</v>
      </c>
      <c r="D55" s="40" t="s">
        <v>189</v>
      </c>
      <c r="E55" s="39" t="s">
        <v>190</v>
      </c>
      <c r="F55" s="40" t="s">
        <v>109</v>
      </c>
      <c r="G55" s="31">
        <v>35</v>
      </c>
      <c r="H55" s="39" t="s">
        <v>191</v>
      </c>
      <c r="I55" s="39" t="s">
        <v>192</v>
      </c>
      <c r="J55" s="46"/>
    </row>
    <row r="56" s="18" customFormat="1" customHeight="1" spans="1:10">
      <c r="A56" s="31">
        <v>3</v>
      </c>
      <c r="B56" s="39" t="s">
        <v>193</v>
      </c>
      <c r="C56" s="40" t="s">
        <v>127</v>
      </c>
      <c r="D56" s="40" t="s">
        <v>174</v>
      </c>
      <c r="E56" s="39" t="s">
        <v>194</v>
      </c>
      <c r="F56" s="40" t="s">
        <v>195</v>
      </c>
      <c r="G56" s="31">
        <v>15</v>
      </c>
      <c r="H56" s="39" t="s">
        <v>196</v>
      </c>
      <c r="I56" s="39" t="s">
        <v>192</v>
      </c>
      <c r="J56" s="46"/>
    </row>
    <row r="57" s="18" customFormat="1" customHeight="1" spans="1:10">
      <c r="A57" s="31">
        <v>4</v>
      </c>
      <c r="B57" s="39" t="s">
        <v>197</v>
      </c>
      <c r="C57" s="40" t="s">
        <v>127</v>
      </c>
      <c r="D57" s="40" t="s">
        <v>198</v>
      </c>
      <c r="E57" s="39" t="s">
        <v>199</v>
      </c>
      <c r="F57" s="40" t="s">
        <v>200</v>
      </c>
      <c r="G57" s="31">
        <v>30</v>
      </c>
      <c r="H57" s="39" t="s">
        <v>201</v>
      </c>
      <c r="I57" s="39" t="s">
        <v>202</v>
      </c>
      <c r="J57" s="46"/>
    </row>
    <row r="58" s="18" customFormat="1" customHeight="1" spans="1:10">
      <c r="A58" s="31">
        <v>5</v>
      </c>
      <c r="B58" s="39" t="s">
        <v>203</v>
      </c>
      <c r="C58" s="40" t="s">
        <v>127</v>
      </c>
      <c r="D58" s="40" t="s">
        <v>204</v>
      </c>
      <c r="E58" s="39" t="s">
        <v>204</v>
      </c>
      <c r="F58" s="40" t="s">
        <v>130</v>
      </c>
      <c r="G58" s="31">
        <f>G55*40</f>
        <v>1400</v>
      </c>
      <c r="H58" s="39" t="s">
        <v>205</v>
      </c>
      <c r="I58" s="39" t="s">
        <v>206</v>
      </c>
      <c r="J58" s="46"/>
    </row>
    <row r="59" s="18" customFormat="1" customHeight="1" spans="1:10">
      <c r="A59" s="31">
        <v>6</v>
      </c>
      <c r="B59" s="39" t="s">
        <v>207</v>
      </c>
      <c r="C59" s="40" t="s">
        <v>127</v>
      </c>
      <c r="D59" s="40" t="s">
        <v>208</v>
      </c>
      <c r="E59" s="39"/>
      <c r="F59" s="40" t="s">
        <v>130</v>
      </c>
      <c r="G59" s="31">
        <f>G58</f>
        <v>1400</v>
      </c>
      <c r="H59" s="39" t="s">
        <v>209</v>
      </c>
      <c r="I59" s="39" t="s">
        <v>210</v>
      </c>
      <c r="J59" s="46"/>
    </row>
    <row r="60" s="18" customFormat="1" customHeight="1" spans="1:10">
      <c r="A60" s="31">
        <v>7</v>
      </c>
      <c r="B60" s="39" t="s">
        <v>211</v>
      </c>
      <c r="C60" s="40" t="s">
        <v>127</v>
      </c>
      <c r="D60" s="40" t="s">
        <v>174</v>
      </c>
      <c r="E60" s="39" t="s">
        <v>212</v>
      </c>
      <c r="F60" s="40" t="s">
        <v>213</v>
      </c>
      <c r="G60" s="31">
        <v>1</v>
      </c>
      <c r="H60" s="39" t="s">
        <v>39</v>
      </c>
      <c r="I60" s="39"/>
      <c r="J60" s="46"/>
    </row>
    <row r="61" s="18" customFormat="1" customHeight="1" spans="1:10">
      <c r="A61" s="31">
        <v>8</v>
      </c>
      <c r="B61" s="39" t="s">
        <v>214</v>
      </c>
      <c r="C61" s="40" t="s">
        <v>215</v>
      </c>
      <c r="D61" s="40" t="s">
        <v>216</v>
      </c>
      <c r="E61" s="39" t="s">
        <v>217</v>
      </c>
      <c r="F61" s="40" t="s">
        <v>136</v>
      </c>
      <c r="G61" s="31">
        <v>1</v>
      </c>
      <c r="H61" s="39"/>
      <c r="I61" s="39"/>
      <c r="J61" s="46"/>
    </row>
    <row r="62" s="16" customFormat="1" customHeight="1" spans="1:10">
      <c r="A62" s="28"/>
      <c r="B62" s="28"/>
      <c r="C62" s="28"/>
      <c r="D62" s="28"/>
      <c r="E62" s="28"/>
      <c r="F62" s="28"/>
      <c r="G62" s="29"/>
      <c r="H62" s="30"/>
      <c r="I62" s="30"/>
      <c r="J62" s="30"/>
    </row>
    <row r="63" s="17" customFormat="1" customHeight="1" spans="1:10">
      <c r="A63" s="51"/>
      <c r="B63" s="39"/>
      <c r="C63" s="40"/>
      <c r="D63" s="40"/>
      <c r="E63" s="39"/>
      <c r="F63" s="40"/>
      <c r="G63" s="40"/>
      <c r="H63" s="41"/>
      <c r="I63" s="41"/>
      <c r="J63" s="36"/>
    </row>
    <row r="64" s="17" customFormat="1" customHeight="1" spans="1:10">
      <c r="A64" s="31"/>
      <c r="B64" s="39"/>
      <c r="C64" s="40"/>
      <c r="D64" s="40"/>
      <c r="E64" s="52"/>
      <c r="F64" s="40"/>
      <c r="G64" s="40"/>
      <c r="H64" s="52"/>
      <c r="I64" s="35"/>
      <c r="J64" s="36"/>
    </row>
    <row r="65" s="17" customFormat="1" customHeight="1" spans="1:10">
      <c r="A65" s="51"/>
      <c r="B65" s="39"/>
      <c r="C65" s="40"/>
      <c r="D65" s="40"/>
      <c r="E65" s="39"/>
      <c r="F65" s="40"/>
      <c r="G65" s="40"/>
      <c r="H65" s="52"/>
      <c r="I65" s="35"/>
      <c r="J65" s="36"/>
    </row>
    <row r="66" s="17" customFormat="1" customHeight="1" spans="1:10">
      <c r="A66" s="31"/>
      <c r="B66" s="39"/>
      <c r="C66" s="40"/>
      <c r="D66" s="40"/>
      <c r="E66" s="39"/>
      <c r="F66" s="40"/>
      <c r="G66" s="40"/>
      <c r="H66" s="52"/>
      <c r="I66" s="35"/>
      <c r="J66" s="36"/>
    </row>
    <row r="67" s="20" customFormat="1" customHeight="1" spans="1:10">
      <c r="A67" s="53"/>
      <c r="B67" s="53"/>
      <c r="C67" s="53"/>
      <c r="D67" s="53"/>
      <c r="E67" s="53"/>
      <c r="F67" s="53"/>
      <c r="G67" s="53"/>
      <c r="H67" s="54"/>
      <c r="I67" s="54"/>
      <c r="J67" s="55"/>
    </row>
    <row r="68" ht="34" customHeight="1" spans="1:10">
      <c r="A68" s="56"/>
      <c r="B68" s="57"/>
      <c r="C68" s="56"/>
      <c r="D68" s="56"/>
      <c r="E68" s="56"/>
      <c r="F68" s="56"/>
      <c r="G68" s="56"/>
      <c r="H68" s="57"/>
      <c r="I68" s="56"/>
      <c r="J68" s="36"/>
    </row>
    <row r="69" s="17" customFormat="1" customHeight="1" spans="1:10">
      <c r="A69" s="21"/>
      <c r="B69" s="22"/>
      <c r="E69" s="22"/>
      <c r="G69" s="23"/>
      <c r="H69" s="22"/>
      <c r="I69" s="22"/>
    </row>
    <row r="70" s="17" customFormat="1" customHeight="1" spans="1:10">
      <c r="A70" s="21"/>
      <c r="B70" s="22"/>
      <c r="E70" s="22"/>
      <c r="G70" s="23"/>
      <c r="H70" s="22"/>
      <c r="I70" s="22"/>
    </row>
    <row r="71" s="17" customFormat="1" customHeight="1" spans="1:10">
      <c r="A71" s="21"/>
      <c r="B71" s="22"/>
      <c r="E71" s="22"/>
      <c r="G71" s="23"/>
      <c r="H71" s="58"/>
      <c r="I71" s="22"/>
    </row>
    <row r="72" s="17" customFormat="1" customHeight="1" spans="1:10">
      <c r="A72" s="21"/>
      <c r="B72" s="22"/>
      <c r="E72" s="22"/>
      <c r="G72" s="23"/>
      <c r="H72" s="59"/>
      <c r="I72" s="60"/>
    </row>
    <row r="73" customHeight="1" spans="1:10">
      <c r="H73" s="58"/>
    </row>
    <row r="74" s="17" customFormat="1" customHeight="1" spans="1:10">
      <c r="A74" s="21"/>
      <c r="B74" s="22"/>
      <c r="E74" s="22"/>
      <c r="G74" s="23"/>
      <c r="H74" s="58"/>
      <c r="I74" s="22"/>
    </row>
    <row r="75" s="17" customFormat="1" customHeight="1" spans="1:10">
      <c r="A75" s="21"/>
      <c r="B75" s="22"/>
      <c r="E75" s="22"/>
      <c r="G75" s="23"/>
      <c r="H75" s="59"/>
      <c r="I75" s="60"/>
    </row>
    <row r="76" customHeight="1" spans="1:10">
      <c r="H76" s="58"/>
    </row>
    <row r="77" customHeight="1" spans="1:10">
      <c r="H77" s="58"/>
    </row>
    <row r="78" customHeight="1" spans="1:10">
      <c r="H78" s="58"/>
    </row>
    <row r="79" customHeight="1" spans="1:10">
      <c r="H79" s="58"/>
    </row>
  </sheetData>
  <mergeCells count="16">
    <mergeCell ref="A1:J1"/>
    <mergeCell ref="A3:G3"/>
    <mergeCell ref="A8:G8"/>
    <mergeCell ref="A12:G12"/>
    <mergeCell ref="A17:G17"/>
    <mergeCell ref="A30:G30"/>
    <mergeCell ref="A41:G41"/>
    <mergeCell ref="A53:G53"/>
    <mergeCell ref="A62:G62"/>
    <mergeCell ref="B67:G67"/>
    <mergeCell ref="A68:I68"/>
    <mergeCell ref="H9:H11"/>
    <mergeCell ref="H39:H40"/>
    <mergeCell ref="I9:I11"/>
    <mergeCell ref="I25:I29"/>
    <mergeCell ref="J44:J4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
  <sheetViews>
    <sheetView zoomScale="85" zoomScaleNormal="85" workbookViewId="0">
      <pane ySplit="2" topLeftCell="A3" activePane="bottomLeft" state="frozen"/>
      <selection/>
      <selection pane="bottomLeft" activeCell="B20" sqref="B20:S20"/>
    </sheetView>
  </sheetViews>
  <sheetFormatPr defaultColWidth="8.73333333333333" defaultRowHeight="32" customHeight="1"/>
  <cols>
    <col min="1" max="1" width="8.73333333333333" style="2"/>
    <col min="2" max="2" width="15.3333333333333" style="2" customWidth="1"/>
    <col min="3" max="3" width="17.8416666666667" style="3" customWidth="1"/>
    <col min="4" max="19" width="9.75833333333333" style="2" customWidth="1"/>
    <col min="20" max="20" width="11.1416666666667" style="2" customWidth="1"/>
    <col min="21" max="16384" width="8.73333333333333" style="2"/>
  </cols>
  <sheetData>
    <row r="1" customHeight="1" spans="1:20">
      <c r="A1" s="4" t="s">
        <v>218</v>
      </c>
      <c r="B1" s="4"/>
      <c r="C1" s="4"/>
      <c r="D1" s="4"/>
      <c r="E1" s="4"/>
      <c r="F1" s="4"/>
      <c r="G1" s="4"/>
      <c r="H1" s="4"/>
      <c r="I1" s="4"/>
      <c r="J1" s="4"/>
      <c r="K1" s="4"/>
      <c r="L1" s="4"/>
      <c r="M1" s="4"/>
      <c r="N1" s="4"/>
      <c r="O1" s="4"/>
      <c r="P1" s="4"/>
      <c r="Q1" s="4"/>
      <c r="R1" s="4"/>
      <c r="S1" s="4"/>
      <c r="T1" s="4"/>
    </row>
    <row r="2" customHeight="1" spans="1:20">
      <c r="A2" s="5" t="s">
        <v>1</v>
      </c>
      <c r="B2" s="5" t="s">
        <v>219</v>
      </c>
      <c r="C2" s="6" t="s">
        <v>220</v>
      </c>
      <c r="D2" s="5" t="s">
        <v>221</v>
      </c>
      <c r="E2" s="5" t="s">
        <v>222</v>
      </c>
      <c r="F2" s="5" t="s">
        <v>223</v>
      </c>
      <c r="G2" s="5" t="s">
        <v>224</v>
      </c>
      <c r="H2" s="5" t="s">
        <v>225</v>
      </c>
      <c r="I2" s="5" t="s">
        <v>226</v>
      </c>
      <c r="J2" s="5" t="s">
        <v>227</v>
      </c>
      <c r="K2" s="5" t="s">
        <v>228</v>
      </c>
      <c r="L2" s="5" t="s">
        <v>229</v>
      </c>
      <c r="M2" s="5" t="s">
        <v>230</v>
      </c>
      <c r="N2" s="5" t="s">
        <v>231</v>
      </c>
      <c r="O2" s="5" t="s">
        <v>232</v>
      </c>
      <c r="P2" s="5" t="s">
        <v>233</v>
      </c>
      <c r="Q2" s="5" t="s">
        <v>234</v>
      </c>
      <c r="R2" s="5" t="s">
        <v>235</v>
      </c>
      <c r="S2" s="5" t="s">
        <v>236</v>
      </c>
      <c r="T2" s="5" t="s">
        <v>237</v>
      </c>
    </row>
    <row r="3" customHeight="1" spans="1:20">
      <c r="A3" s="7">
        <v>1</v>
      </c>
      <c r="B3" s="7" t="s">
        <v>238</v>
      </c>
      <c r="C3" s="8" t="s">
        <v>239</v>
      </c>
      <c r="D3" s="9">
        <v>67</v>
      </c>
      <c r="E3" s="9">
        <v>63</v>
      </c>
      <c r="F3" s="10"/>
      <c r="G3" s="10"/>
      <c r="H3" s="10">
        <v>46</v>
      </c>
      <c r="I3" s="10">
        <v>21</v>
      </c>
      <c r="J3" s="10">
        <v>1</v>
      </c>
      <c r="K3" s="10">
        <v>2</v>
      </c>
      <c r="L3" s="10">
        <v>23</v>
      </c>
      <c r="M3" s="10"/>
      <c r="N3" s="10">
        <v>23</v>
      </c>
      <c r="O3" s="10">
        <v>23</v>
      </c>
      <c r="P3" s="10">
        <v>47</v>
      </c>
      <c r="Q3" s="10">
        <v>1</v>
      </c>
      <c r="R3" s="10">
        <v>8</v>
      </c>
      <c r="S3" s="10">
        <v>6</v>
      </c>
      <c r="T3" s="10">
        <v>48</v>
      </c>
    </row>
    <row r="4" customHeight="1" spans="1:20">
      <c r="A4" s="11"/>
      <c r="B4" s="11"/>
      <c r="C4" s="8" t="s">
        <v>240</v>
      </c>
      <c r="D4" s="9">
        <v>70</v>
      </c>
      <c r="E4" s="9">
        <v>90</v>
      </c>
      <c r="F4" s="10"/>
      <c r="G4" s="10"/>
      <c r="H4" s="10">
        <v>70</v>
      </c>
      <c r="I4" s="10">
        <v>0</v>
      </c>
      <c r="J4" s="10">
        <v>1</v>
      </c>
      <c r="K4" s="10">
        <v>2</v>
      </c>
      <c r="L4" s="10">
        <v>2</v>
      </c>
      <c r="M4" s="10"/>
      <c r="N4" s="10">
        <v>2</v>
      </c>
      <c r="O4" s="10">
        <v>2</v>
      </c>
      <c r="P4" s="10">
        <v>4</v>
      </c>
      <c r="Q4" s="10">
        <v>1</v>
      </c>
      <c r="R4" s="10">
        <v>4</v>
      </c>
      <c r="S4" s="10">
        <v>1</v>
      </c>
      <c r="T4" s="10">
        <v>4</v>
      </c>
    </row>
    <row r="5" customHeight="1" spans="1:20">
      <c r="A5" s="11"/>
      <c r="B5" s="11"/>
      <c r="C5" s="8" t="s">
        <v>241</v>
      </c>
      <c r="D5" s="9">
        <v>58</v>
      </c>
      <c r="E5" s="9">
        <v>30</v>
      </c>
      <c r="F5" s="10"/>
      <c r="G5" s="9">
        <v>58</v>
      </c>
      <c r="H5" s="10">
        <v>19</v>
      </c>
      <c r="I5" s="10">
        <v>39</v>
      </c>
      <c r="J5" s="10">
        <v>1</v>
      </c>
      <c r="K5" s="10">
        <v>2</v>
      </c>
      <c r="L5" s="10">
        <v>41</v>
      </c>
      <c r="M5" s="10"/>
      <c r="N5" s="10">
        <v>41</v>
      </c>
      <c r="O5" s="10">
        <v>41</v>
      </c>
      <c r="P5" s="10">
        <v>84</v>
      </c>
      <c r="Q5" s="10">
        <v>1</v>
      </c>
      <c r="R5" s="10">
        <v>6</v>
      </c>
      <c r="S5" s="10">
        <v>14</v>
      </c>
      <c r="T5" s="10">
        <v>84</v>
      </c>
    </row>
    <row r="6" customHeight="1" spans="1:20">
      <c r="A6" s="11"/>
      <c r="B6" s="11"/>
      <c r="C6" s="8" t="s">
        <v>242</v>
      </c>
      <c r="D6" s="9">
        <v>27</v>
      </c>
      <c r="E6" s="9">
        <v>30</v>
      </c>
      <c r="F6" s="10"/>
      <c r="G6" s="9">
        <v>27</v>
      </c>
      <c r="H6" s="10">
        <v>9</v>
      </c>
      <c r="I6" s="10">
        <v>18</v>
      </c>
      <c r="J6" s="10"/>
      <c r="K6" s="10">
        <v>2</v>
      </c>
      <c r="L6" s="10">
        <v>20</v>
      </c>
      <c r="M6" s="10"/>
      <c r="N6" s="10">
        <v>20</v>
      </c>
      <c r="O6" s="10">
        <v>58</v>
      </c>
      <c r="P6" s="10">
        <v>118</v>
      </c>
      <c r="Q6" s="10">
        <v>1</v>
      </c>
      <c r="R6" s="10">
        <v>8</v>
      </c>
      <c r="S6" s="10">
        <v>15</v>
      </c>
      <c r="T6" s="10">
        <v>120</v>
      </c>
    </row>
    <row r="7" customHeight="1" spans="1:20">
      <c r="A7" s="11"/>
      <c r="B7" s="11"/>
      <c r="C7" s="8" t="s">
        <v>243</v>
      </c>
      <c r="D7" s="9">
        <v>10</v>
      </c>
      <c r="E7" s="9">
        <v>30</v>
      </c>
      <c r="F7" s="10"/>
      <c r="G7" s="9">
        <v>8</v>
      </c>
      <c r="H7" s="10">
        <v>3</v>
      </c>
      <c r="I7" s="10">
        <v>7</v>
      </c>
      <c r="J7" s="10">
        <v>1</v>
      </c>
      <c r="K7" s="10">
        <v>2</v>
      </c>
      <c r="L7" s="10">
        <v>9</v>
      </c>
      <c r="M7" s="10"/>
      <c r="N7" s="10">
        <v>9</v>
      </c>
      <c r="O7" s="10">
        <v>23</v>
      </c>
      <c r="P7" s="10">
        <v>47</v>
      </c>
      <c r="Q7" s="10">
        <v>1</v>
      </c>
      <c r="R7" s="10">
        <v>8</v>
      </c>
      <c r="S7" s="10">
        <v>6</v>
      </c>
      <c r="T7" s="10">
        <v>48</v>
      </c>
    </row>
    <row r="8" customHeight="1" spans="1:20">
      <c r="A8" s="11"/>
      <c r="B8" s="11"/>
      <c r="C8" s="8" t="s">
        <v>244</v>
      </c>
      <c r="D8" s="9">
        <v>17</v>
      </c>
      <c r="E8" s="9">
        <v>30</v>
      </c>
      <c r="F8" s="10"/>
      <c r="G8" s="10"/>
      <c r="H8" s="10">
        <v>5</v>
      </c>
      <c r="I8" s="10">
        <v>12</v>
      </c>
      <c r="J8" s="10">
        <v>1</v>
      </c>
      <c r="K8" s="10">
        <v>2</v>
      </c>
      <c r="L8" s="10">
        <v>14</v>
      </c>
      <c r="M8" s="10"/>
      <c r="N8" s="10">
        <v>14</v>
      </c>
      <c r="O8" s="10">
        <v>14</v>
      </c>
      <c r="P8" s="10">
        <v>29</v>
      </c>
      <c r="Q8" s="10">
        <v>1</v>
      </c>
      <c r="R8" s="10">
        <v>6</v>
      </c>
      <c r="S8" s="10">
        <v>5</v>
      </c>
      <c r="T8" s="10">
        <v>30</v>
      </c>
    </row>
    <row r="9" customHeight="1" spans="1:20">
      <c r="A9" s="12"/>
      <c r="B9" s="12"/>
      <c r="C9" s="8" t="s">
        <v>245</v>
      </c>
      <c r="D9" s="9">
        <v>16</v>
      </c>
      <c r="E9" s="9">
        <v>90</v>
      </c>
      <c r="F9" s="10"/>
      <c r="G9" s="10"/>
      <c r="H9" s="10">
        <v>16</v>
      </c>
      <c r="I9" s="10">
        <v>0</v>
      </c>
      <c r="J9" s="10">
        <v>1</v>
      </c>
      <c r="K9" s="10">
        <v>2</v>
      </c>
      <c r="L9" s="10">
        <v>2</v>
      </c>
      <c r="M9" s="10"/>
      <c r="N9" s="10">
        <v>2</v>
      </c>
      <c r="O9" s="10">
        <v>2</v>
      </c>
      <c r="P9" s="10">
        <v>4</v>
      </c>
      <c r="Q9" s="10">
        <v>1</v>
      </c>
      <c r="R9" s="10">
        <v>4</v>
      </c>
      <c r="S9" s="10">
        <v>1</v>
      </c>
      <c r="T9" s="10">
        <v>4</v>
      </c>
    </row>
    <row r="10" customHeight="1" spans="1:20">
      <c r="A10" s="7">
        <v>2</v>
      </c>
      <c r="B10" s="7" t="s">
        <v>246</v>
      </c>
      <c r="C10" s="8" t="s">
        <v>247</v>
      </c>
      <c r="D10" s="9">
        <v>139</v>
      </c>
      <c r="E10" s="9">
        <v>40</v>
      </c>
      <c r="F10" s="10"/>
      <c r="G10" s="10"/>
      <c r="H10" s="10">
        <v>61</v>
      </c>
      <c r="I10" s="10">
        <v>78</v>
      </c>
      <c r="J10" s="10"/>
      <c r="K10" s="10">
        <v>2</v>
      </c>
      <c r="L10" s="10">
        <v>80</v>
      </c>
      <c r="M10" s="10"/>
      <c r="N10" s="10">
        <v>80</v>
      </c>
      <c r="O10" s="10">
        <v>80</v>
      </c>
      <c r="P10" s="10">
        <v>163</v>
      </c>
      <c r="Q10" s="10">
        <v>1</v>
      </c>
      <c r="R10" s="10">
        <v>8</v>
      </c>
      <c r="S10" s="10">
        <v>21</v>
      </c>
      <c r="T10" s="10">
        <v>168</v>
      </c>
    </row>
    <row r="11" customHeight="1" spans="1:20">
      <c r="A11" s="11"/>
      <c r="B11" s="11"/>
      <c r="C11" s="8" t="s">
        <v>248</v>
      </c>
      <c r="D11" s="9">
        <v>118</v>
      </c>
      <c r="E11" s="9">
        <v>60</v>
      </c>
      <c r="F11" s="10"/>
      <c r="G11" s="10"/>
      <c r="H11" s="10">
        <v>78</v>
      </c>
      <c r="I11" s="10">
        <v>40</v>
      </c>
      <c r="J11" s="10"/>
      <c r="K11" s="10">
        <v>2</v>
      </c>
      <c r="L11" s="10">
        <v>42</v>
      </c>
      <c r="M11" s="10"/>
      <c r="N11" s="10">
        <v>42</v>
      </c>
      <c r="O11" s="10">
        <v>42</v>
      </c>
      <c r="P11" s="10">
        <v>86</v>
      </c>
      <c r="Q11" s="10">
        <v>1</v>
      </c>
      <c r="R11" s="10">
        <v>8</v>
      </c>
      <c r="S11" s="10">
        <v>11</v>
      </c>
      <c r="T11" s="10">
        <v>88</v>
      </c>
    </row>
    <row r="12" customHeight="1" spans="1:20">
      <c r="A12" s="12"/>
      <c r="B12" s="12"/>
      <c r="C12" s="8" t="s">
        <v>249</v>
      </c>
      <c r="D12" s="9">
        <v>25</v>
      </c>
      <c r="E12" s="9">
        <v>60</v>
      </c>
      <c r="F12" s="10"/>
      <c r="G12" s="10"/>
      <c r="H12" s="10">
        <v>16</v>
      </c>
      <c r="I12" s="10">
        <v>9</v>
      </c>
      <c r="J12" s="10"/>
      <c r="K12" s="10">
        <v>2</v>
      </c>
      <c r="L12" s="10">
        <v>11</v>
      </c>
      <c r="M12" s="10"/>
      <c r="N12" s="10">
        <v>11</v>
      </c>
      <c r="O12" s="10">
        <v>155</v>
      </c>
      <c r="P12" s="10">
        <v>316</v>
      </c>
      <c r="Q12" s="10">
        <v>1</v>
      </c>
      <c r="R12" s="10">
        <v>20</v>
      </c>
      <c r="S12" s="10">
        <v>16</v>
      </c>
      <c r="T12" s="10">
        <v>320</v>
      </c>
    </row>
    <row r="13" customHeight="1" spans="1:20">
      <c r="A13" s="7">
        <v>3</v>
      </c>
      <c r="B13" s="7" t="s">
        <v>250</v>
      </c>
      <c r="C13" s="8" t="s">
        <v>251</v>
      </c>
      <c r="D13" s="9">
        <v>39</v>
      </c>
      <c r="E13" s="9">
        <v>30</v>
      </c>
      <c r="F13" s="10" t="s">
        <v>252</v>
      </c>
      <c r="G13" s="9">
        <v>46</v>
      </c>
      <c r="H13" s="10">
        <v>13</v>
      </c>
      <c r="I13" s="10">
        <v>26</v>
      </c>
      <c r="J13" s="10">
        <v>1</v>
      </c>
      <c r="K13" s="10">
        <v>2</v>
      </c>
      <c r="L13" s="10">
        <v>28</v>
      </c>
      <c r="M13" s="10">
        <v>34</v>
      </c>
      <c r="N13" s="10">
        <v>62</v>
      </c>
      <c r="O13" s="10">
        <v>67</v>
      </c>
      <c r="P13" s="10">
        <v>137</v>
      </c>
      <c r="Q13" s="10">
        <v>1</v>
      </c>
      <c r="R13" s="10">
        <v>6</v>
      </c>
      <c r="S13" s="10">
        <v>23</v>
      </c>
      <c r="T13" s="10">
        <v>138</v>
      </c>
    </row>
    <row r="14" customHeight="1" spans="1:20">
      <c r="A14" s="11"/>
      <c r="B14" s="11"/>
      <c r="C14" s="8" t="s">
        <v>253</v>
      </c>
      <c r="D14" s="9">
        <v>17</v>
      </c>
      <c r="E14" s="9">
        <v>30</v>
      </c>
      <c r="F14" s="10"/>
      <c r="G14" s="9"/>
      <c r="H14" s="10">
        <v>5</v>
      </c>
      <c r="I14" s="10">
        <v>12</v>
      </c>
      <c r="J14" s="10">
        <v>1</v>
      </c>
      <c r="K14" s="10">
        <v>2</v>
      </c>
      <c r="L14" s="10">
        <v>14</v>
      </c>
      <c r="M14" s="10">
        <v>10</v>
      </c>
      <c r="N14" s="10">
        <v>24</v>
      </c>
      <c r="O14" s="10">
        <v>24</v>
      </c>
      <c r="P14" s="10">
        <v>49</v>
      </c>
      <c r="Q14" s="10">
        <v>1</v>
      </c>
      <c r="R14" s="10">
        <v>4</v>
      </c>
      <c r="S14" s="10">
        <v>13</v>
      </c>
      <c r="T14" s="10">
        <v>52</v>
      </c>
    </row>
    <row r="15" customHeight="1" spans="1:20">
      <c r="A15" s="12"/>
      <c r="B15" s="12"/>
      <c r="C15" s="8" t="s">
        <v>254</v>
      </c>
      <c r="D15" s="9">
        <v>22</v>
      </c>
      <c r="E15" s="9">
        <v>30</v>
      </c>
      <c r="F15" s="10"/>
      <c r="G15" s="9"/>
      <c r="H15" s="10">
        <v>7</v>
      </c>
      <c r="I15" s="10">
        <v>15</v>
      </c>
      <c r="J15" s="10">
        <v>1</v>
      </c>
      <c r="K15" s="10">
        <v>2</v>
      </c>
      <c r="L15" s="10">
        <v>17</v>
      </c>
      <c r="M15" s="10"/>
      <c r="N15" s="10">
        <v>17</v>
      </c>
      <c r="O15" s="10">
        <v>20</v>
      </c>
      <c r="P15" s="10">
        <v>41</v>
      </c>
      <c r="Q15" s="10">
        <v>1</v>
      </c>
      <c r="R15" s="10">
        <v>8</v>
      </c>
      <c r="S15" s="10">
        <v>5</v>
      </c>
      <c r="T15" s="10">
        <v>40</v>
      </c>
    </row>
    <row r="16" customHeight="1" spans="1:20">
      <c r="A16" s="9">
        <v>4</v>
      </c>
      <c r="B16" s="9" t="s">
        <v>255</v>
      </c>
      <c r="C16" s="8" t="s">
        <v>256</v>
      </c>
      <c r="D16" s="9">
        <v>144</v>
      </c>
      <c r="E16" s="9">
        <v>60</v>
      </c>
      <c r="F16" s="9" t="s">
        <v>257</v>
      </c>
      <c r="G16" s="9">
        <v>44</v>
      </c>
      <c r="H16" s="10">
        <v>96</v>
      </c>
      <c r="I16" s="10">
        <v>48</v>
      </c>
      <c r="J16" s="10">
        <v>1</v>
      </c>
      <c r="K16" s="10">
        <v>2</v>
      </c>
      <c r="L16" s="10">
        <v>50</v>
      </c>
      <c r="M16" s="10">
        <v>3</v>
      </c>
      <c r="N16" s="10">
        <v>53</v>
      </c>
      <c r="O16" s="10">
        <v>53</v>
      </c>
      <c r="P16" s="10">
        <v>108</v>
      </c>
      <c r="Q16" s="10">
        <v>1</v>
      </c>
      <c r="R16" s="10">
        <v>12</v>
      </c>
      <c r="S16" s="10">
        <v>9</v>
      </c>
      <c r="T16" s="10">
        <v>108</v>
      </c>
    </row>
    <row r="17" customHeight="1" spans="1:20">
      <c r="A17" s="9">
        <v>5</v>
      </c>
      <c r="B17" s="9" t="s">
        <v>258</v>
      </c>
      <c r="C17" s="8" t="s">
        <v>259</v>
      </c>
      <c r="D17" s="9">
        <v>70</v>
      </c>
      <c r="E17" s="9" t="s">
        <v>260</v>
      </c>
      <c r="F17" s="10"/>
      <c r="G17" s="10"/>
      <c r="H17" s="10"/>
      <c r="I17" s="10"/>
      <c r="J17" s="10">
        <v>1</v>
      </c>
      <c r="K17" s="10">
        <v>2</v>
      </c>
      <c r="L17" s="10">
        <v>2</v>
      </c>
      <c r="M17" s="10"/>
      <c r="N17" s="10">
        <v>2</v>
      </c>
      <c r="O17" s="10">
        <v>2</v>
      </c>
      <c r="P17" s="10">
        <v>4</v>
      </c>
      <c r="Q17" s="10">
        <v>1</v>
      </c>
      <c r="R17" s="10">
        <v>4</v>
      </c>
      <c r="S17" s="10">
        <v>1</v>
      </c>
      <c r="T17" s="10">
        <v>4</v>
      </c>
    </row>
    <row r="18" customHeight="1" spans="1:20">
      <c r="A18" s="9">
        <v>6</v>
      </c>
      <c r="B18" s="9" t="s">
        <v>261</v>
      </c>
      <c r="C18" s="8" t="s">
        <v>262</v>
      </c>
      <c r="D18" s="9">
        <v>69</v>
      </c>
      <c r="E18" s="9">
        <v>30</v>
      </c>
      <c r="F18" s="10"/>
      <c r="G18" s="10"/>
      <c r="H18" s="10">
        <v>23</v>
      </c>
      <c r="I18" s="10">
        <v>46</v>
      </c>
      <c r="J18" s="10"/>
      <c r="K18" s="10"/>
      <c r="L18" s="10">
        <v>46</v>
      </c>
      <c r="M18" s="10"/>
      <c r="N18" s="10">
        <v>46</v>
      </c>
      <c r="O18" s="10">
        <v>46</v>
      </c>
      <c r="P18" s="10">
        <v>94</v>
      </c>
      <c r="Q18" s="10">
        <v>1</v>
      </c>
      <c r="R18" s="10">
        <v>8</v>
      </c>
      <c r="S18" s="10">
        <v>12</v>
      </c>
      <c r="T18" s="10">
        <v>96</v>
      </c>
    </row>
    <row r="19" customHeight="1" spans="1:20">
      <c r="A19" s="9">
        <v>7</v>
      </c>
      <c r="B19" s="9" t="s">
        <v>263</v>
      </c>
      <c r="C19" s="8" t="s">
        <v>264</v>
      </c>
      <c r="D19" s="9">
        <v>25</v>
      </c>
      <c r="E19" s="9">
        <v>35</v>
      </c>
      <c r="F19" s="10"/>
      <c r="G19" s="10"/>
      <c r="H19" s="10">
        <v>9</v>
      </c>
      <c r="I19" s="10">
        <v>16</v>
      </c>
      <c r="J19" s="10"/>
      <c r="K19" s="10">
        <v>2</v>
      </c>
      <c r="L19" s="10">
        <v>18</v>
      </c>
      <c r="M19" s="10"/>
      <c r="N19" s="10">
        <v>18</v>
      </c>
      <c r="O19" s="10">
        <v>18</v>
      </c>
      <c r="P19" s="10">
        <v>37</v>
      </c>
      <c r="Q19" s="10">
        <v>1</v>
      </c>
      <c r="R19" s="10">
        <v>8</v>
      </c>
      <c r="S19" s="10">
        <v>6</v>
      </c>
      <c r="T19" s="10">
        <v>48</v>
      </c>
    </row>
    <row r="20" s="1" customFormat="1" customHeight="1" spans="1:20">
      <c r="A20" s="13">
        <v>8</v>
      </c>
      <c r="B20" s="13" t="s">
        <v>265</v>
      </c>
      <c r="C20" s="14"/>
      <c r="D20" s="13"/>
      <c r="E20" s="13"/>
      <c r="F20" s="13"/>
      <c r="G20" s="13"/>
      <c r="H20" s="13"/>
      <c r="I20" s="13"/>
      <c r="J20" s="13"/>
      <c r="K20" s="13"/>
      <c r="L20" s="13"/>
      <c r="M20" s="13"/>
      <c r="N20" s="13"/>
      <c r="O20" s="13"/>
      <c r="P20" s="13"/>
      <c r="Q20" s="13"/>
      <c r="R20" s="13"/>
      <c r="S20" s="13"/>
      <c r="T20" s="13">
        <f>SUM(T3:T19)</f>
        <v>1400</v>
      </c>
    </row>
  </sheetData>
  <mergeCells count="8">
    <mergeCell ref="A1:T1"/>
    <mergeCell ref="B20:S20"/>
    <mergeCell ref="A3:A9"/>
    <mergeCell ref="A10:A12"/>
    <mergeCell ref="A13:A15"/>
    <mergeCell ref="B3:B9"/>
    <mergeCell ref="B10:B12"/>
    <mergeCell ref="B13:B1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分项清单</vt:lpstr>
      <vt:lpstr>存储容量设计表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天</cp:lastModifiedBy>
  <dcterms:created xsi:type="dcterms:W3CDTF">2016-05-03T06:12:00Z</dcterms:created>
  <cp:lastPrinted>2015-09-11T07:37:00Z</cp:lastPrinted>
  <dcterms:modified xsi:type="dcterms:W3CDTF">2026-09-10T08:46:29Z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6329E0297D4A46BBB8F99B7BFEBC4A50_13</vt:lpwstr>
  </property>
  <property fmtid="{D5CDD505-2E9C-101B-9397-08002B2CF9AE}" pid="3" name="KSOProductBuildVer">
    <vt:lpwstr>2052-12.1.0.26895</vt:lpwstr>
  </property>
  <property fmtid="{D5CDD505-2E9C-101B-9397-08002B2CF9AE}" pid="4" name="CalculationRule">
    <vt:i4>0</vt:i4>
  </property>
</Properties>
</file>