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"/>
    </mc:Choice>
  </mc:AlternateContent>
  <xr:revisionPtr revIDLastSave="0" documentId="13_ncr:1_{9115408F-1B4E-4F33-B3FB-E0194918D726}" xr6:coauthVersionLast="47" xr6:coauthVersionMax="47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报价汇总" sheetId="1" r:id="rId1"/>
    <sheet name="价格清单" sheetId="2" r:id="rId2"/>
    <sheet name="摄像机点位明细" sheetId="3" r:id="rId3"/>
  </sheets>
  <definedNames>
    <definedName name="_xlnm.Print_Titles" localSheetId="1">价格清单!$3:$3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1" l="1"/>
  <c r="H12" i="2" l="1"/>
  <c r="H21" i="2"/>
  <c r="A21" i="2"/>
  <c r="G19" i="3" l="1"/>
  <c r="F19" i="3"/>
  <c r="E19" i="3"/>
  <c r="D19" i="3"/>
  <c r="H47" i="2"/>
  <c r="H46" i="2"/>
  <c r="H45" i="2"/>
  <c r="H44" i="2"/>
  <c r="C11" i="1" s="1"/>
  <c r="H42" i="2"/>
  <c r="H41" i="2"/>
  <c r="H40" i="2"/>
  <c r="H39" i="2"/>
  <c r="H37" i="2"/>
  <c r="H36" i="2"/>
  <c r="H35" i="2"/>
  <c r="H34" i="2"/>
  <c r="H33" i="2"/>
  <c r="H32" i="2"/>
  <c r="H30" i="2"/>
  <c r="H29" i="2"/>
  <c r="H28" i="2"/>
  <c r="H27" i="2"/>
  <c r="H26" i="2"/>
  <c r="H25" i="2"/>
  <c r="H24" i="2"/>
  <c r="H23" i="2"/>
  <c r="H20" i="2"/>
  <c r="H19" i="2"/>
  <c r="H17" i="2"/>
  <c r="H16" i="2"/>
  <c r="H15" i="2"/>
  <c r="C6" i="1" s="1"/>
  <c r="H13" i="2"/>
  <c r="H11" i="2"/>
  <c r="F9" i="2"/>
  <c r="H8" i="2"/>
  <c r="H7" i="2"/>
  <c r="H6" i="2"/>
  <c r="H5" i="2"/>
  <c r="C10" i="1" l="1"/>
  <c r="C5" i="1"/>
  <c r="C9" i="1"/>
  <c r="C8" i="1"/>
  <c r="H48" i="2"/>
  <c r="H49" i="2" s="1"/>
  <c r="H50" i="2" s="1"/>
  <c r="C4" i="1"/>
  <c r="C12" i="1" l="1"/>
  <c r="C14" i="1" s="1"/>
  <c r="C13" i="1" l="1"/>
</calcChain>
</file>

<file path=xl/sharedStrings.xml><?xml version="1.0" encoding="utf-8"?>
<sst xmlns="http://schemas.openxmlformats.org/spreadsheetml/2006/main" count="288" uniqueCount="230">
  <si>
    <t>东明石化集团 非生产区域视频监控智能化改造项目  报价汇总表</t>
  </si>
  <si>
    <t>序号</t>
  </si>
  <si>
    <t>项目 / 分部分项</t>
  </si>
  <si>
    <t>合价（元）</t>
  </si>
  <si>
    <t>备注</t>
  </si>
  <si>
    <t>一</t>
  </si>
  <si>
    <t>前端采集设备</t>
  </si>
  <si>
    <t>摄像机（周界/重点/门岗/更换）</t>
  </si>
  <si>
    <t>二</t>
  </si>
  <si>
    <t>智能分析设备</t>
  </si>
  <si>
    <t>三</t>
  </si>
  <si>
    <t>平台与软件</t>
  </si>
  <si>
    <t>平台服务器、≥3000路授权、时钟服务器</t>
  </si>
  <si>
    <t>四</t>
  </si>
  <si>
    <t>存储设备</t>
  </si>
  <si>
    <t>五</t>
  </si>
  <si>
    <t>网络传输设备</t>
  </si>
  <si>
    <t>华为交换机、光缆、奇安信防火墙</t>
  </si>
  <si>
    <t>六</t>
  </si>
  <si>
    <t>监控中心及大屏</t>
  </si>
  <si>
    <t>七</t>
  </si>
  <si>
    <t>辅材与施工</t>
  </si>
  <si>
    <t>支架立杆、综合布线、安装调试</t>
  </si>
  <si>
    <t>八</t>
  </si>
  <si>
    <t>服务</t>
  </si>
  <si>
    <t>小计（不含税）</t>
  </si>
  <si>
    <t>增值税（9%）</t>
  </si>
  <si>
    <t>合计（固定总价，含税9%）</t>
  </si>
  <si>
    <t>人民币（大写）</t>
  </si>
  <si>
    <t>单位</t>
  </si>
  <si>
    <t>数量</t>
  </si>
  <si>
    <t>一、前端采集设备</t>
  </si>
  <si>
    <t>网络高清枪型摄像机（周界补盲）</t>
  </si>
  <si>
    <t>台</t>
  </si>
  <si>
    <t>华汪围墙周界补盲</t>
  </si>
  <si>
    <t>网络高清枪型摄像机（重点部位补盲）</t>
  </si>
  <si>
    <t>润华实业各门岗</t>
  </si>
  <si>
    <t>前端摄像机小计</t>
  </si>
  <si>
    <t>二、智能分析设备</t>
  </si>
  <si>
    <t>周界入侵、越线报警等行为分析算法，按路授权，报警统一接入平台</t>
  </si>
  <si>
    <t>路</t>
  </si>
  <si>
    <t>三、平台与软件</t>
  </si>
  <si>
    <t>平台服务器</t>
  </si>
  <si>
    <t>视频及报警接入授权</t>
  </si>
  <si>
    <t>全新采购，不利旧</t>
  </si>
  <si>
    <t>新增，规格以深化设计为准</t>
  </si>
  <si>
    <t>四、存储设备</t>
  </si>
  <si>
    <t>五、网络传输设备</t>
  </si>
  <si>
    <t>无线网桥</t>
  </si>
  <si>
    <t>对</t>
  </si>
  <si>
    <t>只</t>
  </si>
  <si>
    <t>米</t>
  </si>
  <si>
    <t>项</t>
  </si>
  <si>
    <t>配合光缆联通</t>
  </si>
  <si>
    <t>下一代防火墙</t>
  </si>
  <si>
    <t>监控平台安全边界</t>
  </si>
  <si>
    <t>六、监控中心及大屏</t>
  </si>
  <si>
    <t>监控操作台（多联坐席）</t>
  </si>
  <si>
    <t>定制</t>
  </si>
  <si>
    <t>多联监控操作台，含理线、承重与人体工学设计</t>
  </si>
  <si>
    <t>套</t>
  </si>
  <si>
    <t>前维护壁挂</t>
  </si>
  <si>
    <t>视频解码矩阵</t>
  </si>
  <si>
    <t>大屏上墙解码</t>
  </si>
  <si>
    <t>客户端工作站</t>
  </si>
  <si>
    <t>七、辅材与施工</t>
  </si>
  <si>
    <t>配合新增及更换点位安装的支架、立杆、防水盒、电源适配等</t>
  </si>
  <si>
    <t>综合布线</t>
  </si>
  <si>
    <t>CAT6</t>
  </si>
  <si>
    <t>安装、接入与系统调试</t>
  </si>
  <si>
    <t>含分区割接、不停业务</t>
  </si>
  <si>
    <t>八、服务</t>
  </si>
  <si>
    <t>系统联调测试与验收</t>
  </si>
  <si>
    <t>培训</t>
  </si>
  <si>
    <t>含操作与运维手册</t>
  </si>
  <si>
    <t>质保与运维服务</t>
  </si>
  <si>
    <t>合计（不含税，元）</t>
  </si>
  <si>
    <t>税金（增值税 9%，元）</t>
  </si>
  <si>
    <t>含税合计（元）</t>
  </si>
  <si>
    <t>摄像机点位明细表（补盲 / 更换 / AI升级 / 在建）</t>
  </si>
  <si>
    <t>一级单位</t>
  </si>
  <si>
    <t>监控位置</t>
  </si>
  <si>
    <t>补盲新增/台</t>
  </si>
  <si>
    <t>老旧更换/台</t>
  </si>
  <si>
    <r>
      <rPr>
        <b/>
        <sz val="10"/>
        <rFont val="黑体"/>
        <family val="3"/>
        <charset val="134"/>
      </rPr>
      <t>AI</t>
    </r>
    <r>
      <rPr>
        <b/>
        <sz val="10"/>
        <rFont val="Noto Sans CJK SC"/>
        <family val="2"/>
      </rPr>
      <t>升级</t>
    </r>
    <r>
      <rPr>
        <b/>
        <sz val="10"/>
        <rFont val="黑体"/>
        <family val="3"/>
        <charset val="134"/>
      </rPr>
      <t>/</t>
    </r>
    <r>
      <rPr>
        <b/>
        <sz val="10"/>
        <rFont val="Noto Sans CJK SC"/>
        <family val="2"/>
      </rPr>
      <t>路</t>
    </r>
  </si>
  <si>
    <t>在建衔接/台</t>
  </si>
  <si>
    <t>东明炼化公司</t>
  </si>
  <si>
    <t>前海化工</t>
  </si>
  <si>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2"/>
      </rPr>
      <t>周界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2"/>
      </rPr>
      <t>越线</t>
    </r>
  </si>
  <si>
    <t>洁源环保</t>
  </si>
  <si>
    <t>万海氯碱</t>
  </si>
  <si>
    <t>万海（LNG）</t>
  </si>
  <si>
    <t>公共工程公司</t>
  </si>
  <si>
    <t>园区</t>
  </si>
  <si>
    <t>在建，同步纳管</t>
  </si>
  <si>
    <t>华汪围墙</t>
  </si>
  <si>
    <t>周界补盲，带拾音喊话</t>
  </si>
  <si>
    <t>鲁班建安公司</t>
  </si>
  <si>
    <t>防腐厂</t>
  </si>
  <si>
    <t>东明港运公司</t>
  </si>
  <si>
    <t>围墙/仓库/值班室/重点设备</t>
  </si>
  <si>
    <t>补盲3台 + AI 44路</t>
  </si>
  <si>
    <r>
      <rPr>
        <sz val="10"/>
        <color rgb="FF000000"/>
        <rFont val="宋体"/>
        <family val="3"/>
        <charset val="134"/>
      </rPr>
      <t>PO/SM</t>
    </r>
    <r>
      <rPr>
        <sz val="10"/>
        <color rgb="FF000000"/>
        <rFont val="Noto Sans CJK SC"/>
        <family val="2"/>
      </rPr>
      <t>建设分公司</t>
    </r>
  </si>
  <si>
    <t>围墙</t>
  </si>
  <si>
    <t>战略采购中心</t>
  </si>
  <si>
    <t>中油仓库</t>
  </si>
  <si>
    <t>在建</t>
  </si>
  <si>
    <t>润泽仓库</t>
  </si>
  <si>
    <t>华汪库区</t>
  </si>
  <si>
    <t>防腐厂惠生仓库</t>
  </si>
  <si>
    <t>润华实业</t>
  </si>
  <si>
    <t>各门岗</t>
  </si>
  <si>
    <t>各区域</t>
  </si>
  <si>
    <t>老旧点位（以勘查为准）</t>
  </si>
  <si>
    <t>等量更换，≥400万像素</t>
  </si>
  <si>
    <t>合计</t>
  </si>
  <si>
    <r>
      <rPr>
        <b/>
        <sz val="10"/>
        <color rgb="FF000000"/>
        <rFont val="宋体"/>
        <family val="3"/>
        <charset val="134"/>
      </rPr>
      <t xml:space="preserve">12 </t>
    </r>
    <r>
      <rPr>
        <b/>
        <sz val="10"/>
        <color rgb="FF000000"/>
        <rFont val="Noto Sans CJK SC"/>
        <family val="2"/>
      </rPr>
      <t xml:space="preserve">个一级单位 </t>
    </r>
    <r>
      <rPr>
        <b/>
        <sz val="10"/>
        <color rgb="FF000000"/>
        <rFont val="宋体"/>
        <family val="3"/>
        <charset val="134"/>
      </rPr>
      <t xml:space="preserve">/ </t>
    </r>
    <r>
      <rPr>
        <b/>
        <sz val="10"/>
        <color rgb="FF000000"/>
        <rFont val="Noto Sans CJK SC"/>
        <family val="2"/>
      </rPr>
      <t xml:space="preserve">约 </t>
    </r>
    <r>
      <rPr>
        <b/>
        <sz val="10"/>
        <color rgb="FF000000"/>
        <rFont val="宋体"/>
        <family val="3"/>
        <charset val="134"/>
      </rPr>
      <t xml:space="preserve">40 </t>
    </r>
    <r>
      <rPr>
        <b/>
        <sz val="10"/>
        <color rgb="FF000000"/>
        <rFont val="Noto Sans CJK SC"/>
        <family val="2"/>
      </rPr>
      <t>点位</t>
    </r>
  </si>
  <si>
    <r>
      <t>AI</t>
    </r>
    <r>
      <rPr>
        <sz val="9"/>
        <rFont val="Noto Sans CJK SC"/>
        <family val="2"/>
      </rPr>
      <t>边缘服务器及算法授权</t>
    </r>
  </si>
  <si>
    <r>
      <t>32/64</t>
    </r>
    <r>
      <rPr>
        <sz val="9"/>
        <rFont val="Noto Sans CJK SC"/>
        <family val="2"/>
      </rPr>
      <t>路</t>
    </r>
    <r>
      <rPr>
        <sz val="9"/>
        <rFont val="宋体"/>
        <family val="3"/>
        <charset val="134"/>
      </rPr>
      <t>NVR</t>
    </r>
    <r>
      <rPr>
        <sz val="9"/>
        <rFont val="Noto Sans CJK SC"/>
        <family val="2"/>
      </rPr>
      <t>（≥</t>
    </r>
    <r>
      <rPr>
        <sz val="9"/>
        <rFont val="宋体"/>
        <family val="3"/>
        <charset val="134"/>
      </rPr>
      <t>90</t>
    </r>
    <r>
      <rPr>
        <sz val="9"/>
        <rFont val="Noto Sans CJK SC"/>
        <family val="2"/>
      </rPr>
      <t>天）</t>
    </r>
  </si>
  <si>
    <r>
      <t>46</t>
    </r>
    <r>
      <rPr>
        <sz val="9"/>
        <rFont val="Noto Sans CJK SC"/>
        <family val="2"/>
      </rPr>
      <t>寸无边框</t>
    </r>
    <r>
      <rPr>
        <sz val="9"/>
        <rFont val="宋体"/>
        <family val="3"/>
        <charset val="134"/>
      </rPr>
      <t>LCD</t>
    </r>
    <r>
      <rPr>
        <sz val="9"/>
        <rFont val="Noto Sans CJK SC"/>
        <family val="2"/>
      </rPr>
      <t>拼接</t>
    </r>
    <r>
      <rPr>
        <sz val="9"/>
        <rFont val="宋体"/>
        <family val="3"/>
        <charset val="134"/>
      </rPr>
      <t>3×6</t>
    </r>
    <r>
      <rPr>
        <sz val="9"/>
        <rFont val="Noto Sans CJK SC"/>
        <family val="2"/>
      </rPr>
      <t>（</t>
    </r>
    <r>
      <rPr>
        <sz val="9"/>
        <rFont val="宋体"/>
        <family val="3"/>
        <charset val="134"/>
      </rPr>
      <t>18</t>
    </r>
    <r>
      <rPr>
        <sz val="9"/>
        <rFont val="Noto Sans CJK SC"/>
        <family val="2"/>
      </rPr>
      <t>块）及配套</t>
    </r>
  </si>
  <si>
    <r>
      <t>IP</t>
    </r>
    <r>
      <rPr>
        <sz val="9"/>
        <rFont val="Noto Sans CJK SC"/>
        <family val="2"/>
      </rPr>
      <t>规划、联调验收、培训、质保运维</t>
    </r>
  </si>
  <si>
    <t>联塑PVC20</t>
    <phoneticPr fontId="24" type="noConversion"/>
  </si>
  <si>
    <t>国产优质CAT6</t>
    <phoneticPr fontId="24" type="noConversion"/>
  </si>
  <si>
    <t>图形工作站</t>
    <phoneticPr fontId="24" type="noConversion"/>
  </si>
  <si>
    <t>国产</t>
    <phoneticPr fontId="24" type="noConversion"/>
  </si>
  <si>
    <t>PW SVR</t>
    <phoneticPr fontId="24" type="noConversion"/>
  </si>
  <si>
    <t>面向监控值班、数智中心管理员、各单位维保人员的分层培训</t>
    <phoneticPr fontId="24" type="noConversion"/>
  </si>
  <si>
    <r>
      <t>设备</t>
    </r>
    <r>
      <rPr>
        <b/>
        <sz val="10"/>
        <rFont val="Noto Sans CJK SC"/>
        <family val="1"/>
      </rPr>
      <t>/</t>
    </r>
    <r>
      <rPr>
        <b/>
        <sz val="10"/>
        <rFont val="Noto Sans CJK SC"/>
        <family val="1"/>
      </rPr>
      <t>材料名称</t>
    </r>
  </si>
  <si>
    <r>
      <t>品牌</t>
    </r>
    <r>
      <rPr>
        <b/>
        <sz val="10"/>
        <rFont val="Noto Sans CJK SC"/>
        <family val="1"/>
      </rPr>
      <t>/</t>
    </r>
    <r>
      <rPr>
        <b/>
        <sz val="10"/>
        <rFont val="Noto Sans CJK SC"/>
        <family val="1"/>
      </rPr>
      <t>型号</t>
    </r>
  </si>
  <si>
    <r>
      <t>主要技术参数</t>
    </r>
    <r>
      <rPr>
        <b/>
        <sz val="10"/>
        <rFont val="Noto Sans CJK SC"/>
        <family val="1"/>
      </rPr>
      <t xml:space="preserve"> / </t>
    </r>
    <r>
      <rPr>
        <b/>
        <sz val="10"/>
        <rFont val="Noto Sans CJK SC"/>
        <family val="1"/>
      </rPr>
      <t>规格</t>
    </r>
  </si>
  <si>
    <r>
      <t>单价</t>
    </r>
    <r>
      <rPr>
        <b/>
        <sz val="10"/>
        <rFont val="Noto Sans CJK SC"/>
        <family val="1"/>
      </rPr>
      <t>(</t>
    </r>
    <r>
      <rPr>
        <b/>
        <sz val="10"/>
        <rFont val="Noto Sans CJK SC"/>
        <family val="1"/>
      </rPr>
      <t>元</t>
    </r>
    <r>
      <rPr>
        <b/>
        <sz val="10"/>
        <rFont val="Noto Sans CJK SC"/>
        <family val="1"/>
      </rPr>
      <t>)</t>
    </r>
  </si>
  <si>
    <r>
      <t>合价</t>
    </r>
    <r>
      <rPr>
        <b/>
        <sz val="10"/>
        <rFont val="Noto Sans CJK SC"/>
        <family val="1"/>
      </rPr>
      <t>(</t>
    </r>
    <r>
      <rPr>
        <b/>
        <sz val="10"/>
        <rFont val="Noto Sans CJK SC"/>
        <family val="1"/>
      </rPr>
      <t>元</t>
    </r>
    <r>
      <rPr>
        <b/>
        <sz val="10"/>
        <rFont val="Noto Sans CJK SC"/>
        <family val="1"/>
      </rPr>
      <t>)</t>
    </r>
  </si>
  <si>
    <r>
      <t xml:space="preserve">海康威视
</t>
    </r>
    <r>
      <rPr>
        <sz val="9"/>
        <rFont val="宋体"/>
        <family val="3"/>
        <charset val="134"/>
      </rPr>
      <t>DS-2CD2T4HJX-SZBZ</t>
    </r>
  </si>
  <si>
    <r>
      <t>400</t>
    </r>
    <r>
      <rPr>
        <sz val="8.5"/>
        <rFont val="Noto Sans CJK SC"/>
        <family val="2"/>
      </rPr>
      <t>万定焦智能筒型网络摄像机，深度学习算法
支持越界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进入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离开侦测，联动声光报警
最高分辨率 </t>
    </r>
    <r>
      <rPr>
        <sz val="8.5"/>
        <rFont val="宋体"/>
        <family val="3"/>
        <charset val="134"/>
      </rPr>
      <t xml:space="preserve">2688×1520@25fps
</t>
    </r>
    <r>
      <rPr>
        <sz val="8.5"/>
        <rFont val="Noto Sans CJK SC"/>
        <family val="2"/>
      </rPr>
      <t>支持背光补偿、强光抑制、</t>
    </r>
    <r>
      <rPr>
        <sz val="8.5"/>
        <rFont val="宋体"/>
        <family val="3"/>
        <charset val="134"/>
      </rPr>
      <t xml:space="preserve">3D </t>
    </r>
    <r>
      <rPr>
        <sz val="8.5"/>
        <rFont val="Noto Sans CJK SC"/>
        <family val="2"/>
      </rPr>
      <t>数字降噪
星光级低照度，日夜臻全彩成像
内置麦克风</t>
    </r>
    <r>
      <rPr>
        <sz val="8.5"/>
        <rFont val="宋体"/>
        <family val="3"/>
        <charset val="134"/>
      </rPr>
      <t>&amp;</t>
    </r>
    <r>
      <rPr>
        <sz val="8.5"/>
        <rFont val="Noto Sans CJK SC"/>
        <family val="2"/>
      </rPr>
      <t>扬声器，支持语音对讲
红外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白光补光，防护等级 </t>
    </r>
    <r>
      <rPr>
        <sz val="8.5"/>
        <rFont val="宋体"/>
        <family val="3"/>
        <charset val="134"/>
      </rPr>
      <t xml:space="preserve">IP67
</t>
    </r>
    <r>
      <rPr>
        <sz val="8.5"/>
        <rFont val="Noto Sans CJK SC"/>
        <family val="2"/>
      </rPr>
      <t xml:space="preserve">支持 </t>
    </r>
    <r>
      <rPr>
        <sz val="8.5"/>
        <rFont val="宋体"/>
        <family val="3"/>
        <charset val="134"/>
      </rPr>
      <t xml:space="preserve">H.265+ </t>
    </r>
    <r>
      <rPr>
        <sz val="8.5"/>
        <rFont val="Noto Sans CJK SC"/>
        <family val="2"/>
      </rPr>
      <t xml:space="preserve">智能编码，支持 </t>
    </r>
    <r>
      <rPr>
        <sz val="8.5"/>
        <rFont val="宋体"/>
        <family val="3"/>
        <charset val="134"/>
      </rPr>
      <t xml:space="preserve">Smart </t>
    </r>
    <r>
      <rPr>
        <sz val="8.5"/>
        <rFont val="Noto Sans CJK SC"/>
        <family val="2"/>
      </rPr>
      <t>事件</t>
    </r>
  </si>
  <si>
    <r>
      <t>东明港运围墙</t>
    </r>
    <r>
      <rPr>
        <sz val="9"/>
        <rFont val="宋体"/>
        <family val="3"/>
        <charset val="134"/>
      </rPr>
      <t>/</t>
    </r>
    <r>
      <rPr>
        <sz val="9"/>
        <rFont val="Noto Sans CJK SC"/>
        <family val="2"/>
      </rPr>
      <t>重点设备</t>
    </r>
  </si>
  <si>
    <r>
      <t>宽动态卡口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枪型摄像机（门岗补盲）</t>
    </r>
  </si>
  <si>
    <r>
      <t xml:space="preserve">海康威视
</t>
    </r>
    <r>
      <rPr>
        <sz val="9"/>
        <rFont val="宋体"/>
        <family val="3"/>
        <charset val="134"/>
      </rPr>
      <t>DS-2CD224HJX-SZBZ</t>
    </r>
  </si>
  <si>
    <r>
      <t>轻智能筒型网络摄像机，鳞镜补光、</t>
    </r>
    <r>
      <rPr>
        <sz val="8.5"/>
        <rFont val="宋体"/>
        <family val="3"/>
        <charset val="134"/>
      </rPr>
      <t xml:space="preserve">F1.0 </t>
    </r>
    <r>
      <rPr>
        <sz val="8.5"/>
        <rFont val="Noto Sans CJK SC"/>
        <family val="2"/>
      </rPr>
      <t xml:space="preserve">大光圈镜头
</t>
    </r>
    <r>
      <rPr>
        <sz val="8.5"/>
        <rFont val="宋体"/>
        <family val="3"/>
        <charset val="134"/>
      </rPr>
      <t>1/1.8″</t>
    </r>
    <r>
      <rPr>
        <sz val="8.5"/>
        <rFont val="Noto Sans CJK SC"/>
        <family val="2"/>
      </rPr>
      <t xml:space="preserve">背照式传感器，日夜臻全彩成像
最高分辨率 </t>
    </r>
    <r>
      <rPr>
        <sz val="8.5"/>
        <rFont val="宋体"/>
        <family val="3"/>
        <charset val="134"/>
      </rPr>
      <t xml:space="preserve">2560×1440@25fps
</t>
    </r>
    <r>
      <rPr>
        <sz val="8.5"/>
        <rFont val="Noto Sans CJK SC"/>
        <family val="2"/>
      </rPr>
      <t>支持智能资源模式：人脸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人体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车辆结构化
</t>
    </r>
    <r>
      <rPr>
        <sz val="8.5"/>
        <rFont val="宋体"/>
        <family val="3"/>
        <charset val="134"/>
      </rPr>
      <t xml:space="preserve">AI-ISP </t>
    </r>
    <r>
      <rPr>
        <sz val="8.5"/>
        <rFont val="Noto Sans CJK SC"/>
        <family val="2"/>
      </rPr>
      <t>图像处理，夜视效果场景自适应
支持越界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区域入侵等行为侦测与联动
内置麦克风</t>
    </r>
    <r>
      <rPr>
        <sz val="8.5"/>
        <rFont val="宋体"/>
        <family val="3"/>
        <charset val="134"/>
      </rPr>
      <t>&amp;</t>
    </r>
    <r>
      <rPr>
        <sz val="8.5"/>
        <rFont val="Noto Sans CJK SC"/>
        <family val="2"/>
      </rPr>
      <t xml:space="preserve">扬声器，支持语音对讲
防护等级 </t>
    </r>
    <r>
      <rPr>
        <sz val="8.5"/>
        <rFont val="宋体"/>
        <family val="3"/>
        <charset val="134"/>
      </rPr>
      <t>IP67</t>
    </r>
    <r>
      <rPr>
        <sz val="8.5"/>
        <rFont val="Noto Sans CJK SC"/>
        <family val="2"/>
      </rPr>
      <t xml:space="preserve">，支持 </t>
    </r>
    <r>
      <rPr>
        <sz val="8.5"/>
        <rFont val="宋体"/>
        <family val="3"/>
        <charset val="134"/>
      </rPr>
      <t xml:space="preserve">H.265+ </t>
    </r>
    <r>
      <rPr>
        <sz val="8.5"/>
        <rFont val="Noto Sans CJK SC"/>
        <family val="2"/>
      </rPr>
      <t>智能编码</t>
    </r>
  </si>
  <si>
    <r>
      <t>AI</t>
    </r>
    <r>
      <rPr>
        <sz val="10"/>
        <rFont val="Noto Sans CJK SC"/>
        <family val="2"/>
      </rPr>
      <t>边缘算力分析服务器</t>
    </r>
  </si>
  <si>
    <r>
      <t xml:space="preserve">海康威视
</t>
    </r>
    <r>
      <rPr>
        <sz val="9"/>
        <rFont val="宋体"/>
        <family val="3"/>
        <charset val="134"/>
      </rPr>
      <t>iDS-8664NX-I9/X</t>
    </r>
  </si>
  <si>
    <r>
      <t>AI</t>
    </r>
    <r>
      <rPr>
        <sz val="10"/>
        <rFont val="Noto Sans CJK SC"/>
        <family val="2"/>
      </rPr>
      <t>行为分析算法授权</t>
    </r>
  </si>
  <si>
    <r>
      <t>海康威视
（随服务器</t>
    </r>
    <r>
      <rPr>
        <sz val="9"/>
        <rFont val="宋体"/>
        <family val="3"/>
        <charset val="134"/>
      </rPr>
      <t>/</t>
    </r>
    <r>
      <rPr>
        <sz val="9"/>
        <rFont val="Noto Sans CJK SC"/>
        <family val="2"/>
      </rPr>
      <t>按路授权）</t>
    </r>
  </si>
  <si>
    <r>
      <t>对应需</t>
    </r>
    <r>
      <rPr>
        <sz val="9"/>
        <rFont val="宋体"/>
        <family val="3"/>
        <charset val="134"/>
      </rPr>
      <t>AI</t>
    </r>
    <r>
      <rPr>
        <sz val="9"/>
        <rFont val="Noto Sans CJK SC"/>
        <family val="2"/>
      </rPr>
      <t>升级摄像机</t>
    </r>
    <r>
      <rPr>
        <sz val="9"/>
        <rFont val="宋体"/>
        <family val="3"/>
        <charset val="134"/>
      </rPr>
      <t>193</t>
    </r>
    <r>
      <rPr>
        <sz val="9"/>
        <rFont val="Noto Sans CJK SC"/>
        <family val="2"/>
      </rPr>
      <t>台</t>
    </r>
  </si>
  <si>
    <r>
      <t xml:space="preserve">海康威视
</t>
    </r>
    <r>
      <rPr>
        <sz val="9"/>
        <rFont val="宋体"/>
        <family val="3"/>
        <charset val="134"/>
      </rPr>
      <t>DS-VM22R-CL/R2</t>
    </r>
  </si>
  <si>
    <r>
      <t>2U</t>
    </r>
    <r>
      <rPr>
        <sz val="8.5"/>
        <rFont val="Noto Sans CJK SC"/>
        <family val="2"/>
      </rPr>
      <t>双路机架服务器，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颗海光</t>
    </r>
    <r>
      <rPr>
        <sz val="8.5"/>
        <rFont val="宋体"/>
        <family val="3"/>
        <charset val="134"/>
      </rPr>
      <t>C86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3350</t>
    </r>
    <r>
      <rPr>
        <sz val="8.5"/>
        <rFont val="Noto Sans CJK SC"/>
        <family val="2"/>
      </rPr>
      <t>）处理器，≥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核、主频≥</t>
    </r>
    <r>
      <rPr>
        <sz val="8.5"/>
        <rFont val="宋体"/>
        <family val="3"/>
        <charset val="134"/>
      </rPr>
      <t xml:space="preserve">3.0GHz
</t>
    </r>
    <r>
      <rPr>
        <sz val="8.5"/>
        <rFont val="Noto Sans CJK SC"/>
        <family val="2"/>
      </rPr>
      <t>内存</t>
    </r>
    <r>
      <rPr>
        <sz val="8.5"/>
        <rFont val="宋体"/>
        <family val="3"/>
        <charset val="134"/>
      </rPr>
      <t>64G DDR4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插槽，最大可扩至</t>
    </r>
    <r>
      <rPr>
        <sz val="8.5"/>
        <rFont val="宋体"/>
        <family val="3"/>
        <charset val="134"/>
      </rPr>
      <t>1TB</t>
    </r>
    <r>
      <rPr>
        <sz val="8.5"/>
        <rFont val="Noto Sans CJK SC"/>
        <family val="2"/>
      </rPr>
      <t>）
系统盘</t>
    </r>
    <r>
      <rPr>
        <sz val="8.5"/>
        <rFont val="宋体"/>
        <family val="3"/>
        <charset val="134"/>
      </rPr>
      <t>2×600G 10K SAS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RAID1</t>
    </r>
    <r>
      <rPr>
        <sz val="8.5"/>
        <rFont val="Noto Sans CJK SC"/>
        <family val="2"/>
      </rPr>
      <t>），前置最多</t>
    </r>
    <r>
      <rPr>
        <sz val="8.5"/>
        <rFont val="宋体"/>
        <family val="3"/>
        <charset val="134"/>
      </rPr>
      <t>12×3.5"</t>
    </r>
    <r>
      <rPr>
        <sz val="8.5"/>
        <rFont val="Noto Sans CJK SC"/>
        <family val="2"/>
      </rPr>
      <t>热插拔盘
配</t>
    </r>
    <r>
      <rPr>
        <sz val="8.5"/>
        <rFont val="宋体"/>
        <family val="3"/>
        <charset val="134"/>
      </rPr>
      <t>SAS_HBA</t>
    </r>
    <r>
      <rPr>
        <sz val="8.5"/>
        <rFont val="Noto Sans CJK SC"/>
        <family val="2"/>
      </rPr>
      <t>阵列卡（</t>
    </r>
    <r>
      <rPr>
        <sz val="8.5"/>
        <rFont val="宋体"/>
        <family val="3"/>
        <charset val="134"/>
      </rPr>
      <t>RAID0/1/10</t>
    </r>
    <r>
      <rPr>
        <sz val="8.5"/>
        <rFont val="Noto Sans CJK SC"/>
        <family val="2"/>
      </rPr>
      <t>），最多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插槽
网口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千兆板载</t>
    </r>
    <r>
      <rPr>
        <sz val="8.5"/>
        <rFont val="宋体"/>
        <family val="3"/>
        <charset val="134"/>
      </rPr>
      <t>+2×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，可选配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 xml:space="preserve">万兆
</t>
    </r>
    <r>
      <rPr>
        <sz val="8.5"/>
        <rFont val="宋体"/>
        <family val="3"/>
        <charset val="134"/>
      </rPr>
      <t>550W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1+1</t>
    </r>
    <r>
      <rPr>
        <sz val="8.5"/>
        <rFont val="Noto Sans CJK SC"/>
        <family val="2"/>
      </rPr>
      <t>）铂金冗余电源；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IPMI</t>
    </r>
    <r>
      <rPr>
        <sz val="8.5"/>
        <rFont val="Noto Sans CJK SC"/>
        <family val="2"/>
      </rPr>
      <t>管理口</t>
    </r>
  </si>
  <si>
    <r>
      <t>ISC</t>
    </r>
    <r>
      <rPr>
        <sz val="9"/>
        <rFont val="Noto Sans CJK SC"/>
        <family val="2"/>
      </rPr>
      <t>平台服务器</t>
    </r>
    <r>
      <rPr>
        <sz val="9"/>
        <rFont val="宋体"/>
        <family val="3"/>
        <charset val="134"/>
      </rPr>
      <t>3</t>
    </r>
    <r>
      <rPr>
        <sz val="9"/>
        <rFont val="Noto Sans CJK SC"/>
        <family val="2"/>
      </rPr>
      <t>台，运维平台服务器</t>
    </r>
    <r>
      <rPr>
        <sz val="9"/>
        <rFont val="宋体"/>
        <family val="3"/>
        <charset val="134"/>
      </rPr>
      <t>1</t>
    </r>
    <r>
      <rPr>
        <sz val="9"/>
        <rFont val="Noto Sans CJK SC"/>
        <family val="2"/>
      </rPr>
      <t>台（全新采购，不利旧）</t>
    </r>
  </si>
  <si>
    <r>
      <t>视频</t>
    </r>
    <r>
      <rPr>
        <sz val="8.5"/>
        <rFont val="宋体"/>
        <family val="3"/>
        <charset val="134"/>
      </rPr>
      <t>+</t>
    </r>
    <r>
      <rPr>
        <sz val="8.5"/>
        <rFont val="Noto Sans CJK SC"/>
        <family val="2"/>
      </rPr>
      <t>报警接入授权，新增≥</t>
    </r>
    <r>
      <rPr>
        <sz val="8.5"/>
        <rFont val="宋体"/>
        <family val="3"/>
        <charset val="134"/>
      </rPr>
      <t>3000</t>
    </r>
    <r>
      <rPr>
        <sz val="8.5"/>
        <rFont val="Noto Sans CJK SC"/>
        <family val="2"/>
      </rPr>
      <t>路，含扩展余量</t>
    </r>
  </si>
  <si>
    <r>
      <t>时钟同步服务器（</t>
    </r>
    <r>
      <rPr>
        <sz val="10"/>
        <rFont val="宋体"/>
        <family val="3"/>
        <charset val="134"/>
      </rPr>
      <t>NTP</t>
    </r>
    <r>
      <rPr>
        <sz val="10"/>
        <rFont val="Noto Sans CJK SC"/>
        <family val="2"/>
      </rPr>
      <t>）</t>
    </r>
  </si>
  <si>
    <r>
      <t>网络硬盘录像机（</t>
    </r>
    <r>
      <rPr>
        <sz val="10"/>
        <rFont val="宋体"/>
        <family val="3"/>
        <charset val="134"/>
      </rPr>
      <t>32</t>
    </r>
    <r>
      <rPr>
        <sz val="10"/>
        <rFont val="Noto Sans CJK SC"/>
        <family val="2"/>
      </rPr>
      <t>路）</t>
    </r>
  </si>
  <si>
    <r>
      <t xml:space="preserve">海康威视
</t>
    </r>
    <r>
      <rPr>
        <sz val="9"/>
        <rFont val="宋体"/>
        <family val="3"/>
        <charset val="134"/>
      </rPr>
      <t>DS-8632NX-K9/Pro</t>
    </r>
  </si>
  <si>
    <r>
      <t>网络硬盘录像机（</t>
    </r>
    <r>
      <rPr>
        <sz val="10"/>
        <rFont val="宋体"/>
        <family val="3"/>
        <charset val="134"/>
      </rPr>
      <t>64</t>
    </r>
    <r>
      <rPr>
        <sz val="10"/>
        <rFont val="Noto Sans CJK SC"/>
        <family val="2"/>
      </rPr>
      <t>路）</t>
    </r>
  </si>
  <si>
    <r>
      <t xml:space="preserve">海康威视
</t>
    </r>
    <r>
      <rPr>
        <sz val="9"/>
        <rFont val="宋体"/>
        <family val="3"/>
        <charset val="134"/>
      </rPr>
      <t>DS-8664NX-I16/Pro</t>
    </r>
  </si>
  <si>
    <r>
      <t>48</t>
    </r>
    <r>
      <rPr>
        <sz val="10"/>
        <rFont val="Noto Sans CJK SC"/>
        <family val="2"/>
      </rPr>
      <t>口全万兆光三层网管交换机</t>
    </r>
  </si>
  <si>
    <r>
      <t xml:space="preserve">华为
</t>
    </r>
    <r>
      <rPr>
        <sz val="9"/>
        <rFont val="宋体"/>
        <family val="3"/>
        <charset val="134"/>
      </rPr>
      <t>S6730-S48X6Q-V2</t>
    </r>
  </si>
  <si>
    <r>
      <t>S6730-S48X6Q-V2(48</t>
    </r>
    <r>
      <rPr>
        <sz val="8.5"/>
        <rFont val="Noto Sans CJK SC"/>
        <family val="2"/>
      </rPr>
      <t>个万兆</t>
    </r>
    <r>
      <rPr>
        <sz val="8.5"/>
        <rFont val="宋体"/>
        <family val="3"/>
        <charset val="134"/>
      </rPr>
      <t>SFP+,6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40GE QSFP28,</t>
    </r>
    <r>
      <rPr>
        <sz val="8.5"/>
        <rFont val="Noto Sans CJK SC"/>
        <family val="2"/>
      </rPr>
      <t>可选</t>
    </r>
    <r>
      <rPr>
        <sz val="8.5"/>
        <rFont val="宋体"/>
        <family val="3"/>
        <charset val="134"/>
      </rPr>
      <t>license</t>
    </r>
    <r>
      <rPr>
        <sz val="8.5"/>
        <rFont val="Noto Sans CJK SC"/>
        <family val="2"/>
      </rPr>
      <t>升级到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100GE QSFP28,</t>
    </r>
    <r>
      <rPr>
        <sz val="8.5"/>
        <rFont val="Noto Sans CJK SC"/>
        <family val="2"/>
      </rPr>
      <t>含双电源</t>
    </r>
    <r>
      <rPr>
        <sz val="8.5"/>
        <rFont val="宋体"/>
        <family val="3"/>
        <charset val="134"/>
      </rPr>
      <t>)</t>
    </r>
  </si>
  <si>
    <r>
      <t>24</t>
    </r>
    <r>
      <rPr>
        <sz val="10"/>
        <rFont val="Noto Sans CJK SC"/>
        <family val="2"/>
      </rPr>
      <t>千兆电</t>
    </r>
    <r>
      <rPr>
        <sz val="10"/>
        <rFont val="宋体"/>
        <family val="3"/>
        <charset val="134"/>
      </rPr>
      <t>/4</t>
    </r>
    <r>
      <rPr>
        <sz val="10"/>
        <rFont val="Noto Sans CJK SC"/>
        <family val="2"/>
      </rPr>
      <t>万兆光交换机（园区汇聚）</t>
    </r>
  </si>
  <si>
    <r>
      <t xml:space="preserve">华为
</t>
    </r>
    <r>
      <rPr>
        <sz val="9"/>
        <rFont val="宋体"/>
        <family val="3"/>
        <charset val="134"/>
      </rPr>
      <t>S5735-S24T4XE-V2</t>
    </r>
  </si>
  <si>
    <r>
      <t>S5735-S24T4XE-V2(24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10/100/1000BASE-T</t>
    </r>
    <r>
      <rPr>
        <sz val="8.5"/>
        <rFont val="Noto Sans CJK SC"/>
        <family val="2"/>
      </rPr>
      <t>以太网端口</t>
    </r>
    <r>
      <rPr>
        <sz val="8.5"/>
        <rFont val="宋体"/>
        <family val="3"/>
        <charset val="134"/>
      </rPr>
      <t>,4</t>
    </r>
    <r>
      <rPr>
        <sz val="8.5"/>
        <rFont val="Noto Sans CJK SC"/>
        <family val="2"/>
      </rPr>
      <t>个万兆</t>
    </r>
    <r>
      <rPr>
        <sz val="8.5"/>
        <rFont val="宋体"/>
        <family val="3"/>
        <charset val="134"/>
      </rPr>
      <t>SFP+,2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12GE</t>
    </r>
    <r>
      <rPr>
        <sz val="8.5"/>
        <rFont val="Noto Sans CJK SC"/>
        <family val="2"/>
      </rPr>
      <t>堆叠口</t>
    </r>
    <r>
      <rPr>
        <sz val="8.5"/>
        <rFont val="宋体"/>
        <family val="3"/>
        <charset val="134"/>
      </rPr>
      <t>,</t>
    </r>
    <r>
      <rPr>
        <sz val="8.5"/>
        <rFont val="Noto Sans CJK SC"/>
        <family val="2"/>
      </rPr>
      <t>含双电源</t>
    </r>
    <r>
      <rPr>
        <sz val="8.5"/>
        <rFont val="宋体"/>
        <family val="3"/>
        <charset val="134"/>
      </rPr>
      <t>)</t>
    </r>
  </si>
  <si>
    <r>
      <t>4</t>
    </r>
    <r>
      <rPr>
        <sz val="10"/>
        <rFont val="Noto Sans CJK SC"/>
        <family val="2"/>
      </rPr>
      <t>口接入交换机（</t>
    </r>
    <r>
      <rPr>
        <sz val="10"/>
        <rFont val="宋体"/>
        <family val="3"/>
        <charset val="134"/>
      </rPr>
      <t>POE</t>
    </r>
    <r>
      <rPr>
        <sz val="10"/>
        <rFont val="Noto Sans CJK SC"/>
        <family val="2"/>
      </rPr>
      <t>）</t>
    </r>
  </si>
  <si>
    <r>
      <t>2</t>
    </r>
    <r>
      <rPr>
        <sz val="8.5"/>
        <rFont val="Noto Sans CJK SC"/>
        <family val="2"/>
      </rPr>
      <t>光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电</t>
    </r>
    <r>
      <rPr>
        <sz val="8.5"/>
        <rFont val="宋体"/>
        <family val="3"/>
        <charset val="134"/>
      </rPr>
      <t>POE</t>
    </r>
    <r>
      <rPr>
        <sz val="8.5"/>
        <rFont val="Noto Sans CJK SC"/>
        <family val="2"/>
      </rPr>
      <t>接入交换机，万兆光上联，用于新增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更换前端接入及边缘设备</t>
    </r>
  </si>
  <si>
    <r>
      <t>3KM</t>
    </r>
    <r>
      <rPr>
        <sz val="8.5"/>
        <rFont val="Noto Sans CJK SC"/>
        <family val="2"/>
      </rPr>
      <t>无线传输网桥，用于不便布线点位</t>
    </r>
  </si>
  <si>
    <r>
      <t>万兆光模块（</t>
    </r>
    <r>
      <rPr>
        <sz val="10"/>
        <rFont val="宋体"/>
        <family val="3"/>
        <charset val="134"/>
      </rPr>
      <t>SFP+</t>
    </r>
    <r>
      <rPr>
        <sz val="10"/>
        <rFont val="Noto Sans CJK SC"/>
        <family val="2"/>
      </rPr>
      <t>）</t>
    </r>
  </si>
  <si>
    <r>
      <t>光模块</t>
    </r>
    <r>
      <rPr>
        <sz val="8.5"/>
        <rFont val="宋体"/>
        <family val="3"/>
        <charset val="134"/>
      </rPr>
      <t>-SFP+-10G-</t>
    </r>
    <r>
      <rPr>
        <sz val="8.5"/>
        <rFont val="Noto Sans CJK SC"/>
        <family val="2"/>
      </rPr>
      <t>单模模块</t>
    </r>
    <r>
      <rPr>
        <sz val="8.5"/>
        <rFont val="宋体"/>
        <family val="3"/>
        <charset val="134"/>
      </rPr>
      <t>(1310nm,40km,LC)</t>
    </r>
  </si>
  <si>
    <r>
      <t>室外单模光缆（</t>
    </r>
    <r>
      <rPr>
        <sz val="10"/>
        <rFont val="宋体"/>
        <family val="3"/>
        <charset val="134"/>
      </rPr>
      <t>GYTA/GYTS</t>
    </r>
    <r>
      <rPr>
        <sz val="10"/>
        <rFont val="Noto Sans CJK SC"/>
        <family val="2"/>
      </rPr>
      <t>）</t>
    </r>
  </si>
  <si>
    <r>
      <t>光缆熔接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尾纤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光纤配线架</t>
    </r>
  </si>
  <si>
    <r>
      <t xml:space="preserve">奇安信
</t>
    </r>
    <r>
      <rPr>
        <sz val="9"/>
        <rFont val="宋体"/>
        <family val="3"/>
        <charset val="134"/>
      </rPr>
      <t>NSG2000-TE40P</t>
    </r>
  </si>
  <si>
    <r>
      <t>值班坐席，暂估</t>
    </r>
    <r>
      <rPr>
        <sz val="9"/>
        <rFont val="宋体"/>
        <family val="3"/>
        <charset val="134"/>
      </rPr>
      <t>6</t>
    </r>
    <r>
      <rPr>
        <sz val="9"/>
        <rFont val="Noto Sans CJK SC"/>
        <family val="2"/>
      </rPr>
      <t>联</t>
    </r>
  </si>
  <si>
    <r>
      <t>LCD</t>
    </r>
    <r>
      <rPr>
        <sz val="10"/>
        <rFont val="Noto Sans CJK SC"/>
        <family val="2"/>
      </rPr>
      <t>无边液晶拼接单元</t>
    </r>
  </si>
  <si>
    <r>
      <t xml:space="preserve">海康威视
</t>
    </r>
    <r>
      <rPr>
        <sz val="9"/>
        <rFont val="宋体"/>
        <family val="3"/>
        <charset val="134"/>
      </rPr>
      <t>DS-D2A461LR</t>
    </r>
  </si>
  <si>
    <r>
      <t>46</t>
    </r>
    <r>
      <rPr>
        <sz val="8.5"/>
        <rFont val="Noto Sans CJK SC"/>
        <family val="2"/>
      </rPr>
      <t>寸</t>
    </r>
    <r>
      <rPr>
        <sz val="8.5"/>
        <rFont val="宋体"/>
        <family val="3"/>
        <charset val="134"/>
      </rPr>
      <t>D-LED</t>
    </r>
    <r>
      <rPr>
        <sz val="8.5"/>
        <rFont val="Noto Sans CJK SC"/>
        <family val="2"/>
      </rPr>
      <t>液晶拼接单元，物理拼缝</t>
    </r>
    <r>
      <rPr>
        <sz val="8.5"/>
        <rFont val="宋体"/>
        <family val="3"/>
        <charset val="134"/>
      </rPr>
      <t xml:space="preserve">0.88mm
</t>
    </r>
    <r>
      <rPr>
        <sz val="8.5"/>
        <rFont val="Noto Sans CJK SC"/>
        <family val="2"/>
      </rPr>
      <t>分辨率</t>
    </r>
    <r>
      <rPr>
        <sz val="8.5"/>
        <rFont val="宋体"/>
        <family val="3"/>
        <charset val="134"/>
      </rPr>
      <t>1920×1080@60Hz</t>
    </r>
    <r>
      <rPr>
        <sz val="8.5"/>
        <rFont val="Noto Sans CJK SC"/>
        <family val="2"/>
      </rPr>
      <t>，亮度</t>
    </r>
    <r>
      <rPr>
        <sz val="8.5"/>
        <rFont val="宋体"/>
        <family val="3"/>
        <charset val="134"/>
      </rPr>
      <t>500cd/</t>
    </r>
    <r>
      <rPr>
        <sz val="8.5"/>
        <rFont val="Noto Sans CJK SC"/>
        <family val="2"/>
      </rPr>
      <t>㎡，对比度</t>
    </r>
    <r>
      <rPr>
        <sz val="8.5"/>
        <rFont val="宋体"/>
        <family val="3"/>
        <charset val="134"/>
      </rPr>
      <t xml:space="preserve">1000:1
</t>
    </r>
    <r>
      <rPr>
        <sz val="8.5"/>
        <rFont val="Noto Sans CJK SC"/>
        <family val="2"/>
      </rPr>
      <t>可视角</t>
    </r>
    <r>
      <rPr>
        <sz val="8.5"/>
        <rFont val="宋体"/>
        <family val="3"/>
        <charset val="134"/>
      </rPr>
      <t>178°</t>
    </r>
    <r>
      <rPr>
        <sz val="8.5"/>
        <rFont val="Noto Sans CJK SC"/>
        <family val="2"/>
      </rPr>
      <t>，支持</t>
    </r>
    <r>
      <rPr>
        <sz val="8.5"/>
        <rFont val="宋体"/>
        <family val="3"/>
        <charset val="134"/>
      </rPr>
      <t>24</t>
    </r>
    <r>
      <rPr>
        <sz val="8.5"/>
        <rFont val="Noto Sans CJK SC"/>
        <family val="2"/>
      </rPr>
      <t>小时连续工作
支持</t>
    </r>
    <r>
      <rPr>
        <sz val="8.5"/>
        <rFont val="宋体"/>
        <family val="3"/>
        <charset val="134"/>
      </rPr>
      <t>HDMI/DVI</t>
    </r>
    <r>
      <rPr>
        <sz val="8.5"/>
        <rFont val="Noto Sans CJK SC"/>
        <family val="2"/>
      </rPr>
      <t>输入、</t>
    </r>
    <r>
      <rPr>
        <sz val="8.5"/>
        <rFont val="宋体"/>
        <family val="3"/>
        <charset val="134"/>
      </rPr>
      <t>U</t>
    </r>
    <r>
      <rPr>
        <sz val="8.5"/>
        <rFont val="Noto Sans CJK SC"/>
        <family val="2"/>
      </rPr>
      <t>盘多媒体播放、背光分区调光
红外遥控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快捷面板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串口统一控制</t>
    </r>
  </si>
  <si>
    <r>
      <t>LCD</t>
    </r>
    <r>
      <rPr>
        <sz val="10"/>
        <rFont val="Noto Sans CJK SC"/>
        <family val="2"/>
      </rPr>
      <t>拼接屏支架</t>
    </r>
  </si>
  <si>
    <r>
      <t xml:space="preserve">海康威视
</t>
    </r>
    <r>
      <rPr>
        <sz val="9"/>
        <rFont val="宋体"/>
        <family val="3"/>
        <charset val="134"/>
      </rPr>
      <t>DP-D2X46XXX-1X1-Q1-AW-Q0.6-ZF</t>
    </r>
  </si>
  <si>
    <r>
      <t>46</t>
    </r>
    <r>
      <rPr>
        <sz val="8.5"/>
        <rFont val="Noto Sans CJK SC"/>
        <family val="2"/>
      </rPr>
      <t>寸气动前维护壁挂支架，可前维护、快速安装
优质冷轧钢</t>
    </r>
    <r>
      <rPr>
        <sz val="8.5"/>
        <rFont val="宋体"/>
        <family val="3"/>
        <charset val="134"/>
      </rPr>
      <t>SPCC</t>
    </r>
    <r>
      <rPr>
        <sz val="8.5"/>
        <rFont val="Noto Sans CJK SC"/>
        <family val="2"/>
      </rPr>
      <t>，静电喷塑涂层</t>
    </r>
    <r>
      <rPr>
        <sz val="8.5"/>
        <rFont val="宋体"/>
        <family val="3"/>
        <charset val="134"/>
      </rPr>
      <t xml:space="preserve">&gt;60μm
</t>
    </r>
    <r>
      <rPr>
        <sz val="8.5"/>
        <rFont val="Noto Sans CJK SC"/>
        <family val="2"/>
      </rPr>
      <t>适合</t>
    </r>
    <r>
      <rPr>
        <sz val="8.5"/>
        <rFont val="宋体"/>
        <family val="3"/>
        <charset val="134"/>
      </rPr>
      <t>5</t>
    </r>
    <r>
      <rPr>
        <sz val="8.5"/>
        <rFont val="Noto Sans CJK SC"/>
        <family val="2"/>
      </rPr>
      <t>行</t>
    </r>
    <r>
      <rPr>
        <sz val="8.5"/>
        <rFont val="宋体"/>
        <family val="3"/>
        <charset val="134"/>
      </rPr>
      <t>10</t>
    </r>
    <r>
      <rPr>
        <sz val="8.5"/>
        <rFont val="Noto Sans CJK SC"/>
        <family val="2"/>
      </rPr>
      <t>列以内拼接，需承重墙且墙面平整</t>
    </r>
  </si>
  <si>
    <r>
      <rPr>
        <sz val="9"/>
        <rFont val="SimSun"/>
        <family val="3"/>
        <charset val="134"/>
      </rPr>
      <t xml:space="preserve">海康威视
</t>
    </r>
    <r>
      <rPr>
        <sz val="9"/>
        <rFont val="宋体"/>
        <family val="3"/>
        <charset val="134"/>
      </rPr>
      <t>DS-AXF142P/W10E/ShowOS</t>
    </r>
    <phoneticPr fontId="24" type="noConversion"/>
  </si>
  <si>
    <r>
      <rPr>
        <sz val="8.5"/>
        <rFont val="SimSun"/>
        <family val="3"/>
        <charset val="134"/>
      </rPr>
      <t xml:space="preserve">图形工作站
</t>
    </r>
    <r>
      <rPr>
        <sz val="8.5"/>
        <rFont val="宋体"/>
        <family val="3"/>
        <charset val="134"/>
      </rPr>
      <t>C/S+B/S</t>
    </r>
    <r>
      <rPr>
        <sz val="8.5"/>
        <rFont val="SimSun"/>
        <family val="3"/>
        <charset val="134"/>
      </rPr>
      <t>架构，浏览器统一管理显示屏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中控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拼控</t>
    </r>
    <r>
      <rPr>
        <sz val="8.5"/>
        <rFont val="宋体"/>
        <family val="3"/>
        <charset val="134"/>
      </rPr>
      <t>/KVM/</t>
    </r>
    <r>
      <rPr>
        <sz val="8.5"/>
        <rFont val="SimSun"/>
        <family val="3"/>
        <charset val="134"/>
      </rPr>
      <t>配电柜等
网页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客户端</t>
    </r>
    <r>
      <rPr>
        <sz val="8.5"/>
        <rFont val="宋体"/>
        <family val="3"/>
        <charset val="134"/>
      </rPr>
      <t>/APP</t>
    </r>
    <r>
      <rPr>
        <sz val="8.5"/>
        <rFont val="SimSun"/>
        <family val="3"/>
        <charset val="134"/>
      </rPr>
      <t>（安卓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鸿蒙</t>
    </r>
    <r>
      <rPr>
        <sz val="8.5"/>
        <rFont val="宋体"/>
        <family val="3"/>
        <charset val="134"/>
      </rPr>
      <t>/iOS/Windows</t>
    </r>
    <r>
      <rPr>
        <sz val="8.5"/>
        <rFont val="SimSun"/>
        <family val="3"/>
        <charset val="134"/>
      </rPr>
      <t>）三端实时同步
支持远程操控播控主机与大屏内容调度，多分辨率抓屏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编码
支持网页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程序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图片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视频</t>
    </r>
    <r>
      <rPr>
        <sz val="8.5"/>
        <rFont val="宋体"/>
        <family val="3"/>
        <charset val="134"/>
      </rPr>
      <t>/PPT/Word/Excel/PDF</t>
    </r>
    <r>
      <rPr>
        <sz val="8.5"/>
        <rFont val="SimSun"/>
        <family val="3"/>
        <charset val="134"/>
      </rPr>
      <t>等窗口拖放布局
可查看播控屏分辨率、主机名、在离线及内存等状态</t>
    </r>
    <phoneticPr fontId="24" type="noConversion"/>
  </si>
  <si>
    <r>
      <t>42U</t>
    </r>
    <r>
      <rPr>
        <sz val="10"/>
        <rFont val="Noto Sans CJK SC"/>
        <family val="2"/>
      </rPr>
      <t>机柜</t>
    </r>
  </si>
  <si>
    <r>
      <rPr>
        <sz val="9"/>
        <rFont val="SimSun"/>
        <family val="3"/>
        <charset val="134"/>
      </rPr>
      <t>图腾（</t>
    </r>
    <r>
      <rPr>
        <sz val="9"/>
        <rFont val="宋体"/>
        <family val="3"/>
        <charset val="134"/>
      </rPr>
      <t>42U 800×800mm</t>
    </r>
    <r>
      <rPr>
        <sz val="9"/>
        <rFont val="SimSun"/>
        <family val="3"/>
        <charset val="134"/>
      </rPr>
      <t>）</t>
    </r>
    <phoneticPr fontId="24" type="noConversion"/>
  </si>
  <si>
    <r>
      <t>摄像机支架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立杆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防水箱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电源</t>
    </r>
  </si>
  <si>
    <r>
      <t>配合</t>
    </r>
    <r>
      <rPr>
        <sz val="9"/>
        <rFont val="宋体"/>
        <family val="3"/>
        <charset val="134"/>
      </rPr>
      <t>146</t>
    </r>
    <r>
      <rPr>
        <sz val="9"/>
        <rFont val="Noto Sans CJK SC"/>
        <family val="2"/>
      </rPr>
      <t>个点位</t>
    </r>
  </si>
  <si>
    <r>
      <t>PVC</t>
    </r>
    <r>
      <rPr>
        <sz val="10"/>
        <rFont val="Noto Sans CJK SC"/>
        <family val="2"/>
      </rPr>
      <t>管</t>
    </r>
  </si>
  <si>
    <r>
      <t xml:space="preserve">PVC20 </t>
    </r>
    <r>
      <rPr>
        <sz val="8.5"/>
        <rFont val="Noto Sans CJK SC"/>
        <family val="2"/>
      </rPr>
      <t>穿线管及敷设</t>
    </r>
  </si>
  <si>
    <r>
      <t>前端安装、平台接入级联、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与存储调试、网络割接与联调</t>
    </r>
  </si>
  <si>
    <r>
      <t>IP</t>
    </r>
    <r>
      <rPr>
        <sz val="10"/>
        <rFont val="Noto Sans CJK SC"/>
        <family val="2"/>
      </rPr>
      <t>与线路规划</t>
    </r>
  </si>
  <si>
    <r>
      <t>按数智中心规划范围与规则，编制并实施《</t>
    </r>
    <r>
      <rPr>
        <sz val="8.5"/>
        <rFont val="宋体"/>
        <family val="3"/>
        <charset val="134"/>
      </rPr>
      <t>IP</t>
    </r>
    <r>
      <rPr>
        <sz val="8.5"/>
        <rFont val="Noto Sans CJK SC"/>
        <family val="2"/>
      </rPr>
      <t>与线路规划表》，协助排查各二级公司</t>
    </r>
    <r>
      <rPr>
        <sz val="8.5"/>
        <rFont val="宋体"/>
        <family val="3"/>
        <charset val="134"/>
      </rPr>
      <t>IP</t>
    </r>
    <r>
      <rPr>
        <sz val="8.5"/>
        <rFont val="Noto Sans CJK SC"/>
        <family val="2"/>
      </rPr>
      <t>并指出整改项</t>
    </r>
  </si>
  <si>
    <t>东明石化集团 非生产区域视频监控智能化改造项目价格清单</t>
    <phoneticPr fontId="24" type="noConversion"/>
  </si>
  <si>
    <r>
      <t xml:space="preserve">42U 800×800mm </t>
    </r>
    <r>
      <rPr>
        <sz val="8.5"/>
        <rFont val="SimSun"/>
        <family val="3"/>
        <charset val="134"/>
      </rPr>
      <t>标准机柜</t>
    </r>
    <r>
      <rPr>
        <sz val="8.5"/>
        <rFont val="宋体"/>
        <family val="3"/>
        <charset val="134"/>
      </rPr>
      <t>，带竖向理线槽及理线架</t>
    </r>
    <phoneticPr fontId="24" type="noConversion"/>
  </si>
  <si>
    <t>海康威视</t>
    <phoneticPr fontId="24" type="noConversion"/>
  </si>
  <si>
    <r>
      <rPr>
        <sz val="9"/>
        <rFont val="宋体"/>
        <family val="3"/>
        <charset val="134"/>
      </rPr>
      <t>国产优质12</t>
    </r>
    <r>
      <rPr>
        <sz val="9"/>
        <rFont val="SimSun"/>
        <family val="3"/>
        <charset val="134"/>
      </rPr>
      <t>芯单模</t>
    </r>
    <phoneticPr fontId="24" type="noConversion"/>
  </si>
  <si>
    <t>国产优质</t>
    <phoneticPr fontId="24" type="noConversion"/>
  </si>
  <si>
    <t>各区域老旧点位更换</t>
    <phoneticPr fontId="24" type="noConversion"/>
  </si>
  <si>
    <r>
      <rPr>
        <sz val="9"/>
        <color rgb="FF595959"/>
        <rFont val="SimSun"/>
        <family val="3"/>
        <charset val="134"/>
      </rPr>
      <t>门岗补盲，覆盖前后</t>
    </r>
    <r>
      <rPr>
        <sz val="9"/>
        <color rgb="FF595959"/>
        <rFont val="Times New Roman"/>
        <family val="1"/>
      </rPr>
      <t>20m</t>
    </r>
    <phoneticPr fontId="24" type="noConversion"/>
  </si>
  <si>
    <r>
      <rPr>
        <sz val="8.5"/>
        <rFont val="SimSun"/>
        <family val="3"/>
        <charset val="134"/>
      </rPr>
      <t>视频解码矩阵，用于大屏解码上墙，按需扩展解码板卡（支持2</t>
    </r>
    <r>
      <rPr>
        <sz val="8.5"/>
        <rFont val="宋体"/>
        <family val="3"/>
        <charset val="134"/>
      </rPr>
      <t>00</t>
    </r>
    <r>
      <rPr>
        <sz val="8.5"/>
        <rFont val="SimSun"/>
        <family val="3"/>
        <charset val="134"/>
      </rPr>
      <t>路以上上墙）</t>
    </r>
    <phoneticPr fontId="24" type="noConversion"/>
  </si>
  <si>
    <t>DS-6A20UD-T</t>
    <phoneticPr fontId="24" type="noConversion"/>
  </si>
  <si>
    <t>海康威视（软件授权）</t>
    <phoneticPr fontId="24" type="noConversion"/>
  </si>
  <si>
    <t>千星时频</t>
    <phoneticPr fontId="24" type="noConversion"/>
  </si>
  <si>
    <r>
      <t>NTP/GPS·</t>
    </r>
    <r>
      <rPr>
        <sz val="8.5"/>
        <rFont val="SimSun"/>
        <family val="3"/>
        <charset val="134"/>
      </rPr>
      <t>北斗统一授时，为管理平台、</t>
    </r>
    <r>
      <rPr>
        <sz val="8.5"/>
        <rFont val="宋体"/>
        <family val="3"/>
        <charset val="134"/>
      </rPr>
      <t>NVR</t>
    </r>
    <r>
      <rPr>
        <sz val="8.5"/>
        <rFont val="SimSun"/>
        <family val="3"/>
        <charset val="134"/>
      </rPr>
      <t>及前端设备提供统一时间基准，保证录像与报警时序一致， 6个千兆口，AC+DC冗余供电，主机+10米天线，满足等保要求</t>
    </r>
    <phoneticPr fontId="24" type="noConversion"/>
  </si>
  <si>
    <t>含熔接、尾纤、配线架及跳纤等</t>
    <phoneticPr fontId="24" type="noConversion"/>
  </si>
  <si>
    <r>
      <t>室外铠装单模光缆，用于未联通二级公司到集团监控网的联通，复用为主、新布为辅（</t>
    </r>
    <r>
      <rPr>
        <sz val="8.5"/>
        <rFont val="宋体"/>
        <family val="3"/>
        <charset val="134"/>
      </rPr>
      <t>12</t>
    </r>
    <r>
      <rPr>
        <sz val="8.5"/>
        <rFont val="Noto Sans CJK SC"/>
        <family val="2"/>
      </rPr>
      <t>芯单模）</t>
    </r>
    <phoneticPr fontId="24" type="noConversion"/>
  </si>
  <si>
    <r>
      <t>网络层吞吐量</t>
    </r>
    <r>
      <rPr>
        <sz val="8.5"/>
        <rFont val="宋体"/>
        <family val="3"/>
        <charset val="134"/>
      </rPr>
      <t>7G</t>
    </r>
    <r>
      <rPr>
        <sz val="8.5"/>
        <rFont val="Noto Sans CJK SC"/>
        <family val="2"/>
      </rPr>
      <t>，并发连接≥</t>
    </r>
    <r>
      <rPr>
        <sz val="8.5"/>
        <rFont val="宋体"/>
        <family val="3"/>
        <charset val="134"/>
      </rPr>
      <t>350</t>
    </r>
    <r>
      <rPr>
        <sz val="8.5"/>
        <rFont val="Noto Sans CJK SC"/>
        <family val="2"/>
      </rPr>
      <t>万，每秒新建连接数</t>
    </r>
    <r>
      <rPr>
        <sz val="8.5"/>
        <rFont val="宋体"/>
        <family val="3"/>
        <charset val="134"/>
      </rPr>
      <t>7</t>
    </r>
    <r>
      <rPr>
        <sz val="8.5"/>
        <rFont val="Noto Sans CJK SC"/>
        <family val="2"/>
      </rPr>
      <t>万， 标准</t>
    </r>
    <r>
      <rPr>
        <sz val="8.5"/>
        <rFont val="宋体"/>
        <family val="3"/>
        <charset val="134"/>
      </rPr>
      <t>1U</t>
    </r>
    <r>
      <rPr>
        <sz val="8.5"/>
        <rFont val="Noto Sans CJK SC"/>
        <family val="2"/>
      </rPr>
      <t>机箱，单电源，标准配置板载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10/100/1000M</t>
    </r>
    <r>
      <rPr>
        <sz val="8.5"/>
        <rFont val="Noto Sans CJK SC"/>
        <family val="2"/>
      </rPr>
      <t>自适应电、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SFP</t>
    </r>
    <r>
      <rPr>
        <sz val="8.5"/>
        <rFont val="Noto Sans CJK SC"/>
        <family val="2"/>
      </rPr>
      <t>插槽，另有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个扩展插槽，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Console</t>
    </r>
    <r>
      <rPr>
        <sz val="8.5"/>
        <rFont val="Noto Sans CJK SC"/>
        <family val="2"/>
      </rPr>
      <t>口， 含一年硬件维保服务。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年病毒防护特征库升级服务，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年入侵防御特征库升级服务</t>
    </r>
    <phoneticPr fontId="24" type="noConversion"/>
  </si>
  <si>
    <r>
      <rPr>
        <sz val="8.5"/>
        <rFont val="SimSun"/>
        <family val="3"/>
        <charset val="134"/>
      </rPr>
      <t>整体联调、性能压测（</t>
    </r>
    <r>
      <rPr>
        <sz val="8.5"/>
        <rFont val="Noto Sans CJK SC"/>
        <family val="1"/>
        <charset val="134"/>
      </rPr>
      <t>≥</t>
    </r>
    <r>
      <rPr>
        <sz val="8.5"/>
        <rFont val="宋体"/>
        <family val="3"/>
        <charset val="134"/>
      </rPr>
      <t>100</t>
    </r>
    <r>
      <rPr>
        <sz val="8.5"/>
        <rFont val="SimSun"/>
        <family val="3"/>
        <charset val="134"/>
      </rPr>
      <t>路上墙）、试运行与竣工验收，交付竣工资料</t>
    </r>
    <phoneticPr fontId="24" type="noConversion"/>
  </si>
  <si>
    <r>
      <t>1</t>
    </r>
    <r>
      <rPr>
        <sz val="8.5"/>
        <rFont val="Noto Sans CJK SC"/>
        <family val="2"/>
      </rPr>
      <t>年免费质保，</t>
    </r>
    <r>
      <rPr>
        <sz val="8.5"/>
        <rFont val="宋体"/>
        <family val="3"/>
        <charset val="134"/>
      </rPr>
      <t>7×24</t>
    </r>
    <r>
      <rPr>
        <sz val="8.5"/>
        <rFont val="Noto Sans CJK SC"/>
        <family val="2"/>
      </rPr>
      <t>报障响应，平台版本与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算法升级</t>
    </r>
    <phoneticPr fontId="24" type="noConversion"/>
  </si>
  <si>
    <t>原来35台</t>
    <phoneticPr fontId="24" type="noConversion"/>
  </si>
  <si>
    <t>个</t>
  </si>
  <si>
    <t>iDS-96256NX-H24R</t>
    <phoneticPr fontId="24" type="noConversion"/>
  </si>
  <si>
    <t>2U机架9盘位存算一体边缘计算主机，内置2颗AI引擎
存储：9×SATA（可满配16TB），支持热插拔及RAID0/1/5/6/10+全局热备
网络2×千兆RJ45；视频2×HDMI+2×VGA；报警16入4出；RS-232/485
接入64路H.264/H.265，最大解码32×1080P，输入带宽384Mbps
智能模式6选1：目标识别/周界防范/周界大模型二次分析/视频结构化/以图搜图/高空抛物
智能文搜：开放式语义检索、秒级响应
周界防范：单引擎12路2MP，支持大模型二次分析
视频结构化：人/车/非机动车抓拍、车牌识别与车牌库报警</t>
    <phoneticPr fontId="24" type="noConversion"/>
  </si>
  <si>
    <t>4U标准机架式24盘位边缘计算主机，整机采用无线缆模块化设计，1+1冗余电源，1+1冗余风扇，支持前置硬盘热插拔，网络接口：4个10M/100M/1000M/2.5Gbps网口，输入带宽：1Gbps 输出带宽：768Mbps
接入能力：256路H.264、H.265格式高清码流接入 解码能力：最大支持32×1080P 存储接口：24个SATA口，支持满配20TB硬盘（总容量可达480TB)
智能模式6选1：目标识别/周界防范/周界大模型二次分析/视频结构化/以图搜图/高空抛物
智能文搜：开放式语义检索、秒级响应
周界防范：单引擎12路2MP，支持大模型二次分析
视频结构化：人/车/非机动车抓拍、车牌识别与车牌库报警</t>
    <phoneticPr fontId="24" type="noConversion"/>
  </si>
  <si>
    <t>台</t>
    <phoneticPr fontId="24" type="noConversion"/>
  </si>
  <si>
    <t>原来252</t>
    <phoneticPr fontId="24" type="noConversion"/>
  </si>
  <si>
    <t>原来8000</t>
    <phoneticPr fontId="24" type="noConversion"/>
  </si>
  <si>
    <t>3U机架16盘位嵌入式NVR（可满配20TB）
接入64路H.264/H.265，最大解码48×1080P
输入带宽512Mbps（开RAID为256）/输出256Mbps
支持RAID0/1/5/6/10+全局热备（与智能应用互斥）
内置AI，支持以文搜图/以图搜图（各64路）、目标识别
网络2×千兆，视频3×HDMI+2×VGA</t>
    <phoneticPr fontId="24" type="noConversion"/>
  </si>
  <si>
    <t>2U机架9盘位嵌入式NVR（可满配12TB）
接入32路H.264/H.265，最大解码24×1080P
输入带宽256Mbps/输出160Mbps
网络2×千兆，视频2×HDMI+2×VGA
内置AI，支持以文搜图/以图搜图（各32路）、目标识别
报警16入9出，RS-232/485，eSATA扩展</t>
    <phoneticPr fontId="24" type="noConversion"/>
  </si>
  <si>
    <t>原来2台</t>
    <phoneticPr fontId="24" type="noConversion"/>
  </si>
  <si>
    <t>原来160只</t>
    <phoneticPr fontId="24" type="noConversion"/>
  </si>
  <si>
    <t>监控级硬盘</t>
    <phoneticPr fontId="24" type="noConversion"/>
  </si>
  <si>
    <t>西数/希捷/海康威视 8TB</t>
    <phoneticPr fontId="24" type="noConversion"/>
  </si>
  <si>
    <r>
      <rPr>
        <sz val="8.5"/>
        <color rgb="FF000000"/>
        <rFont val="宋体"/>
        <family val="3"/>
        <charset val="134"/>
      </rPr>
      <t>监控级硬盘，配合上述</t>
    </r>
    <r>
      <rPr>
        <sz val="8.5"/>
        <color rgb="FF000000"/>
        <rFont val="Times New Roman"/>
        <family val="1"/>
      </rPr>
      <t>NVR</t>
    </r>
    <r>
      <rPr>
        <sz val="8.5"/>
        <color rgb="FF000000"/>
        <rFont val="宋体"/>
        <family val="3"/>
        <charset val="134"/>
      </rPr>
      <t>满足全域</t>
    </r>
    <r>
      <rPr>
        <sz val="8.5"/>
        <color rgb="FF000000"/>
        <rFont val="Times New Roman"/>
        <family val="1"/>
      </rPr>
      <t>90</t>
    </r>
    <r>
      <rPr>
        <sz val="8.5"/>
        <color rgb="FF000000"/>
        <rFont val="宋体"/>
        <family val="3"/>
        <charset val="134"/>
      </rPr>
      <t>天录像，配合</t>
    </r>
    <r>
      <rPr>
        <sz val="8.5"/>
        <color rgb="FF000000"/>
        <rFont val="Times New Roman"/>
        <family val="1"/>
      </rPr>
      <t>H.265</t>
    </r>
    <r>
      <rPr>
        <sz val="8.5"/>
        <color rgb="FF000000"/>
        <rFont val="宋体"/>
        <family val="3"/>
        <charset val="134"/>
      </rPr>
      <t>智能压缩；单盘容量以深化设计为准</t>
    </r>
    <phoneticPr fontId="24" type="noConversion"/>
  </si>
  <si>
    <r>
      <rPr>
        <sz val="11"/>
        <rFont val="宋体"/>
        <family val="2"/>
        <charset val="134"/>
      </rPr>
      <t>原来1</t>
    </r>
    <r>
      <rPr>
        <sz val="11"/>
        <rFont val="Calibri"/>
        <family val="2"/>
        <charset val="1"/>
      </rPr>
      <t>00</t>
    </r>
    <phoneticPr fontId="24" type="noConversion"/>
  </si>
  <si>
    <r>
      <rPr>
        <sz val="11"/>
        <rFont val="宋体"/>
        <family val="2"/>
        <charset val="134"/>
      </rPr>
      <t>原来</t>
    </r>
    <r>
      <rPr>
        <sz val="11"/>
        <rFont val="Calibri"/>
        <family val="2"/>
        <charset val="1"/>
      </rPr>
      <t>2</t>
    </r>
    <r>
      <rPr>
        <sz val="11"/>
        <rFont val="宋体"/>
        <family val="2"/>
        <charset val="134"/>
      </rPr>
      <t>台</t>
    </r>
    <phoneticPr fontId="24" type="noConversion"/>
  </si>
  <si>
    <t>利旧2台</t>
    <phoneticPr fontId="24" type="noConversion"/>
  </si>
  <si>
    <t>支持24路AI周界算法</t>
    <phoneticPr fontId="24" type="noConversion"/>
  </si>
  <si>
    <t>支持192路AI周界算法</t>
    <phoneticPr fontId="24" type="noConversion"/>
  </si>
  <si>
    <r>
      <rPr>
        <sz val="9"/>
        <rFont val="SimSun"/>
        <family val="3"/>
        <charset val="134"/>
      </rPr>
      <t>3*6，</t>
    </r>
    <r>
      <rPr>
        <sz val="9"/>
        <rFont val="宋体"/>
        <family val="3"/>
        <charset val="134"/>
      </rPr>
      <t>46</t>
    </r>
    <r>
      <rPr>
        <sz val="9"/>
        <rFont val="SimSun"/>
        <family val="3"/>
        <charset val="134"/>
      </rPr>
      <t>寸超窄边</t>
    </r>
    <r>
      <rPr>
        <sz val="9"/>
        <color rgb="FFFF0000"/>
        <rFont val="宋体"/>
        <family val="3"/>
        <charset val="134"/>
      </rPr>
      <t>(0.88mm</t>
    </r>
    <r>
      <rPr>
        <sz val="9"/>
        <color rgb="FFFF0000"/>
        <rFont val="SimSun"/>
        <family val="3"/>
        <charset val="134"/>
      </rPr>
      <t>拼缝</t>
    </r>
    <r>
      <rPr>
        <sz val="9"/>
        <color rgb="FFFF0000"/>
        <rFont val="宋体"/>
        <family val="3"/>
        <charset val="134"/>
      </rPr>
      <t>)</t>
    </r>
    <phoneticPr fontId="24" type="noConversion"/>
  </si>
  <si>
    <t>集团监控专网核心</t>
    <phoneticPr fontId="24" type="noConversion"/>
  </si>
  <si>
    <t>承载193路AI分析，配置含10%余量</t>
    <phoneticPr fontId="24" type="noConversion"/>
  </si>
  <si>
    <r>
      <rPr>
        <sz val="9"/>
        <color rgb="FF595959"/>
        <rFont val="宋体"/>
        <family val="3"/>
        <charset val="134"/>
      </rPr>
      <t>满足90天录像，预留10%余，总容量1400TB,配套</t>
    </r>
    <r>
      <rPr>
        <sz val="9"/>
        <color rgb="FF595959"/>
        <rFont val="Times New Roman"/>
        <family val="1"/>
      </rPr>
      <t>NVR</t>
    </r>
    <r>
      <rPr>
        <sz val="9"/>
        <color rgb="FF595959"/>
        <rFont val="宋体"/>
        <family val="1"/>
        <charset val="134"/>
      </rPr>
      <t>使用</t>
    </r>
    <phoneticPr fontId="24" type="noConversion"/>
  </si>
  <si>
    <r>
      <rPr>
        <sz val="9"/>
        <rFont val="SimSun"/>
        <family val="3"/>
        <charset val="134"/>
      </rPr>
      <t>不包含硬盘</t>
    </r>
    <r>
      <rPr>
        <sz val="9"/>
        <rFont val="宋体"/>
        <family val="3"/>
        <charset val="134"/>
      </rPr>
      <t>，（型号可能依据现场情况做少量调整）</t>
    </r>
    <phoneticPr fontId="24" type="noConversion"/>
  </si>
  <si>
    <t>不包含硬盘</t>
    <phoneticPr fontId="24" type="noConversion"/>
  </si>
  <si>
    <t>对应30余个独立监控室/二级单位</t>
    <phoneticPr fontId="24" type="noConversion"/>
  </si>
  <si>
    <t>主干及汇聚上联</t>
    <phoneticPr fontId="24" type="noConversion"/>
  </si>
  <si>
    <t>复用为主、新布为辅，以线路勘查为准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</si>
</sst>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>
    <font>
      <sz val="11"/>
      <color theme="1"/>
      <name val="Calibri"/>
      <family val="2"/>
      <charset val="1"/>
    </font>
    <font>
      <b/>
      <sz val="15"/>
      <color rgb="FF1F4E79"/>
      <name val="Noto Sans CJK SC"/>
      <family val="1"/>
    </font>
    <font>
      <sz val="10"/>
      <color rgb="FF000000"/>
      <name val="宋体"/>
      <family val="3"/>
      <charset val="134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2"/>
    </font>
    <font>
      <sz val="10"/>
      <color rgb="FF000000"/>
      <name val="Noto Sans CJK SC"/>
      <family val="2"/>
    </font>
    <font>
      <b/>
      <sz val="10"/>
      <color rgb="FF000000"/>
      <name val="宋体"/>
      <family val="3"/>
      <charset val="134"/>
    </font>
    <font>
      <b/>
      <sz val="14"/>
      <name val="Noto Sans CJK SC"/>
      <family val="1"/>
      <charset val="1"/>
    </font>
    <font>
      <sz val="11"/>
      <name val="Calibri"/>
      <family val="2"/>
      <charset val="1"/>
    </font>
    <font>
      <b/>
      <sz val="10"/>
      <name val="Noto Sans CJK SC"/>
      <family val="1"/>
      <charset val="1"/>
    </font>
    <font>
      <b/>
      <sz val="10"/>
      <name val="黑体"/>
      <family val="3"/>
      <charset val="134"/>
    </font>
    <font>
      <b/>
      <sz val="10"/>
      <name val="Noto Sans CJK SC"/>
      <family val="2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  <charset val="1"/>
    </font>
    <font>
      <b/>
      <sz val="10"/>
      <color rgb="FF000000"/>
      <name val="Noto Sans CJK SC"/>
      <family val="1"/>
      <charset val="1"/>
    </font>
    <font>
      <b/>
      <sz val="10"/>
      <color rgb="FF000000"/>
      <name val="宋体"/>
      <family val="3"/>
      <charset val="134"/>
    </font>
    <font>
      <b/>
      <sz val="10"/>
      <color rgb="FF000000"/>
      <name val="Noto Sans CJK SC"/>
      <family val="2"/>
    </font>
    <font>
      <b/>
      <sz val="9"/>
      <color rgb="FF1F4E79"/>
      <name val="Noto Sans CJK SC"/>
      <family val="1"/>
      <charset val="1"/>
    </font>
    <font>
      <b/>
      <sz val="11"/>
      <name val="Noto Sans CJK SC"/>
      <family val="2"/>
      <charset val="1"/>
    </font>
    <font>
      <sz val="11"/>
      <name val="微软雅黑"/>
      <family val="2"/>
      <charset val="134"/>
    </font>
    <font>
      <sz val="11"/>
      <name val="Noto Sans CJK SC"/>
      <family val="2"/>
      <charset val="1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b/>
      <sz val="10.5"/>
      <name val="Noto Sans CJK SC"/>
      <family val="1"/>
    </font>
    <font>
      <sz val="10"/>
      <name val="Noto Sans CJK SC"/>
      <family val="2"/>
      <charset val="1"/>
    </font>
    <font>
      <sz val="10"/>
      <name val="宋体"/>
      <family val="3"/>
      <charset val="134"/>
    </font>
    <font>
      <sz val="9"/>
      <name val="Noto Sans CJK SC"/>
      <family val="2"/>
      <charset val="1"/>
    </font>
    <font>
      <sz val="9"/>
      <name val="Noto Sans CJK SC"/>
      <family val="2"/>
    </font>
    <font>
      <b/>
      <sz val="10"/>
      <name val="Noto Sans CJK SC"/>
      <family val="1"/>
    </font>
    <font>
      <sz val="10"/>
      <name val="Noto Sans CJK SC"/>
      <family val="1"/>
    </font>
    <font>
      <b/>
      <sz val="11"/>
      <name val="Noto Sans CJK SC"/>
      <family val="1"/>
    </font>
    <font>
      <b/>
      <sz val="12"/>
      <name val="Noto Sans CJK SC"/>
      <family val="1"/>
    </font>
    <font>
      <b/>
      <sz val="10"/>
      <name val="Noto Sans CJK SC"/>
      <family val="1"/>
    </font>
    <font>
      <sz val="9"/>
      <color rgb="FF595959"/>
      <name val="SimSun"/>
      <family val="3"/>
      <charset val="134"/>
    </font>
    <font>
      <b/>
      <sz val="15"/>
      <name val="Noto Sans CJK SC"/>
      <family val="1"/>
    </font>
    <font>
      <sz val="10"/>
      <name val="Noto Sans CJK SC"/>
      <family val="2"/>
    </font>
    <font>
      <sz val="8.5"/>
      <name val="宋体"/>
      <family val="3"/>
      <charset val="134"/>
    </font>
    <font>
      <sz val="8.5"/>
      <name val="Noto Sans CJK SC"/>
      <family val="2"/>
    </font>
    <font>
      <sz val="9"/>
      <name val="Noto Sans CJK SC"/>
      <family val="3"/>
      <charset val="134"/>
    </font>
    <font>
      <sz val="9"/>
      <name val="SimSun"/>
      <family val="3"/>
      <charset val="134"/>
    </font>
    <font>
      <sz val="8.5"/>
      <name val="Noto Sans CJK SC"/>
      <family val="3"/>
      <charset val="134"/>
    </font>
    <font>
      <sz val="8.5"/>
      <name val="SimSun"/>
      <family val="3"/>
      <charset val="134"/>
    </font>
    <font>
      <b/>
      <sz val="15"/>
      <name val="SimSun"/>
      <family val="3"/>
      <charset val="134"/>
    </font>
    <font>
      <sz val="9"/>
      <color rgb="FF595959"/>
      <name val="Times New Roman"/>
      <family val="1"/>
    </font>
    <font>
      <sz val="9"/>
      <color rgb="FF595959"/>
      <name val="Noto Sans CJK SC"/>
      <family val="3"/>
      <charset val="134"/>
    </font>
    <font>
      <sz val="8.5"/>
      <name val="Noto Sans CJK SC"/>
      <family val="1"/>
      <charset val="134"/>
    </font>
    <font>
      <sz val="11"/>
      <name val="宋体"/>
      <family val="2"/>
      <charset val="134"/>
    </font>
    <font>
      <sz val="11"/>
      <name val="Calibri"/>
      <family val="2"/>
      <charset val="134"/>
    </font>
    <font>
      <sz val="10"/>
      <color rgb="FF000000"/>
      <name val="Noto Sans CJK SC"/>
      <family val="2"/>
      <charset val="1"/>
    </font>
    <font>
      <sz val="9"/>
      <color rgb="FF1F4E79"/>
      <name val="宋体"/>
      <family val="3"/>
      <charset val="134"/>
    </font>
    <font>
      <sz val="8.5"/>
      <color rgb="FF000000"/>
      <name val="宋体"/>
      <family val="3"/>
      <charset val="134"/>
    </font>
    <font>
      <sz val="8.5"/>
      <color rgb="FF000000"/>
      <name val="Times New Roman"/>
      <family val="1"/>
    </font>
    <font>
      <sz val="8.5"/>
      <color rgb="FF000000"/>
      <name val="Noto Sans CJK SC"/>
      <family val="3"/>
      <charset val="134"/>
    </font>
    <font>
      <sz val="9"/>
      <color rgb="FFFF0000"/>
      <name val="宋体"/>
      <family val="3"/>
      <charset val="134"/>
    </font>
    <font>
      <sz val="9"/>
      <color rgb="FFFF0000"/>
      <name val="SimSun"/>
      <family val="3"/>
      <charset val="134"/>
    </font>
    <font>
      <sz val="11"/>
      <color rgb="FFFF0000"/>
      <name val="Calibri"/>
      <family val="2"/>
      <charset val="1"/>
    </font>
    <font>
      <sz val="9"/>
      <color rgb="FF595959"/>
      <name val="宋体"/>
      <family val="1"/>
      <charset val="134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DDEBF7"/>
      </patternFill>
    </fill>
    <fill>
      <patternFill patternType="solid">
        <fgColor rgb="FFC5D3FF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5" fillId="2" borderId="3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4" fontId="27" fillId="0" borderId="3" xfId="0" applyNumberFormat="1" applyFont="1" applyBorder="1" applyAlignment="1">
      <alignment horizontal="right" vertical="center" wrapText="1"/>
    </xf>
    <xf numFmtId="0" fontId="28" fillId="0" borderId="3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4" fontId="30" fillId="2" borderId="3" xfId="0" applyNumberFormat="1" applyFont="1" applyFill="1" applyBorder="1" applyAlignment="1">
      <alignment horizontal="right" vertical="center" wrapText="1"/>
    </xf>
    <xf numFmtId="0" fontId="8" fillId="2" borderId="3" xfId="0" applyFont="1" applyFill="1" applyBorder="1"/>
    <xf numFmtId="0" fontId="8" fillId="0" borderId="3" xfId="0" applyFont="1" applyBorder="1"/>
    <xf numFmtId="4" fontId="33" fillId="3" borderId="3" xfId="0" applyNumberFormat="1" applyFont="1" applyFill="1" applyBorder="1" applyAlignment="1">
      <alignment horizontal="right" vertical="center" wrapText="1"/>
    </xf>
    <xf numFmtId="0" fontId="28" fillId="3" borderId="3" xfId="0" applyFont="1" applyFill="1" applyBorder="1" applyAlignment="1">
      <alignment horizontal="left" vertical="center" wrapText="1"/>
    </xf>
    <xf numFmtId="4" fontId="34" fillId="0" borderId="3" xfId="0" applyNumberFormat="1" applyFont="1" applyBorder="1" applyAlignment="1">
      <alignment horizontal="right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19" xfId="0" applyFont="1" applyFill="1" applyBorder="1" applyAlignment="1">
      <alignment horizontal="center" vertical="center" wrapText="1"/>
    </xf>
    <xf numFmtId="0" fontId="30" fillId="2" borderId="20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center" vertical="center" wrapText="1"/>
    </xf>
    <xf numFmtId="4" fontId="27" fillId="0" borderId="3" xfId="0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left" vertical="center" wrapText="1"/>
    </xf>
    <xf numFmtId="0" fontId="39" fillId="0" borderId="3" xfId="0" applyFont="1" applyBorder="1" applyAlignment="1">
      <alignment horizontal="left" vertical="top" wrapText="1"/>
    </xf>
    <xf numFmtId="0" fontId="30" fillId="2" borderId="3" xfId="0" applyFont="1" applyFill="1" applyBorder="1" applyAlignment="1">
      <alignment horizontal="center" vertical="center" wrapText="1"/>
    </xf>
    <xf numFmtId="0" fontId="8" fillId="2" borderId="9" xfId="0" applyFont="1" applyFill="1" applyBorder="1"/>
    <xf numFmtId="0" fontId="27" fillId="0" borderId="3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40" fillId="0" borderId="3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top" wrapText="1"/>
    </xf>
    <xf numFmtId="0" fontId="41" fillId="0" borderId="9" xfId="0" applyFont="1" applyBorder="1" applyAlignment="1">
      <alignment horizontal="left" vertical="center" wrapText="1"/>
    </xf>
    <xf numFmtId="0" fontId="39" fillId="0" borderId="3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38" fillId="0" borderId="14" xfId="0" applyFont="1" applyBorder="1" applyAlignment="1">
      <alignment horizontal="left" vertical="center" wrapText="1"/>
    </xf>
    <xf numFmtId="0" fontId="37" fillId="0" borderId="14" xfId="0" applyFont="1" applyBorder="1" applyAlignment="1">
      <alignment horizontal="center" vertical="center" wrapText="1"/>
    </xf>
    <xf numFmtId="4" fontId="27" fillId="0" borderId="14" xfId="0" applyNumberFormat="1" applyFont="1" applyBorder="1" applyAlignment="1">
      <alignment horizontal="center" vertical="center" wrapText="1"/>
    </xf>
    <xf numFmtId="0" fontId="29" fillId="0" borderId="15" xfId="0" applyFont="1" applyBorder="1" applyAlignment="1">
      <alignment horizontal="left" vertical="center" wrapText="1"/>
    </xf>
    <xf numFmtId="4" fontId="32" fillId="2" borderId="6" xfId="0" applyNumberFormat="1" applyFont="1" applyFill="1" applyBorder="1"/>
    <xf numFmtId="0" fontId="8" fillId="2" borderId="7" xfId="0" applyFont="1" applyFill="1" applyBorder="1"/>
    <xf numFmtId="4" fontId="32" fillId="2" borderId="3" xfId="0" applyNumberFormat="1" applyFont="1" applyFill="1" applyBorder="1"/>
    <xf numFmtId="4" fontId="33" fillId="3" borderId="11" xfId="0" applyNumberFormat="1" applyFont="1" applyFill="1" applyBorder="1"/>
    <xf numFmtId="0" fontId="8" fillId="3" borderId="12" xfId="0" applyFont="1" applyFill="1" applyBorder="1"/>
    <xf numFmtId="0" fontId="41" fillId="0" borderId="3" xfId="0" applyFont="1" applyBorder="1" applyAlignment="1">
      <alignment horizontal="left" vertical="center" wrapText="1"/>
    </xf>
    <xf numFmtId="0" fontId="40" fillId="0" borderId="9" xfId="0" applyFont="1" applyBorder="1" applyAlignment="1">
      <alignment horizontal="left" vertical="center" wrapText="1"/>
    </xf>
    <xf numFmtId="0" fontId="46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48" fillId="0" borderId="0" xfId="0" applyFont="1"/>
    <xf numFmtId="0" fontId="49" fillId="0" borderId="0" xfId="0" applyFont="1" applyAlignment="1">
      <alignment wrapText="1"/>
    </xf>
    <xf numFmtId="0" fontId="30" fillId="2" borderId="3" xfId="0" applyFont="1" applyFill="1" applyBorder="1" applyAlignment="1">
      <alignment horizontal="right" vertical="center" wrapText="1"/>
    </xf>
    <xf numFmtId="0" fontId="32" fillId="2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1" fillId="0" borderId="3" xfId="0" applyFont="1" applyBorder="1" applyAlignment="1">
      <alignment horizontal="right" vertical="center" wrapText="1"/>
    </xf>
    <xf numFmtId="0" fontId="32" fillId="3" borderId="3" xfId="0" applyFont="1" applyFill="1" applyBorder="1" applyAlignment="1">
      <alignment horizontal="right" vertical="center" wrapText="1"/>
    </xf>
    <xf numFmtId="0" fontId="32" fillId="2" borderId="5" xfId="0" applyFont="1" applyFill="1" applyBorder="1" applyAlignment="1">
      <alignment horizontal="right" vertical="center" wrapText="1"/>
    </xf>
    <xf numFmtId="0" fontId="32" fillId="2" borderId="6" xfId="0" applyFont="1" applyFill="1" applyBorder="1" applyAlignment="1">
      <alignment horizontal="right" vertical="center" wrapText="1"/>
    </xf>
    <xf numFmtId="0" fontId="32" fillId="2" borderId="8" xfId="0" applyFont="1" applyFill="1" applyBorder="1" applyAlignment="1">
      <alignment horizontal="right" vertical="center" wrapText="1"/>
    </xf>
    <xf numFmtId="0" fontId="32" fillId="2" borderId="3" xfId="0" applyFont="1" applyFill="1" applyBorder="1" applyAlignment="1">
      <alignment horizontal="right" vertical="center" wrapText="1"/>
    </xf>
    <xf numFmtId="0" fontId="32" fillId="3" borderId="10" xfId="0" applyFont="1" applyFill="1" applyBorder="1" applyAlignment="1">
      <alignment horizontal="right" vertical="center" wrapText="1"/>
    </xf>
    <xf numFmtId="0" fontId="32" fillId="3" borderId="11" xfId="0" applyFont="1" applyFill="1" applyBorder="1" applyAlignment="1">
      <alignment horizontal="right" vertical="center" wrapText="1"/>
    </xf>
    <xf numFmtId="0" fontId="25" fillId="4" borderId="8" xfId="0" applyFont="1" applyFill="1" applyBorder="1" applyAlignment="1">
      <alignment horizontal="left" vertical="center" wrapText="1"/>
    </xf>
    <xf numFmtId="0" fontId="25" fillId="4" borderId="3" xfId="0" applyFont="1" applyFill="1" applyBorder="1" applyAlignment="1">
      <alignment horizontal="left" vertical="center" wrapText="1"/>
    </xf>
    <xf numFmtId="0" fontId="25" fillId="4" borderId="9" xfId="0" applyFont="1" applyFill="1" applyBorder="1" applyAlignment="1">
      <alignment horizontal="left" vertical="center" wrapText="1"/>
    </xf>
    <xf numFmtId="0" fontId="4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5" fillId="4" borderId="16" xfId="0" applyFont="1" applyFill="1" applyBorder="1" applyAlignment="1">
      <alignment horizontal="left" vertical="center" wrapText="1"/>
    </xf>
    <xf numFmtId="0" fontId="25" fillId="4" borderId="2" xfId="0" applyFont="1" applyFill="1" applyBorder="1" applyAlignment="1">
      <alignment horizontal="left" vertical="center" wrapText="1"/>
    </xf>
    <xf numFmtId="0" fontId="25" fillId="4" borderId="17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right" vertical="center" wrapText="1"/>
    </xf>
    <xf numFmtId="0" fontId="24" fillId="0" borderId="15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1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54" fillId="5" borderId="3" xfId="0" applyFont="1" applyFill="1" applyBorder="1" applyAlignment="1">
      <alignment horizontal="left" vertical="top" wrapText="1"/>
    </xf>
    <xf numFmtId="0" fontId="50" fillId="5" borderId="3" xfId="0" applyFont="1" applyFill="1" applyBorder="1" applyAlignment="1">
      <alignment horizontal="center" vertical="center" wrapText="1"/>
    </xf>
    <xf numFmtId="4" fontId="27" fillId="5" borderId="3" xfId="0" applyNumberFormat="1" applyFont="1" applyFill="1" applyBorder="1" applyAlignment="1">
      <alignment horizontal="center" vertical="center" wrapText="1"/>
    </xf>
    <xf numFmtId="4" fontId="2" fillId="5" borderId="3" xfId="0" applyNumberFormat="1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left" vertical="center" wrapText="1"/>
    </xf>
    <xf numFmtId="0" fontId="29" fillId="5" borderId="3" xfId="0" applyFont="1" applyFill="1" applyBorder="1" applyAlignment="1">
      <alignment horizontal="left" vertical="center" wrapText="1"/>
    </xf>
    <xf numFmtId="0" fontId="38" fillId="5" borderId="3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center" wrapText="1"/>
    </xf>
    <xf numFmtId="0" fontId="49" fillId="0" borderId="0" xfId="0" applyFont="1"/>
    <xf numFmtId="0" fontId="48" fillId="0" borderId="0" xfId="0" applyFont="1" applyAlignment="1">
      <alignment wrapText="1"/>
    </xf>
    <xf numFmtId="0" fontId="57" fillId="0" borderId="0" xfId="0" applyFont="1"/>
    <xf numFmtId="0" fontId="46" fillId="5" borderId="3" xfId="0" applyFont="1" applyFill="1" applyBorder="1" applyAlignment="1">
      <alignment horizontal="left" vertical="center" wrapText="1"/>
    </xf>
    <xf numFmtId="0" fontId="55" fillId="0" borderId="9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5"/>
  <sheetViews>
    <sheetView showGridLines="0" zoomScaleNormal="100" workbookViewId="0">
      <selection activeCell="D19" sqref="D19"/>
    </sheetView>
  </sheetViews>
  <sheetFormatPr defaultColWidth="8.6640625" defaultRowHeight="14.4"/>
  <cols>
    <col min="1" max="1" width="6" customWidth="1"/>
    <col min="2" max="2" width="34" customWidth="1"/>
    <col min="3" max="3" width="18" customWidth="1"/>
    <col min="4" max="4" width="40" customWidth="1"/>
  </cols>
  <sheetData>
    <row r="1" spans="1:4" ht="25.5" customHeight="1">
      <c r="A1" s="75" t="s">
        <v>0</v>
      </c>
      <c r="B1" s="75"/>
      <c r="C1" s="75"/>
      <c r="D1" s="75"/>
    </row>
    <row r="3" spans="1:4" ht="21.75" customHeight="1">
      <c r="A3" s="19" t="s">
        <v>1</v>
      </c>
      <c r="B3" s="19" t="s">
        <v>2</v>
      </c>
      <c r="C3" s="19" t="s">
        <v>3</v>
      </c>
      <c r="D3" s="19" t="s">
        <v>4</v>
      </c>
    </row>
    <row r="4" spans="1:4" ht="19.5" customHeight="1">
      <c r="A4" s="20" t="s">
        <v>5</v>
      </c>
      <c r="B4" s="21" t="s">
        <v>6</v>
      </c>
      <c r="C4" s="22">
        <f>SUM(价格清单!H5:H8)</f>
        <v>59210.290000000008</v>
      </c>
      <c r="D4" s="23" t="s">
        <v>7</v>
      </c>
    </row>
    <row r="5" spans="1:4" ht="19.5" customHeight="1">
      <c r="A5" s="20" t="s">
        <v>8</v>
      </c>
      <c r="B5" s="21" t="s">
        <v>9</v>
      </c>
      <c r="C5" s="22">
        <f>SUM(价格清单!H11:H13)</f>
        <v>104516.44</v>
      </c>
      <c r="D5" s="24" t="s">
        <v>117</v>
      </c>
    </row>
    <row r="6" spans="1:4" ht="19.5" customHeight="1">
      <c r="A6" s="20" t="s">
        <v>10</v>
      </c>
      <c r="B6" s="21" t="s">
        <v>11</v>
      </c>
      <c r="C6" s="22">
        <f>SUM(价格清单!H15:H17)</f>
        <v>252589.5</v>
      </c>
      <c r="D6" s="23" t="s">
        <v>12</v>
      </c>
    </row>
    <row r="7" spans="1:4" ht="19.5" customHeight="1">
      <c r="A7" s="20" t="s">
        <v>13</v>
      </c>
      <c r="B7" s="21" t="s">
        <v>14</v>
      </c>
      <c r="C7" s="22">
        <f>SUM(价格清单!H19:H21)</f>
        <v>719508.5</v>
      </c>
      <c r="D7" s="24" t="s">
        <v>118</v>
      </c>
    </row>
    <row r="8" spans="1:4" ht="19.5" customHeight="1">
      <c r="A8" s="20" t="s">
        <v>15</v>
      </c>
      <c r="B8" s="21" t="s">
        <v>16</v>
      </c>
      <c r="C8" s="22">
        <f>SUM(价格清单!H23:H30)</f>
        <v>240957.26999999996</v>
      </c>
      <c r="D8" s="23" t="s">
        <v>17</v>
      </c>
    </row>
    <row r="9" spans="1:4" ht="19.5" customHeight="1">
      <c r="A9" s="20" t="s">
        <v>18</v>
      </c>
      <c r="B9" s="21" t="s">
        <v>19</v>
      </c>
      <c r="C9" s="22">
        <f>SUM(价格清单!H32:H37)</f>
        <v>242144.91</v>
      </c>
      <c r="D9" s="24" t="s">
        <v>119</v>
      </c>
    </row>
    <row r="10" spans="1:4" ht="19.5" customHeight="1">
      <c r="A10" s="20" t="s">
        <v>20</v>
      </c>
      <c r="B10" s="21" t="s">
        <v>21</v>
      </c>
      <c r="C10" s="22">
        <f>SUM(价格清单!H39:H42)</f>
        <v>187886.38</v>
      </c>
      <c r="D10" s="23" t="s">
        <v>22</v>
      </c>
    </row>
    <row r="11" spans="1:4" ht="19.5" customHeight="1">
      <c r="A11" s="20" t="s">
        <v>23</v>
      </c>
      <c r="B11" s="21" t="s">
        <v>24</v>
      </c>
      <c r="C11" s="22">
        <f>SUM(价格清单!H44:H47)</f>
        <v>43040.83</v>
      </c>
      <c r="D11" s="24" t="s">
        <v>120</v>
      </c>
    </row>
    <row r="12" spans="1:4" ht="15" customHeight="1">
      <c r="A12" s="73" t="s">
        <v>25</v>
      </c>
      <c r="B12" s="73"/>
      <c r="C12" s="25">
        <f>SUM(C4:C11)</f>
        <v>1849854.12</v>
      </c>
      <c r="D12" s="26"/>
    </row>
    <row r="13" spans="1:4" ht="15" customHeight="1">
      <c r="A13" s="76" t="s">
        <v>26</v>
      </c>
      <c r="B13" s="76"/>
      <c r="C13" s="30">
        <f>ROUND(C12*0.09,2)</f>
        <v>166486.87</v>
      </c>
      <c r="D13" s="27"/>
    </row>
    <row r="14" spans="1:4" ht="18.75" customHeight="1">
      <c r="A14" s="77" t="s">
        <v>27</v>
      </c>
      <c r="B14" s="77"/>
      <c r="C14" s="28">
        <f>ROUND(C12*1.09,2)</f>
        <v>2016340.99</v>
      </c>
      <c r="D14" s="29"/>
    </row>
    <row r="15" spans="1:4" ht="16.5" customHeight="1">
      <c r="A15" s="73" t="s">
        <v>28</v>
      </c>
      <c r="B15" s="73"/>
      <c r="C15" s="74"/>
      <c r="D15" s="74"/>
    </row>
  </sheetData>
  <mergeCells count="6">
    <mergeCell ref="A15:B15"/>
    <mergeCell ref="C15:D15"/>
    <mergeCell ref="A1:D1"/>
    <mergeCell ref="A12:B12"/>
    <mergeCell ref="A13:B13"/>
    <mergeCell ref="A14:B14"/>
  </mergeCells>
  <phoneticPr fontId="24" type="noConversion"/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0"/>
  <sheetViews>
    <sheetView showGridLines="0" tabSelected="1" zoomScaleNormal="100" workbookViewId="0">
      <pane ySplit="3" topLeftCell="A4" activePane="bottomLeft" state="frozen"/>
      <selection pane="bottomLeft" activeCell="F39" sqref="F39"/>
    </sheetView>
  </sheetViews>
  <sheetFormatPr defaultColWidth="8.6640625" defaultRowHeight="14.4"/>
  <cols>
    <col min="1" max="1" width="5" style="1" customWidth="1"/>
    <col min="2" max="2" width="24" style="1" customWidth="1"/>
    <col min="3" max="3" width="22" style="1" customWidth="1"/>
    <col min="4" max="4" width="52" style="1" customWidth="1"/>
    <col min="5" max="5" width="5" style="1" customWidth="1"/>
    <col min="6" max="6" width="6" style="1" customWidth="1"/>
    <col min="7" max="7" width="12" style="1" customWidth="1"/>
    <col min="8" max="8" width="13" style="1" customWidth="1"/>
    <col min="9" max="9" width="22" style="1" customWidth="1"/>
    <col min="10" max="16384" width="8.6640625" style="1"/>
  </cols>
  <sheetData>
    <row r="1" spans="1:10" ht="24" customHeight="1">
      <c r="A1" s="87" t="s">
        <v>184</v>
      </c>
      <c r="B1" s="88"/>
      <c r="C1" s="88"/>
      <c r="D1" s="88"/>
      <c r="E1" s="88"/>
      <c r="F1" s="88"/>
      <c r="G1" s="88"/>
      <c r="H1" s="88"/>
      <c r="I1" s="88"/>
    </row>
    <row r="2" spans="1:10" ht="15" thickBot="1"/>
    <row r="3" spans="1:10" ht="24" customHeight="1" thickBot="1">
      <c r="A3" s="31" t="s">
        <v>1</v>
      </c>
      <c r="B3" s="32" t="s">
        <v>127</v>
      </c>
      <c r="C3" s="32" t="s">
        <v>128</v>
      </c>
      <c r="D3" s="32" t="s">
        <v>129</v>
      </c>
      <c r="E3" s="32" t="s">
        <v>29</v>
      </c>
      <c r="F3" s="32" t="s">
        <v>30</v>
      </c>
      <c r="G3" s="32" t="s">
        <v>130</v>
      </c>
      <c r="H3" s="32" t="s">
        <v>131</v>
      </c>
      <c r="I3" s="33" t="s">
        <v>4</v>
      </c>
    </row>
    <row r="4" spans="1:10" ht="25.8" customHeight="1" thickTop="1">
      <c r="A4" s="89" t="s">
        <v>31</v>
      </c>
      <c r="B4" s="90"/>
      <c r="C4" s="90"/>
      <c r="D4" s="90"/>
      <c r="E4" s="90"/>
      <c r="F4" s="90"/>
      <c r="G4" s="90"/>
      <c r="H4" s="90"/>
      <c r="I4" s="91"/>
    </row>
    <row r="5" spans="1:10" ht="25.8" customHeight="1">
      <c r="A5" s="34">
        <v>1</v>
      </c>
      <c r="B5" s="35" t="s">
        <v>32</v>
      </c>
      <c r="C5" s="36" t="s">
        <v>132</v>
      </c>
      <c r="D5" s="37" t="s">
        <v>133</v>
      </c>
      <c r="E5" s="38" t="s">
        <v>33</v>
      </c>
      <c r="F5" s="67">
        <v>58</v>
      </c>
      <c r="G5" s="39">
        <v>577.64</v>
      </c>
      <c r="H5" s="39">
        <f>IFERROR(F5*G5,"")</f>
        <v>33503.120000000003</v>
      </c>
      <c r="I5" s="40" t="s">
        <v>34</v>
      </c>
    </row>
    <row r="6" spans="1:10" ht="25.8" customHeight="1">
      <c r="A6" s="34">
        <v>2</v>
      </c>
      <c r="B6" s="35" t="s">
        <v>35</v>
      </c>
      <c r="C6" s="36" t="s">
        <v>132</v>
      </c>
      <c r="D6" s="37" t="s">
        <v>133</v>
      </c>
      <c r="E6" s="38" t="s">
        <v>33</v>
      </c>
      <c r="F6" s="67">
        <v>3</v>
      </c>
      <c r="G6" s="39">
        <v>577.64</v>
      </c>
      <c r="H6" s="39">
        <f>IFERROR(F6*G6,"")</f>
        <v>1732.92</v>
      </c>
      <c r="I6" s="40" t="s">
        <v>134</v>
      </c>
    </row>
    <row r="7" spans="1:10" ht="25.8" customHeight="1">
      <c r="A7" s="34">
        <v>3</v>
      </c>
      <c r="B7" s="35" t="s">
        <v>135</v>
      </c>
      <c r="C7" s="36" t="s">
        <v>136</v>
      </c>
      <c r="D7" s="41" t="s">
        <v>137</v>
      </c>
      <c r="E7" s="38" t="s">
        <v>33</v>
      </c>
      <c r="F7" s="67">
        <v>41</v>
      </c>
      <c r="G7" s="39">
        <v>282.05</v>
      </c>
      <c r="H7" s="39">
        <f>IFERROR(F7*G7,"")</f>
        <v>11564.050000000001</v>
      </c>
      <c r="I7" s="40" t="s">
        <v>36</v>
      </c>
    </row>
    <row r="8" spans="1:10" ht="25.8" customHeight="1">
      <c r="A8" s="34">
        <v>4</v>
      </c>
      <c r="B8" s="35" t="s">
        <v>135</v>
      </c>
      <c r="C8" s="36" t="s">
        <v>136</v>
      </c>
      <c r="D8" s="41" t="s">
        <v>137</v>
      </c>
      <c r="E8" s="38" t="s">
        <v>33</v>
      </c>
      <c r="F8" s="67">
        <v>44</v>
      </c>
      <c r="G8" s="39">
        <v>282.05</v>
      </c>
      <c r="H8" s="39">
        <f>IFERROR(F8*G8,"")</f>
        <v>12410.2</v>
      </c>
      <c r="I8" s="48" t="s">
        <v>189</v>
      </c>
    </row>
    <row r="9" spans="1:10" ht="25.8" customHeight="1">
      <c r="A9" s="92" t="s">
        <v>37</v>
      </c>
      <c r="B9" s="73"/>
      <c r="C9" s="73"/>
      <c r="D9" s="73"/>
      <c r="E9" s="42" t="s">
        <v>33</v>
      </c>
      <c r="F9" s="69">
        <f>F5+F6+F7+F8</f>
        <v>146</v>
      </c>
      <c r="G9" s="26"/>
      <c r="H9" s="26"/>
      <c r="I9" s="43"/>
    </row>
    <row r="10" spans="1:10" ht="25.8" customHeight="1">
      <c r="A10" s="84" t="s">
        <v>38</v>
      </c>
      <c r="B10" s="85"/>
      <c r="C10" s="85"/>
      <c r="D10" s="85"/>
      <c r="E10" s="85"/>
      <c r="F10" s="85"/>
      <c r="G10" s="85"/>
      <c r="H10" s="85"/>
      <c r="I10" s="86"/>
    </row>
    <row r="11" spans="1:10" ht="91.8">
      <c r="A11" s="34">
        <v>5</v>
      </c>
      <c r="B11" s="44" t="s">
        <v>138</v>
      </c>
      <c r="C11" s="36" t="s">
        <v>139</v>
      </c>
      <c r="D11" s="37" t="s">
        <v>204</v>
      </c>
      <c r="E11" s="67" t="s">
        <v>206</v>
      </c>
      <c r="F11" s="70">
        <v>1</v>
      </c>
      <c r="G11" s="39">
        <v>13188.94</v>
      </c>
      <c r="H11" s="39">
        <f>IFERROR(F11*G11,"")</f>
        <v>13188.94</v>
      </c>
      <c r="I11" s="93" t="s">
        <v>223</v>
      </c>
      <c r="J11" s="109" t="s">
        <v>219</v>
      </c>
    </row>
    <row r="12" spans="1:10" ht="102">
      <c r="A12" s="34">
        <v>6</v>
      </c>
      <c r="B12" s="104" t="s">
        <v>138</v>
      </c>
      <c r="C12" s="105" t="s">
        <v>203</v>
      </c>
      <c r="D12" s="106" t="s">
        <v>205</v>
      </c>
      <c r="E12" s="70" t="s">
        <v>206</v>
      </c>
      <c r="F12" s="70">
        <v>1</v>
      </c>
      <c r="G12" s="102">
        <v>91327.5</v>
      </c>
      <c r="H12" s="102">
        <f>IFERROR(F12*G12,"")</f>
        <v>91327.5</v>
      </c>
      <c r="I12" s="94"/>
      <c r="J12" s="109" t="s">
        <v>220</v>
      </c>
    </row>
    <row r="13" spans="1:10" ht="25.8" customHeight="1">
      <c r="A13" s="34">
        <v>7</v>
      </c>
      <c r="B13" s="44" t="s">
        <v>140</v>
      </c>
      <c r="C13" s="36" t="s">
        <v>141</v>
      </c>
      <c r="D13" s="41" t="s">
        <v>39</v>
      </c>
      <c r="E13" s="38" t="s">
        <v>40</v>
      </c>
      <c r="F13" s="67">
        <v>216</v>
      </c>
      <c r="G13" s="39">
        <v>0</v>
      </c>
      <c r="H13" s="39">
        <f>IFERROR(F13*G13,"")</f>
        <v>0</v>
      </c>
      <c r="I13" s="40" t="s">
        <v>142</v>
      </c>
    </row>
    <row r="14" spans="1:10" ht="25.8" customHeight="1">
      <c r="A14" s="84" t="s">
        <v>41</v>
      </c>
      <c r="B14" s="85"/>
      <c r="C14" s="85"/>
      <c r="D14" s="85"/>
      <c r="E14" s="85"/>
      <c r="F14" s="85"/>
      <c r="G14" s="85"/>
      <c r="H14" s="85"/>
      <c r="I14" s="86"/>
    </row>
    <row r="15" spans="1:10" ht="25.8" customHeight="1">
      <c r="A15" s="34">
        <v>8</v>
      </c>
      <c r="B15" s="35" t="s">
        <v>42</v>
      </c>
      <c r="C15" s="36" t="s">
        <v>143</v>
      </c>
      <c r="D15" s="37" t="s">
        <v>144</v>
      </c>
      <c r="E15" s="38" t="s">
        <v>33</v>
      </c>
      <c r="F15" s="67">
        <v>4</v>
      </c>
      <c r="G15" s="39">
        <v>33864.050000000003</v>
      </c>
      <c r="H15" s="39">
        <f>IFERROR(F15*G15,"")</f>
        <v>135456.20000000001</v>
      </c>
      <c r="I15" s="45" t="s">
        <v>145</v>
      </c>
    </row>
    <row r="16" spans="1:10" ht="25.8" customHeight="1">
      <c r="A16" s="34">
        <v>9</v>
      </c>
      <c r="B16" s="35" t="s">
        <v>43</v>
      </c>
      <c r="C16" s="64" t="s">
        <v>193</v>
      </c>
      <c r="D16" s="41" t="s">
        <v>146</v>
      </c>
      <c r="E16" s="38" t="s">
        <v>40</v>
      </c>
      <c r="F16" s="67">
        <v>3000</v>
      </c>
      <c r="G16" s="39">
        <v>36.6</v>
      </c>
      <c r="H16" s="39">
        <f>IFERROR(F16*G16,"")</f>
        <v>109800</v>
      </c>
      <c r="I16" s="40" t="s">
        <v>44</v>
      </c>
    </row>
    <row r="17" spans="1:13" ht="25.8" customHeight="1">
      <c r="A17" s="34">
        <v>10</v>
      </c>
      <c r="B17" s="35" t="s">
        <v>147</v>
      </c>
      <c r="C17" s="64" t="s">
        <v>194</v>
      </c>
      <c r="D17" s="37" t="s">
        <v>195</v>
      </c>
      <c r="E17" s="38" t="s">
        <v>33</v>
      </c>
      <c r="F17" s="67">
        <v>1</v>
      </c>
      <c r="G17" s="39">
        <v>7333.3</v>
      </c>
      <c r="H17" s="39">
        <f>IFERROR(F17*G17,"")</f>
        <v>7333.3</v>
      </c>
      <c r="I17" s="40" t="s">
        <v>45</v>
      </c>
    </row>
    <row r="18" spans="1:13" ht="25.8" customHeight="1">
      <c r="A18" s="84" t="s">
        <v>46</v>
      </c>
      <c r="B18" s="85"/>
      <c r="C18" s="85"/>
      <c r="D18" s="85"/>
      <c r="E18" s="85"/>
      <c r="F18" s="85"/>
      <c r="G18" s="85"/>
      <c r="H18" s="85"/>
      <c r="I18" s="86"/>
    </row>
    <row r="19" spans="1:13" ht="38.4" customHeight="1">
      <c r="A19" s="34">
        <v>11</v>
      </c>
      <c r="B19" s="35" t="s">
        <v>148</v>
      </c>
      <c r="C19" s="36" t="s">
        <v>149</v>
      </c>
      <c r="D19" s="37" t="s">
        <v>210</v>
      </c>
      <c r="E19" s="38" t="s">
        <v>33</v>
      </c>
      <c r="F19" s="67">
        <v>19</v>
      </c>
      <c r="G19" s="39">
        <v>5407.46</v>
      </c>
      <c r="H19" s="39">
        <f>IFERROR(F19*G19,"")</f>
        <v>102741.74</v>
      </c>
      <c r="I19" s="65" t="s">
        <v>225</v>
      </c>
    </row>
    <row r="20" spans="1:13" ht="38.4" customHeight="1">
      <c r="A20" s="34">
        <v>12</v>
      </c>
      <c r="B20" s="35" t="s">
        <v>150</v>
      </c>
      <c r="C20" s="36" t="s">
        <v>151</v>
      </c>
      <c r="D20" s="37" t="s">
        <v>209</v>
      </c>
      <c r="E20" s="38" t="s">
        <v>33</v>
      </c>
      <c r="F20" s="67">
        <v>8</v>
      </c>
      <c r="G20" s="39">
        <v>10398.969999999999</v>
      </c>
      <c r="H20" s="39">
        <f>IFERROR(F20*G20,"")</f>
        <v>83191.759999999995</v>
      </c>
      <c r="I20" s="48" t="s">
        <v>226</v>
      </c>
    </row>
    <row r="21" spans="1:13" customFormat="1" ht="25.8" customHeight="1">
      <c r="A21" s="99">
        <f>MAX($A$1:A20)+1</f>
        <v>13</v>
      </c>
      <c r="B21" s="107" t="s">
        <v>213</v>
      </c>
      <c r="C21" s="98" t="s">
        <v>214</v>
      </c>
      <c r="D21" s="100" t="s">
        <v>215</v>
      </c>
      <c r="E21" s="101" t="s">
        <v>202</v>
      </c>
      <c r="F21" s="97">
        <v>175</v>
      </c>
      <c r="G21" s="102">
        <v>3049</v>
      </c>
      <c r="H21" s="103">
        <f>IFERROR(F21*G21,"")</f>
        <v>533575</v>
      </c>
      <c r="I21" s="111" t="s">
        <v>224</v>
      </c>
      <c r="J21" s="71" t="s">
        <v>207</v>
      </c>
      <c r="K21" s="1"/>
      <c r="L21" s="1"/>
      <c r="M21" s="1"/>
    </row>
    <row r="22" spans="1:13" ht="25.8" customHeight="1">
      <c r="A22" s="84" t="s">
        <v>47</v>
      </c>
      <c r="B22" s="85"/>
      <c r="C22" s="85"/>
      <c r="D22" s="85"/>
      <c r="E22" s="85"/>
      <c r="F22" s="85"/>
      <c r="G22" s="85"/>
      <c r="H22" s="85"/>
      <c r="I22" s="86"/>
    </row>
    <row r="23" spans="1:13" ht="25.8" customHeight="1">
      <c r="A23" s="34">
        <v>14</v>
      </c>
      <c r="B23" s="44" t="s">
        <v>152</v>
      </c>
      <c r="C23" s="36" t="s">
        <v>153</v>
      </c>
      <c r="D23" s="37" t="s">
        <v>154</v>
      </c>
      <c r="E23" s="38" t="s">
        <v>33</v>
      </c>
      <c r="F23" s="70">
        <v>1</v>
      </c>
      <c r="G23" s="39">
        <v>18248.400000000001</v>
      </c>
      <c r="H23" s="39">
        <f t="shared" ref="H23:H30" si="0">IFERROR(F23*G23,"")</f>
        <v>18248.400000000001</v>
      </c>
      <c r="I23" s="45" t="s">
        <v>222</v>
      </c>
      <c r="J23" s="71" t="s">
        <v>211</v>
      </c>
    </row>
    <row r="24" spans="1:13" ht="25.8" customHeight="1">
      <c r="A24" s="34">
        <v>15</v>
      </c>
      <c r="B24" s="44" t="s">
        <v>155</v>
      </c>
      <c r="C24" s="36" t="s">
        <v>156</v>
      </c>
      <c r="D24" s="37" t="s">
        <v>157</v>
      </c>
      <c r="E24" s="38" t="s">
        <v>33</v>
      </c>
      <c r="F24" s="70">
        <v>20</v>
      </c>
      <c r="G24" s="39">
        <v>4784.6899999999996</v>
      </c>
      <c r="H24" s="39">
        <f t="shared" si="0"/>
        <v>95693.799999999988</v>
      </c>
      <c r="I24" s="45" t="s">
        <v>227</v>
      </c>
      <c r="J24" s="71" t="s">
        <v>201</v>
      </c>
    </row>
    <row r="25" spans="1:13" ht="25.8" customHeight="1">
      <c r="A25" s="34">
        <v>14</v>
      </c>
      <c r="B25" s="44" t="s">
        <v>158</v>
      </c>
      <c r="C25" s="64" t="s">
        <v>186</v>
      </c>
      <c r="D25" s="50" t="s">
        <v>159</v>
      </c>
      <c r="E25" s="38" t="s">
        <v>33</v>
      </c>
      <c r="F25" s="67">
        <v>58</v>
      </c>
      <c r="G25" s="39">
        <v>733.33</v>
      </c>
      <c r="H25" s="39">
        <f t="shared" si="0"/>
        <v>42533.14</v>
      </c>
      <c r="I25" s="45"/>
    </row>
    <row r="26" spans="1:13" ht="25.8" customHeight="1">
      <c r="A26" s="34">
        <v>15</v>
      </c>
      <c r="B26" s="35" t="s">
        <v>48</v>
      </c>
      <c r="C26" s="64" t="s">
        <v>186</v>
      </c>
      <c r="D26" s="50" t="s">
        <v>160</v>
      </c>
      <c r="E26" s="38" t="s">
        <v>49</v>
      </c>
      <c r="F26" s="67">
        <v>10</v>
      </c>
      <c r="G26" s="39">
        <v>620.51</v>
      </c>
      <c r="H26" s="39">
        <f t="shared" si="0"/>
        <v>6205.1</v>
      </c>
      <c r="I26" s="45"/>
    </row>
    <row r="27" spans="1:13" ht="25.8" customHeight="1">
      <c r="A27" s="34">
        <v>16</v>
      </c>
      <c r="B27" s="35" t="s">
        <v>161</v>
      </c>
      <c r="C27" s="35" t="s">
        <v>161</v>
      </c>
      <c r="D27" s="49" t="s">
        <v>162</v>
      </c>
      <c r="E27" s="38" t="s">
        <v>50</v>
      </c>
      <c r="F27" s="70">
        <v>44</v>
      </c>
      <c r="G27" s="39">
        <v>90.26</v>
      </c>
      <c r="H27" s="39">
        <f t="shared" si="0"/>
        <v>3971.44</v>
      </c>
      <c r="I27" s="45" t="s">
        <v>228</v>
      </c>
      <c r="J27" s="71" t="s">
        <v>212</v>
      </c>
    </row>
    <row r="28" spans="1:13" ht="25.8" customHeight="1">
      <c r="A28" s="34">
        <v>17</v>
      </c>
      <c r="B28" s="35" t="s">
        <v>163</v>
      </c>
      <c r="C28" s="46" t="s">
        <v>187</v>
      </c>
      <c r="D28" s="41" t="s">
        <v>197</v>
      </c>
      <c r="E28" s="38" t="s">
        <v>51</v>
      </c>
      <c r="F28" s="70">
        <v>2000</v>
      </c>
      <c r="G28" s="39">
        <v>5.64</v>
      </c>
      <c r="H28" s="39">
        <f t="shared" si="0"/>
        <v>11280</v>
      </c>
      <c r="I28" s="45" t="s">
        <v>229</v>
      </c>
      <c r="J28" s="71" t="s">
        <v>208</v>
      </c>
    </row>
    <row r="29" spans="1:13" ht="25.8" customHeight="1">
      <c r="A29" s="34">
        <v>18</v>
      </c>
      <c r="B29" s="35" t="s">
        <v>164</v>
      </c>
      <c r="C29" s="24" t="s">
        <v>188</v>
      </c>
      <c r="D29" s="52" t="s">
        <v>196</v>
      </c>
      <c r="E29" s="38" t="s">
        <v>52</v>
      </c>
      <c r="F29" s="67">
        <v>1</v>
      </c>
      <c r="G29" s="39">
        <v>16923</v>
      </c>
      <c r="H29" s="39">
        <f t="shared" si="0"/>
        <v>16923</v>
      </c>
      <c r="I29" s="40" t="s">
        <v>53</v>
      </c>
    </row>
    <row r="30" spans="1:13" ht="25.8" customHeight="1">
      <c r="A30" s="34">
        <v>19</v>
      </c>
      <c r="B30" s="35" t="s">
        <v>54</v>
      </c>
      <c r="C30" s="36" t="s">
        <v>165</v>
      </c>
      <c r="D30" s="41" t="s">
        <v>198</v>
      </c>
      <c r="E30" s="38" t="s">
        <v>33</v>
      </c>
      <c r="F30" s="67">
        <v>1</v>
      </c>
      <c r="G30" s="39">
        <v>46102.39</v>
      </c>
      <c r="H30" s="39">
        <f t="shared" si="0"/>
        <v>46102.39</v>
      </c>
      <c r="I30" s="40" t="s">
        <v>55</v>
      </c>
    </row>
    <row r="31" spans="1:13" ht="25.8" customHeight="1">
      <c r="A31" s="84" t="s">
        <v>56</v>
      </c>
      <c r="B31" s="85"/>
      <c r="C31" s="85"/>
      <c r="D31" s="85"/>
      <c r="E31" s="85"/>
      <c r="F31" s="85"/>
      <c r="G31" s="85"/>
      <c r="H31" s="85"/>
      <c r="I31" s="86"/>
    </row>
    <row r="32" spans="1:13" ht="25.8" customHeight="1">
      <c r="A32" s="34">
        <v>20</v>
      </c>
      <c r="B32" s="35" t="s">
        <v>57</v>
      </c>
      <c r="C32" s="36" t="s">
        <v>58</v>
      </c>
      <c r="D32" s="49" t="s">
        <v>59</v>
      </c>
      <c r="E32" s="38" t="s">
        <v>60</v>
      </c>
      <c r="F32" s="67">
        <v>1</v>
      </c>
      <c r="G32" s="39">
        <v>8100</v>
      </c>
      <c r="H32" s="39">
        <f t="shared" ref="H32:H37" si="1">IFERROR(F32*G32,"")</f>
        <v>8100</v>
      </c>
      <c r="I32" s="40" t="s">
        <v>166</v>
      </c>
    </row>
    <row r="33" spans="1:10" ht="25.8" customHeight="1">
      <c r="A33" s="34">
        <v>21</v>
      </c>
      <c r="B33" s="44" t="s">
        <v>167</v>
      </c>
      <c r="C33" s="36" t="s">
        <v>168</v>
      </c>
      <c r="D33" s="37" t="s">
        <v>169</v>
      </c>
      <c r="E33" s="38" t="s">
        <v>33</v>
      </c>
      <c r="F33" s="67">
        <v>18</v>
      </c>
      <c r="G33" s="39">
        <v>8799.9500000000007</v>
      </c>
      <c r="H33" s="39">
        <f t="shared" si="1"/>
        <v>158399.1</v>
      </c>
      <c r="I33" s="65" t="s">
        <v>221</v>
      </c>
      <c r="J33" s="110"/>
    </row>
    <row r="34" spans="1:10" ht="25.8" customHeight="1">
      <c r="A34" s="34">
        <v>22</v>
      </c>
      <c r="B34" s="44" t="s">
        <v>170</v>
      </c>
      <c r="C34" s="36" t="s">
        <v>171</v>
      </c>
      <c r="D34" s="37" t="s">
        <v>172</v>
      </c>
      <c r="E34" s="38" t="s">
        <v>33</v>
      </c>
      <c r="F34" s="67">
        <v>18</v>
      </c>
      <c r="G34" s="39">
        <v>902.56</v>
      </c>
      <c r="H34" s="39">
        <f t="shared" si="1"/>
        <v>16246.079999999998</v>
      </c>
      <c r="I34" s="40" t="s">
        <v>61</v>
      </c>
    </row>
    <row r="35" spans="1:10" ht="25.8" customHeight="1">
      <c r="A35" s="34">
        <v>23</v>
      </c>
      <c r="B35" s="35" t="s">
        <v>62</v>
      </c>
      <c r="C35" s="64" t="s">
        <v>192</v>
      </c>
      <c r="D35" s="47" t="s">
        <v>191</v>
      </c>
      <c r="E35" s="38" t="s">
        <v>33</v>
      </c>
      <c r="F35" s="67">
        <v>1</v>
      </c>
      <c r="G35" s="39">
        <v>32266.51</v>
      </c>
      <c r="H35" s="39">
        <f t="shared" si="1"/>
        <v>32266.51</v>
      </c>
      <c r="I35" s="40" t="s">
        <v>63</v>
      </c>
    </row>
    <row r="36" spans="1:10" ht="25.8" customHeight="1">
      <c r="A36" s="34">
        <v>24</v>
      </c>
      <c r="B36" s="35" t="s">
        <v>64</v>
      </c>
      <c r="C36" s="46" t="s">
        <v>173</v>
      </c>
      <c r="D36" s="47" t="s">
        <v>174</v>
      </c>
      <c r="E36" s="38" t="s">
        <v>33</v>
      </c>
      <c r="F36" s="67">
        <v>2</v>
      </c>
      <c r="G36" s="39">
        <v>13566.61</v>
      </c>
      <c r="H36" s="39">
        <f t="shared" si="1"/>
        <v>27133.22</v>
      </c>
      <c r="I36" s="48" t="s">
        <v>123</v>
      </c>
    </row>
    <row r="37" spans="1:10" ht="25.8" customHeight="1">
      <c r="A37" s="34">
        <v>25</v>
      </c>
      <c r="B37" s="44" t="s">
        <v>175</v>
      </c>
      <c r="C37" s="46" t="s">
        <v>176</v>
      </c>
      <c r="D37" s="50" t="s">
        <v>185</v>
      </c>
      <c r="E37" s="38" t="s">
        <v>33</v>
      </c>
      <c r="F37" s="70">
        <v>0</v>
      </c>
      <c r="G37" s="39"/>
      <c r="H37" s="39">
        <f t="shared" si="1"/>
        <v>0</v>
      </c>
      <c r="I37" s="112" t="s">
        <v>218</v>
      </c>
      <c r="J37" s="72" t="s">
        <v>217</v>
      </c>
    </row>
    <row r="38" spans="1:10" ht="25.8" customHeight="1">
      <c r="A38" s="84" t="s">
        <v>65</v>
      </c>
      <c r="B38" s="85"/>
      <c r="C38" s="85"/>
      <c r="D38" s="85"/>
      <c r="E38" s="85"/>
      <c r="F38" s="85"/>
      <c r="G38" s="85"/>
      <c r="H38" s="85"/>
      <c r="I38" s="86"/>
    </row>
    <row r="39" spans="1:10" ht="25.8" customHeight="1">
      <c r="A39" s="34">
        <v>26</v>
      </c>
      <c r="B39" s="35" t="s">
        <v>177</v>
      </c>
      <c r="C39" s="24" t="s">
        <v>124</v>
      </c>
      <c r="D39" s="49" t="s">
        <v>66</v>
      </c>
      <c r="E39" s="38" t="s">
        <v>60</v>
      </c>
      <c r="F39" s="67">
        <v>40</v>
      </c>
      <c r="G39" s="39">
        <v>710.76</v>
      </c>
      <c r="H39" s="39">
        <f>IFERROR(F39*G39,"")</f>
        <v>28430.400000000001</v>
      </c>
      <c r="I39" s="40" t="s">
        <v>178</v>
      </c>
      <c r="J39" s="108" t="s">
        <v>216</v>
      </c>
    </row>
    <row r="40" spans="1:10" ht="25.8" customHeight="1">
      <c r="A40" s="34">
        <v>27</v>
      </c>
      <c r="B40" s="35" t="s">
        <v>67</v>
      </c>
      <c r="C40" s="24" t="s">
        <v>122</v>
      </c>
      <c r="D40" s="50" t="s">
        <v>68</v>
      </c>
      <c r="E40" s="38" t="s">
        <v>51</v>
      </c>
      <c r="F40" s="67">
        <v>12500</v>
      </c>
      <c r="G40" s="39">
        <v>3.28</v>
      </c>
      <c r="H40" s="39">
        <f>IFERROR(F40*G40,"")</f>
        <v>41000</v>
      </c>
      <c r="I40" s="40"/>
    </row>
    <row r="41" spans="1:10" ht="25.8" customHeight="1">
      <c r="A41" s="34">
        <v>28</v>
      </c>
      <c r="B41" s="44" t="s">
        <v>179</v>
      </c>
      <c r="C41" s="24" t="s">
        <v>121</v>
      </c>
      <c r="D41" s="50" t="s">
        <v>180</v>
      </c>
      <c r="E41" s="38" t="s">
        <v>51</v>
      </c>
      <c r="F41" s="67">
        <v>10000</v>
      </c>
      <c r="G41" s="39">
        <v>2.82</v>
      </c>
      <c r="H41" s="39">
        <f>IFERROR(F41*G41,"")</f>
        <v>28200</v>
      </c>
      <c r="I41" s="45"/>
    </row>
    <row r="42" spans="1:10" ht="25.8" customHeight="1">
      <c r="A42" s="34">
        <v>29</v>
      </c>
      <c r="B42" s="35" t="s">
        <v>69</v>
      </c>
      <c r="C42" s="24" t="s">
        <v>125</v>
      </c>
      <c r="D42" s="49" t="s">
        <v>181</v>
      </c>
      <c r="E42" s="38" t="s">
        <v>52</v>
      </c>
      <c r="F42" s="67">
        <v>1</v>
      </c>
      <c r="G42" s="39">
        <v>90255.98</v>
      </c>
      <c r="H42" s="39">
        <f>IFERROR(F42*G42,"")</f>
        <v>90255.98</v>
      </c>
      <c r="I42" s="40" t="s">
        <v>70</v>
      </c>
    </row>
    <row r="43" spans="1:10" ht="25.8" customHeight="1">
      <c r="A43" s="84" t="s">
        <v>71</v>
      </c>
      <c r="B43" s="85"/>
      <c r="C43" s="85"/>
      <c r="D43" s="85"/>
      <c r="E43" s="85"/>
      <c r="F43" s="85"/>
      <c r="G43" s="85"/>
      <c r="H43" s="85"/>
      <c r="I43" s="86"/>
    </row>
    <row r="44" spans="1:10" ht="25.8" customHeight="1">
      <c r="A44" s="34">
        <v>30</v>
      </c>
      <c r="B44" s="44" t="s">
        <v>182</v>
      </c>
      <c r="C44" s="24" t="s">
        <v>125</v>
      </c>
      <c r="D44" s="41" t="s">
        <v>183</v>
      </c>
      <c r="E44" s="38" t="s">
        <v>52</v>
      </c>
      <c r="F44" s="67">
        <v>1</v>
      </c>
      <c r="G44" s="39">
        <v>18446.07</v>
      </c>
      <c r="H44" s="39">
        <f>IFERROR(F44*G44,"")</f>
        <v>18446.07</v>
      </c>
      <c r="I44" s="40"/>
    </row>
    <row r="45" spans="1:10" ht="25.8" customHeight="1">
      <c r="A45" s="34">
        <v>31</v>
      </c>
      <c r="B45" s="35" t="s">
        <v>72</v>
      </c>
      <c r="C45" s="24" t="s">
        <v>125</v>
      </c>
      <c r="D45" s="51" t="s">
        <v>199</v>
      </c>
      <c r="E45" s="38" t="s">
        <v>52</v>
      </c>
      <c r="F45" s="67">
        <v>1</v>
      </c>
      <c r="G45" s="39">
        <v>12297.38</v>
      </c>
      <c r="H45" s="39">
        <f>IFERROR(F45*G45,"")</f>
        <v>12297.38</v>
      </c>
      <c r="I45" s="45"/>
    </row>
    <row r="46" spans="1:10" ht="25.8" customHeight="1">
      <c r="A46" s="34">
        <v>32</v>
      </c>
      <c r="B46" s="35" t="s">
        <v>73</v>
      </c>
      <c r="C46" s="24" t="s">
        <v>125</v>
      </c>
      <c r="D46" s="52" t="s">
        <v>126</v>
      </c>
      <c r="E46" s="38" t="s">
        <v>52</v>
      </c>
      <c r="F46" s="67">
        <v>1</v>
      </c>
      <c r="G46" s="39">
        <v>6148.69</v>
      </c>
      <c r="H46" s="39">
        <f>IFERROR(F46*G46,"")</f>
        <v>6148.69</v>
      </c>
      <c r="I46" s="40" t="s">
        <v>74</v>
      </c>
    </row>
    <row r="47" spans="1:10" ht="25.8" customHeight="1" thickBot="1">
      <c r="A47" s="53">
        <v>33</v>
      </c>
      <c r="B47" s="54" t="s">
        <v>75</v>
      </c>
      <c r="C47" s="24" t="s">
        <v>125</v>
      </c>
      <c r="D47" s="55" t="s">
        <v>200</v>
      </c>
      <c r="E47" s="56" t="s">
        <v>52</v>
      </c>
      <c r="F47" s="68">
        <v>1</v>
      </c>
      <c r="G47" s="57">
        <v>6148.69</v>
      </c>
      <c r="H47" s="57">
        <f>IFERROR(F47*G47,"")</f>
        <v>6148.69</v>
      </c>
      <c r="I47" s="58"/>
    </row>
    <row r="48" spans="1:10" ht="21.75" customHeight="1">
      <c r="A48" s="78" t="s">
        <v>76</v>
      </c>
      <c r="B48" s="79"/>
      <c r="C48" s="79"/>
      <c r="D48" s="79"/>
      <c r="E48" s="79"/>
      <c r="F48" s="79"/>
      <c r="G48" s="79"/>
      <c r="H48" s="59">
        <f>SUM(H5:H47)</f>
        <v>1849854.1199999996</v>
      </c>
      <c r="I48" s="60"/>
    </row>
    <row r="49" spans="1:9" ht="21.75" customHeight="1">
      <c r="A49" s="80" t="s">
        <v>77</v>
      </c>
      <c r="B49" s="81"/>
      <c r="C49" s="81"/>
      <c r="D49" s="81"/>
      <c r="E49" s="81"/>
      <c r="F49" s="81"/>
      <c r="G49" s="81"/>
      <c r="H49" s="61">
        <f>ROUND(H48*0.09,2)</f>
        <v>166486.87</v>
      </c>
      <c r="I49" s="43"/>
    </row>
    <row r="50" spans="1:9" ht="21.75" customHeight="1" thickBot="1">
      <c r="A50" s="82" t="s">
        <v>78</v>
      </c>
      <c r="B50" s="83"/>
      <c r="C50" s="83"/>
      <c r="D50" s="83"/>
      <c r="E50" s="83"/>
      <c r="F50" s="83"/>
      <c r="G50" s="83"/>
      <c r="H50" s="62">
        <f>H48+H49</f>
        <v>2016340.9899999998</v>
      </c>
      <c r="I50" s="63"/>
    </row>
  </sheetData>
  <mergeCells count="14">
    <mergeCell ref="A1:I1"/>
    <mergeCell ref="A4:I4"/>
    <mergeCell ref="A9:D9"/>
    <mergeCell ref="A10:I10"/>
    <mergeCell ref="A43:I43"/>
    <mergeCell ref="I11:I12"/>
    <mergeCell ref="A48:G48"/>
    <mergeCell ref="A49:G49"/>
    <mergeCell ref="A50:G50"/>
    <mergeCell ref="A14:I14"/>
    <mergeCell ref="A18:I18"/>
    <mergeCell ref="A22:I22"/>
    <mergeCell ref="A31:I31"/>
    <mergeCell ref="A38:I38"/>
  </mergeCells>
  <phoneticPr fontId="24" type="noConversion"/>
  <pageMargins left="0.75" right="0.75" top="1" bottom="1" header="0.511811023622047" footer="0.511811023622047"/>
  <pageSetup paperSize="8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3"/>
  <sheetViews>
    <sheetView showGridLines="0" zoomScaleNormal="100" workbookViewId="0">
      <selection activeCell="D30" sqref="D30"/>
    </sheetView>
  </sheetViews>
  <sheetFormatPr defaultColWidth="8.6640625" defaultRowHeight="14.4"/>
  <cols>
    <col min="1" max="1" width="6" customWidth="1"/>
    <col min="2" max="2" width="18" customWidth="1"/>
    <col min="3" max="3" width="30" customWidth="1"/>
    <col min="4" max="4" width="12" customWidth="1"/>
    <col min="5" max="5" width="9.6640625" customWidth="1"/>
    <col min="7" max="7" width="10" customWidth="1"/>
    <col min="8" max="8" width="26" customWidth="1"/>
    <col min="12" max="12" width="20" customWidth="1"/>
    <col min="59" max="59" width="8" customWidth="1"/>
  </cols>
  <sheetData>
    <row r="1" spans="1:8" ht="21" customHeight="1">
      <c r="A1" s="95" t="s">
        <v>79</v>
      </c>
      <c r="B1" s="95"/>
      <c r="C1" s="95"/>
      <c r="D1" s="95"/>
      <c r="E1" s="95"/>
      <c r="F1" s="95"/>
      <c r="G1" s="95"/>
      <c r="H1" s="95"/>
    </row>
    <row r="2" spans="1:8" ht="15" customHeight="1">
      <c r="A2" s="1"/>
      <c r="B2" s="1"/>
      <c r="C2" s="1"/>
      <c r="D2" s="1"/>
      <c r="E2" s="1"/>
      <c r="F2" s="1"/>
      <c r="G2" s="1"/>
      <c r="H2" s="1"/>
    </row>
    <row r="3" spans="1:8" ht="30" customHeight="1">
      <c r="A3" s="2" t="s">
        <v>1</v>
      </c>
      <c r="B3" s="2" t="s">
        <v>80</v>
      </c>
      <c r="C3" s="2" t="s">
        <v>81</v>
      </c>
      <c r="D3" s="2" t="s">
        <v>82</v>
      </c>
      <c r="E3" s="2" t="s">
        <v>83</v>
      </c>
      <c r="F3" s="3" t="s">
        <v>84</v>
      </c>
      <c r="G3" s="2" t="s">
        <v>85</v>
      </c>
      <c r="H3" s="2" t="s">
        <v>4</v>
      </c>
    </row>
    <row r="4" spans="1:8" ht="15" customHeight="1">
      <c r="A4" s="4">
        <v>1</v>
      </c>
      <c r="B4" s="5" t="s">
        <v>86</v>
      </c>
      <c r="C4" s="5" t="s">
        <v>87</v>
      </c>
      <c r="D4" s="4"/>
      <c r="E4" s="4"/>
      <c r="F4" s="4">
        <v>58</v>
      </c>
      <c r="G4" s="4"/>
      <c r="H4" s="6" t="s">
        <v>88</v>
      </c>
    </row>
    <row r="5" spans="1:8" ht="15" customHeight="1">
      <c r="A5" s="7">
        <v>2</v>
      </c>
      <c r="B5" s="8" t="s">
        <v>86</v>
      </c>
      <c r="C5" s="8" t="s">
        <v>89</v>
      </c>
      <c r="D5" s="7"/>
      <c r="E5" s="7"/>
      <c r="F5" s="7">
        <v>27</v>
      </c>
      <c r="G5" s="7"/>
      <c r="H5" s="9" t="s">
        <v>88</v>
      </c>
    </row>
    <row r="6" spans="1:8" ht="15" customHeight="1">
      <c r="A6" s="7">
        <v>3</v>
      </c>
      <c r="B6" s="8" t="s">
        <v>86</v>
      </c>
      <c r="C6" s="8" t="s">
        <v>90</v>
      </c>
      <c r="D6" s="7"/>
      <c r="E6" s="7"/>
      <c r="F6" s="7">
        <v>8</v>
      </c>
      <c r="G6" s="7"/>
      <c r="H6" s="9" t="s">
        <v>88</v>
      </c>
    </row>
    <row r="7" spans="1:8" ht="15" customHeight="1">
      <c r="A7" s="7">
        <v>4</v>
      </c>
      <c r="B7" s="8" t="s">
        <v>86</v>
      </c>
      <c r="C7" s="8" t="s">
        <v>91</v>
      </c>
      <c r="D7" s="7"/>
      <c r="E7" s="7"/>
      <c r="F7" s="7">
        <v>2</v>
      </c>
      <c r="G7" s="7"/>
      <c r="H7" s="9" t="s">
        <v>88</v>
      </c>
    </row>
    <row r="8" spans="1:8" ht="15" customHeight="1">
      <c r="A8" s="7">
        <v>5</v>
      </c>
      <c r="B8" s="8" t="s">
        <v>92</v>
      </c>
      <c r="C8" s="8" t="s">
        <v>93</v>
      </c>
      <c r="D8" s="7"/>
      <c r="E8" s="7"/>
      <c r="F8" s="7"/>
      <c r="G8" s="7">
        <v>70</v>
      </c>
      <c r="H8" s="10" t="s">
        <v>94</v>
      </c>
    </row>
    <row r="9" spans="1:8" ht="15" customHeight="1">
      <c r="A9" s="7">
        <v>6</v>
      </c>
      <c r="B9" s="8" t="s">
        <v>92</v>
      </c>
      <c r="C9" s="8" t="s">
        <v>95</v>
      </c>
      <c r="D9" s="7">
        <v>58</v>
      </c>
      <c r="E9" s="7"/>
      <c r="F9" s="7"/>
      <c r="G9" s="7"/>
      <c r="H9" s="10" t="s">
        <v>96</v>
      </c>
    </row>
    <row r="10" spans="1:8" ht="15" customHeight="1">
      <c r="A10" s="7">
        <v>7</v>
      </c>
      <c r="B10" s="8" t="s">
        <v>97</v>
      </c>
      <c r="C10" s="8" t="s">
        <v>98</v>
      </c>
      <c r="D10" s="7"/>
      <c r="E10" s="7"/>
      <c r="F10" s="7">
        <v>46</v>
      </c>
      <c r="G10" s="7"/>
      <c r="H10" s="9" t="s">
        <v>88</v>
      </c>
    </row>
    <row r="11" spans="1:8" ht="15" customHeight="1">
      <c r="A11" s="7">
        <v>8</v>
      </c>
      <c r="B11" s="8" t="s">
        <v>99</v>
      </c>
      <c r="C11" s="8" t="s">
        <v>100</v>
      </c>
      <c r="D11" s="7">
        <v>3</v>
      </c>
      <c r="E11" s="7"/>
      <c r="F11" s="7">
        <v>44</v>
      </c>
      <c r="G11" s="7"/>
      <c r="H11" s="10" t="s">
        <v>101</v>
      </c>
    </row>
    <row r="12" spans="1:8" ht="15" customHeight="1">
      <c r="A12" s="7">
        <v>9</v>
      </c>
      <c r="B12" s="11" t="s">
        <v>102</v>
      </c>
      <c r="C12" s="8" t="s">
        <v>103</v>
      </c>
      <c r="D12" s="7"/>
      <c r="E12" s="7"/>
      <c r="F12" s="7">
        <v>8</v>
      </c>
      <c r="G12" s="7"/>
      <c r="H12" s="9" t="s">
        <v>88</v>
      </c>
    </row>
    <row r="13" spans="1:8" ht="15" customHeight="1">
      <c r="A13" s="7">
        <v>10</v>
      </c>
      <c r="B13" s="8" t="s">
        <v>104</v>
      </c>
      <c r="C13" s="8" t="s">
        <v>105</v>
      </c>
      <c r="D13" s="7"/>
      <c r="E13" s="7"/>
      <c r="F13" s="7"/>
      <c r="G13" s="7">
        <v>10</v>
      </c>
      <c r="H13" s="10" t="s">
        <v>106</v>
      </c>
    </row>
    <row r="14" spans="1:8" ht="15" customHeight="1">
      <c r="A14" s="7">
        <v>11</v>
      </c>
      <c r="B14" s="8" t="s">
        <v>104</v>
      </c>
      <c r="C14" s="8" t="s">
        <v>107</v>
      </c>
      <c r="D14" s="7"/>
      <c r="E14" s="7"/>
      <c r="F14" s="7"/>
      <c r="G14" s="7">
        <v>4</v>
      </c>
      <c r="H14" s="10" t="s">
        <v>106</v>
      </c>
    </row>
    <row r="15" spans="1:8" ht="15" customHeight="1">
      <c r="A15" s="7">
        <v>12</v>
      </c>
      <c r="B15" s="8" t="s">
        <v>104</v>
      </c>
      <c r="C15" s="8" t="s">
        <v>108</v>
      </c>
      <c r="D15" s="7"/>
      <c r="E15" s="7"/>
      <c r="F15" s="7"/>
      <c r="G15" s="7">
        <v>2</v>
      </c>
      <c r="H15" s="10" t="s">
        <v>106</v>
      </c>
    </row>
    <row r="16" spans="1:8" ht="15" customHeight="1">
      <c r="A16" s="7">
        <v>13</v>
      </c>
      <c r="B16" s="8" t="s">
        <v>104</v>
      </c>
      <c r="C16" s="8" t="s">
        <v>109</v>
      </c>
      <c r="D16" s="7"/>
      <c r="E16" s="7"/>
      <c r="F16" s="7"/>
      <c r="G16" s="7">
        <v>6</v>
      </c>
      <c r="H16" s="10" t="s">
        <v>106</v>
      </c>
    </row>
    <row r="17" spans="1:8" ht="24" customHeight="1">
      <c r="A17" s="7">
        <v>14</v>
      </c>
      <c r="B17" s="8" t="s">
        <v>110</v>
      </c>
      <c r="C17" s="8" t="s">
        <v>111</v>
      </c>
      <c r="D17" s="7">
        <v>41</v>
      </c>
      <c r="E17" s="7"/>
      <c r="F17" s="7"/>
      <c r="G17" s="7"/>
      <c r="H17" s="66" t="s">
        <v>190</v>
      </c>
    </row>
    <row r="18" spans="1:8" ht="15" customHeight="1">
      <c r="A18" s="7">
        <v>15</v>
      </c>
      <c r="B18" s="8" t="s">
        <v>112</v>
      </c>
      <c r="C18" s="8" t="s">
        <v>113</v>
      </c>
      <c r="D18" s="7"/>
      <c r="E18" s="7">
        <v>44</v>
      </c>
      <c r="F18" s="7"/>
      <c r="G18" s="7"/>
      <c r="H18" s="10" t="s">
        <v>114</v>
      </c>
    </row>
    <row r="19" spans="1:8" ht="15" customHeight="1">
      <c r="A19" s="12" t="s">
        <v>115</v>
      </c>
      <c r="B19" s="96" t="s">
        <v>116</v>
      </c>
      <c r="C19" s="96"/>
      <c r="D19" s="12">
        <f>SUM(D4:D18)</f>
        <v>102</v>
      </c>
      <c r="E19" s="12">
        <f>SUM(E4:E18)</f>
        <v>44</v>
      </c>
      <c r="F19" s="12">
        <f>SUM(F4:F18)</f>
        <v>193</v>
      </c>
      <c r="G19" s="12">
        <f>SUM(G4:G18)</f>
        <v>92</v>
      </c>
      <c r="H19" s="13"/>
    </row>
    <row r="20" spans="1:8" ht="16.5" customHeight="1">
      <c r="A20" s="14"/>
    </row>
    <row r="21" spans="1:8" ht="16.5" customHeight="1">
      <c r="A21" s="15"/>
    </row>
    <row r="22" spans="1:8" ht="16.5" customHeight="1">
      <c r="A22" s="15"/>
    </row>
    <row r="23" spans="1:8" ht="16.5" customHeight="1">
      <c r="A23" s="15"/>
    </row>
    <row r="24" spans="1:8" ht="16.5" customHeight="1">
      <c r="A24" s="15"/>
    </row>
    <row r="25" spans="1:8" ht="16.5" customHeight="1">
      <c r="A25" s="15"/>
    </row>
    <row r="26" spans="1:8" ht="16.5" customHeight="1">
      <c r="A26" s="15"/>
    </row>
    <row r="27" spans="1:8" ht="16.5" customHeight="1"/>
    <row r="28" spans="1:8" ht="16.5" customHeight="1">
      <c r="A28" s="16"/>
    </row>
    <row r="29" spans="1:8" ht="16.5" customHeight="1">
      <c r="A29" s="16"/>
    </row>
    <row r="30" spans="1:8" ht="16.5" customHeight="1">
      <c r="A30" s="16"/>
    </row>
    <row r="31" spans="1:8" ht="16.5" customHeight="1">
      <c r="A31" s="16"/>
    </row>
    <row r="32" spans="1:8" ht="16.5" customHeight="1">
      <c r="E32" s="17"/>
      <c r="F32" s="14"/>
    </row>
    <row r="33" spans="5:6" ht="16.5" customHeight="1">
      <c r="E33" s="17"/>
      <c r="F33" s="18"/>
    </row>
  </sheetData>
  <mergeCells count="2">
    <mergeCell ref="A1:H1"/>
    <mergeCell ref="B19:C19"/>
  </mergeCells>
  <phoneticPr fontId="24" type="noConversion"/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报价汇总</vt:lpstr>
      <vt:lpstr>价格清单</vt:lpstr>
      <vt:lpstr>摄像机点位明细</vt:lpstr>
      <vt:lpstr>价格清单!Print_Titles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2026-08-21T04:45:54Z</dcterms:created>
  <dcterms:modified xsi:type="dcterms:W3CDTF">2026-09-02T01:33:11Z</dcterms:modified>
  <dc:language>en-US</dc:language>
</cp:coreProperties>
</file>