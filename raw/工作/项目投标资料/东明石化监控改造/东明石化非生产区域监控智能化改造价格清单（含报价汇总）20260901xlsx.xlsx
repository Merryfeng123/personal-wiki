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xr:revisionPtr revIDLastSave="0" documentId="13_ncr:1_{30A3CC12-43BC-46B8-8962-1DE0B469F70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7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<sst xmlns="http://schemas.openxmlformats.org/spreadsheetml/2006/main" count="284" uniqueCount="226">
  <si>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</si>
  <si>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</si>
  <si>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</si>
  <si>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</si>
  <si>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</si>
  <si>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</si>
  <si>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</si>
  <si>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</si>
  <si>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</si>
  <si>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</si>
  <si>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</si>
  <si>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</si>
  <si>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</si>
  <si>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</si>
  <si>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</si>
  <si>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</si>
  <si>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</si>
  <si>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</si>
  <si>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</si>
  <si>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</si>
  <si>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</si>
  <si>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</si>
  <si>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</si>
  <si>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</si>
  <si>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</si>
  <si>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</si>
  <si>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</si>
  <si>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</si>
  <si>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</si>
  <si>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</si>
  <si>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</si>
  <si>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</si>
  <si>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</si>
  <si>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</si>
  <si>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</si>
  <si>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</si>
  <si>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润华实业各门岗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</si>
  <si>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</si>
  <si>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</si>
  <si>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</si>
  <si>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</si>
  <si>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</si>
  <si>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</si>
  <si>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</si>
  <si>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</si>
  <si>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</si>
  <si>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</si>
  <si>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</si>
  <si>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集团监控专网核心，双机热备</t>
  </si>
  <si>
    <t>无线网桥</t>
  </si>
  <si>
    <t>对</t>
  </si>
  <si>
    <t>只</t>
  </si>
  <si>
    <t>主干及汇聚上联</t>
  </si>
  <si>
    <t>米</t>
  </si>
  <si>
    <t>复用为主、新布为辅，以线路勘查为准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</si>
  <si>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</si>
  <si>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</si>
  <si>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</si>
  <si>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</si>
  <si>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</si>
  <si>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</si>
  <si>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</si>
  <si>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</si>
  <si>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</si>
  <si>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</si>
  <si>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</si>
  <si>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</si>
  <si>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</si>
  <si>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</si>
  <si>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</si>
  <si>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</si>
  <si>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</si>
  <si>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</si>
  <si>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</si>
  <si>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</si>
  <si>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</si>
  <si>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</si>
  <si>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含操作与运维手册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</si>
  <si>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</si>
  <si>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</si>
  <si>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</si>
  <si>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</si>
  <si>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</si>
  <si>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</si>
  <si>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</si>
  <si>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</si>
  <si>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</si>
  <si>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</si>
  <si>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</si>
  <si>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</si>
  <si>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</si>
  <si>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</si>
  <si>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</si>
  <si>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</si>
  <si>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</si>
  <si>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</si>
  <si>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</si>
  <si>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</si>
  <si>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</si>
  <si>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</si>
  <si>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</si>
  <si>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</si>
  <si>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</si>
  <si>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</si>
  <si>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</si>
  <si>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</si>
  <si>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</si>
  <si>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</si>
  <si>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</si>
  <si>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</si>
  <si>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</si>
  <si>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</si>
  <si>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</si>
  <si>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</si>
  <si>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</si>
  <si>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</si>
  <si>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</si>
  <si>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</si>
  <si>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</si>
  <si>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</si>
  <si>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</si>
  <si>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</si>
  <si>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</si>
  <si>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</si>
  <si>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</si>
  <si>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</si>
  <si>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</si>
  <si>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</si>
  <si>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</si>
  <si>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</si>
  <si>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</si>
  <si>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</si>
  <si>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</si>
  <si>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</si>
  <si>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</si>
  <si>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</si>
  <si>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</si>
  <si>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东明港运围墙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重点设备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</si>
  <si>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</si>
  <si>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</si>
  <si>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</si>
  <si>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</si>
  <si>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</si>
  <si>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</si>
  <si>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</si>
  <si>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</si>
  <si>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</si>
  <si>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</si>
  <si>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</si>
  <si>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</si>
  <si>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</si>
  <si>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</si>
  <si>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</si>
  <si>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</si>
  <si>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</si>
  <si>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</si>
  <si>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</si>
  <si>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</si>
  <si>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</si>
  <si>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</si>
  <si>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</si>
  <si>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</si>
  <si>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</si>
  <si>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对应</t>
    </r>
    <r>
      <rPr>
        <sz val="9"/>
        <rFont val="宋体"/>
        <family val="3"/>
        <charset val="134"/>
      </rPr>
      <t>30</t>
    </r>
    <r>
      <rPr>
        <sz val="9"/>
        <rFont val="Noto Sans CJK SC"/>
        <family val="2"/>
      </rPr>
      <t>余个独立监控室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二级单位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</si>
  <si>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</si>
  <si>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</si>
  <si>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</si>
  <si>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</si>
  <si>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</si>
  <si>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</si>
  <si>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</si>
  <si>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</si>
  <si>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</si>
  <si>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</si>
  <si>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</si>
  <si>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</si>
  <si>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</si>
  <si>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</si>
  <si>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</si>
  <si>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</si>
  <si>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</si>
  <si>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</si>
  <si>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</si>
  <si>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</si>
  <si>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</si>
  <si>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</si>
  <si>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</si>
  <si>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</si>
  <si>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</si>
  <si>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</si>
  <si>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</si>
  <si>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</si>
  <si>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</si>
  <si>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</si>
  <si>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</si>
  <si>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</si>
  <si>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</si>
  <si>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</si>
  <si>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rFont val="宋体"/>
        <family val="3"/>
        <charset val="134"/>
      </rPr>
      <t>(0.88mm</t>
    </r>
    <r>
      <rPr>
        <sz val="9"/>
        <rFont val="SimSun"/>
        <family val="3"/>
        <charset val="134"/>
      </rPr>
      <t>拼缝</t>
    </r>
    <r>
      <rPr>
        <sz val="9"/>
        <rFont val="宋体"/>
        <family val="3"/>
        <charset val="134"/>
      </rPr>
      <t>)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</si>
  <si>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</si>
  <si>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</si>
  <si>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</si>
  <si>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</si>
  <si>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</si>
  <si>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</si>
  <si>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r>
      <rPr>
        <sz val="9"/>
        <rFont val="Noto Sans CJK SC"/>
        <family val="3"/>
        <charset val="134"/>
      </rPr>
      <t>，（型号可能依据现场情况做少量调整）</t>
    </r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</si>
  <si>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</si>
  <si>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</si>
  <si>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</si>
  <si>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</si>
  <si>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原来35台</t>
    <phoneticPr fontId="24" type="noConversion"/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</si>
  <si>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</si>
  <si>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</si>
  <si>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</si>
  <si>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</si>
  <si>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</si>
  <si>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原来9台</t>
    <phoneticPr fontId="24" type="noConversion"/>
  </si>
  <si>
    <t>承载193路AI分析，按24路/台配置含20%余量</t>
    <phoneticPr fontId="24" type="noConversion"/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</si>
  <si>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</si>
  <si>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</si>
  <si>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原0台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</si>
  <si>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</si>
  <si>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</si>
  <si>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原来252</t>
    <phoneticPr fontId="24" type="noConversion"/>
  </si>
  <si>
    <t>原来8000</t>
    <phoneticPr fontId="24" type="noConversion"/>
  </si>
  <si>
    <r>
      <rPr>
        <sz val="11"/>
        <rFont val="宋体"/>
        <family val="2"/>
        <charset val="134"/>
      </rPr>
      <t>原来</t>
    </r>
    <r>
      <rPr>
        <sz val="11"/>
        <rFont val="Calibri"/>
        <family val="2"/>
        <charset val="1"/>
      </rPr>
      <t>2</t>
    </r>
    <r>
      <rPr>
        <sz val="11"/>
        <rFont val="宋体"/>
        <family val="2"/>
        <charset val="134"/>
      </rPr>
      <t>台利旧2台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</si>
</sst>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color rgb="FF000000"/>
      <name val="Noto Sans CJK SC"/>
      <family val="2"/>
      <charset val="1"/>
    </font>
    <font>
      <sz val="9"/>
      <color rgb="FF595959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C5D3FF"/>
        <bgColor indexed="64"/>
      </patternFill>
    </fill>
    <fill>
      <patternFill patternType="solid">
        <fgColor rgb="FFFFF2CC"/>
        <bgColor rgb="FFFCE4D6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48" fillId="0" borderId="0" xfId="0" applyFont="1"/>
    <xf numFmtId="0" fontId="27" fillId="0" borderId="8" xfId="0" applyFont="1" applyFill="1" applyBorder="1" applyAlignment="1">
      <alignment horizontal="center" vertical="center" wrapText="1"/>
    </xf>
    <xf numFmtId="0" fontId="37" fillId="0" borderId="3" xfId="0" applyFont="1" applyFill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 wrapText="1"/>
    </xf>
    <xf numFmtId="0" fontId="40" fillId="0" borderId="3" xfId="0" applyFont="1" applyFill="1" applyBorder="1" applyAlignment="1">
      <alignment horizontal="left" vertical="center" wrapText="1"/>
    </xf>
    <xf numFmtId="0" fontId="38" fillId="0" borderId="3" xfId="0" applyFont="1" applyFill="1" applyBorder="1" applyAlignment="1">
      <alignment horizontal="left" vertical="center" wrapText="1"/>
    </xf>
    <xf numFmtId="0" fontId="37" fillId="0" borderId="3" xfId="0" applyFont="1" applyFill="1" applyBorder="1" applyAlignment="1">
      <alignment horizontal="center" vertical="center" wrapText="1"/>
    </xf>
    <xf numFmtId="4" fontId="27" fillId="0" borderId="3" xfId="0" applyNumberFormat="1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0" fillId="6" borderId="3" xfId="0" applyNumberFormat="1" applyFill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53" fillId="0" borderId="3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9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C15" sqref="C15:D15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72" t="s">
        <v>0</v>
      </c>
      <c r="B1" s="72"/>
      <c r="C1" s="72"/>
      <c r="D1" s="72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0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0</v>
      </c>
      <c r="D5" s="24" t="s">
        <v>120</v>
      </c>
    </row>
    <row r="6" spans="1:4" ht="19.5" customHeight="1">
      <c r="A6" s="20" t="s">
        <v>10</v>
      </c>
      <c r="B6" s="21" t="s">
        <v>11</v>
      </c>
      <c r="C6" s="22">
        <f>SUM(价格清单!H15:H17)</f>
        <v>0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SUM(价格清单!H19:H20)</f>
        <v>0</v>
      </c>
      <c r="D7" s="24" t="s">
        <v>121</v>
      </c>
    </row>
    <row r="8" spans="1:4" ht="19.5" customHeight="1">
      <c r="A8" s="20" t="s">
        <v>15</v>
      </c>
      <c r="B8" s="21" t="s">
        <v>16</v>
      </c>
      <c r="C8" s="22">
        <f>SUM(价格清单!H23:H30)</f>
        <v>0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0</v>
      </c>
      <c r="D9" s="24" t="s">
        <v>122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0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0</v>
      </c>
      <c r="D11" s="24" t="s">
        <v>123</v>
      </c>
    </row>
    <row r="12" spans="1:4" ht="15" customHeight="1">
      <c r="A12" s="70" t="s">
        <v>25</v>
      </c>
      <c r="B12" s="70"/>
      <c r="C12" s="25">
        <f>SUM(C4:C11)</f>
        <v>0</v>
      </c>
      <c r="D12" s="26"/>
    </row>
    <row r="13" spans="1:4" ht="15" customHeight="1">
      <c r="A13" s="73" t="s">
        <v>26</v>
      </c>
      <c r="B13" s="73"/>
      <c r="C13" s="30">
        <f>ROUND(C12*0.09,2)</f>
        <v>0</v>
      </c>
      <c r="D13" s="27"/>
    </row>
    <row r="14" spans="1:4" ht="18.75" customHeight="1">
      <c r="A14" s="74" t="s">
        <v>27</v>
      </c>
      <c r="B14" s="74"/>
      <c r="C14" s="28">
        <f>ROUND(C12*1.09,2)</f>
        <v>0</v>
      </c>
      <c r="D14" s="29"/>
    </row>
    <row r="15" spans="1:4" ht="16.5" customHeight="1">
      <c r="A15" s="70" t="s">
        <v>28</v>
      </c>
      <c r="B15" s="70"/>
      <c r="C15" s="71"/>
      <c r="D15" s="71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0"/>
  <sheetViews>
    <sheetView showGridLines="0" tabSelected="1" zoomScaleNormal="100" workbookViewId="0">
      <pane ySplit="3" topLeftCell="A19" activePane="bottomLeft" state="frozen"/>
      <selection pane="bottomLeft" activeCell="H20" sqref="H20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6384" width="8.6640625" style="1"/>
  </cols>
  <sheetData>
    <row r="1" spans="1:10" ht="24" customHeight="1">
      <c r="A1" s="75" t="s">
        <v>190</v>
      </c>
      <c r="B1" s="76"/>
      <c r="C1" s="76"/>
      <c r="D1" s="76"/>
      <c r="E1" s="76"/>
      <c r="F1" s="76"/>
      <c r="G1" s="76"/>
      <c r="H1" s="76"/>
      <c r="I1" s="76"/>
    </row>
    <row r="2" spans="1:10" ht="15" thickBot="1"/>
    <row r="3" spans="1:10" ht="24" customHeight="1" thickBot="1">
      <c r="A3" s="31" t="s">
        <v>1</v>
      </c>
      <c r="B3" s="32" t="s">
        <v>130</v>
      </c>
      <c r="C3" s="32" t="s">
        <v>131</v>
      </c>
      <c r="D3" s="32" t="s">
        <v>132</v>
      </c>
      <c r="E3" s="32" t="s">
        <v>29</v>
      </c>
      <c r="F3" s="32" t="s">
        <v>30</v>
      </c>
      <c r="G3" s="32" t="s">
        <v>133</v>
      </c>
      <c r="H3" s="32" t="s">
        <v>134</v>
      </c>
      <c r="I3" s="33" t="s">
        <v>4</v>
      </c>
    </row>
    <row r="4" spans="1:10" ht="16.5" customHeight="1" thickTop="1">
      <c r="A4" s="77" t="s">
        <v>31</v>
      </c>
      <c r="B4" s="78"/>
      <c r="C4" s="78"/>
      <c r="D4" s="78"/>
      <c r="E4" s="78"/>
      <c r="F4" s="78"/>
      <c r="G4" s="78"/>
      <c r="H4" s="78"/>
      <c r="I4" s="79"/>
    </row>
    <row r="5" spans="1:10" ht="105.75" customHeight="1">
      <c r="A5" s="34">
        <v>1</v>
      </c>
      <c r="B5" s="35" t="s">
        <v>32</v>
      </c>
      <c r="C5" s="36" t="s">
        <v>135</v>
      </c>
      <c r="D5" s="37" t="s">
        <v>136</v>
      </c>
      <c r="E5" s="38" t="s">
        <v>33</v>
      </c>
      <c r="F5" s="67">
        <v>58</v>
      </c>
      <c r="G5" s="39"/>
      <c r="H5" s="39">
        <f>IFERROR(F5*G5,"")</f>
        <v>0</v>
      </c>
      <c r="I5" s="40" t="s">
        <v>34</v>
      </c>
    </row>
    <row r="6" spans="1:10" ht="105.75" customHeight="1">
      <c r="A6" s="34">
        <v>2</v>
      </c>
      <c r="B6" s="35" t="s">
        <v>35</v>
      </c>
      <c r="C6" s="36" t="s">
        <v>135</v>
      </c>
      <c r="D6" s="37" t="s">
        <v>136</v>
      </c>
      <c r="E6" s="38" t="s">
        <v>33</v>
      </c>
      <c r="F6" s="67">
        <v>3</v>
      </c>
      <c r="G6" s="39"/>
      <c r="H6" s="39">
        <f>IFERROR(F6*G6,"")</f>
        <v>0</v>
      </c>
      <c r="I6" s="40" t="s">
        <v>137</v>
      </c>
    </row>
    <row r="7" spans="1:10" ht="105.75" customHeight="1">
      <c r="A7" s="34">
        <v>3</v>
      </c>
      <c r="B7" s="35" t="s">
        <v>138</v>
      </c>
      <c r="C7" s="36" t="s">
        <v>139</v>
      </c>
      <c r="D7" s="41" t="s">
        <v>140</v>
      </c>
      <c r="E7" s="38" t="s">
        <v>33</v>
      </c>
      <c r="F7" s="67">
        <v>41</v>
      </c>
      <c r="G7" s="39"/>
      <c r="H7" s="39">
        <f>IFERROR(F7*G7,"")</f>
        <v>0</v>
      </c>
      <c r="I7" s="40" t="s">
        <v>36</v>
      </c>
    </row>
    <row r="8" spans="1:10" ht="105.75" customHeight="1">
      <c r="A8" s="34">
        <v>4</v>
      </c>
      <c r="B8" s="35" t="s">
        <v>138</v>
      </c>
      <c r="C8" s="36" t="s">
        <v>139</v>
      </c>
      <c r="D8" s="41" t="s">
        <v>140</v>
      </c>
      <c r="E8" s="38" t="s">
        <v>33</v>
      </c>
      <c r="F8" s="67">
        <v>44</v>
      </c>
      <c r="G8" s="39"/>
      <c r="H8" s="39">
        <f>IFERROR(F8*G8,"")</f>
        <v>0</v>
      </c>
      <c r="I8" s="48" t="s">
        <v>196</v>
      </c>
    </row>
    <row r="9" spans="1:10" ht="15.75" customHeight="1">
      <c r="A9" s="80" t="s">
        <v>37</v>
      </c>
      <c r="B9" s="70"/>
      <c r="C9" s="70"/>
      <c r="D9" s="70"/>
      <c r="E9" s="42" t="s">
        <v>33</v>
      </c>
      <c r="F9" s="69">
        <f>F5+F6+F7+F8</f>
        <v>146</v>
      </c>
      <c r="G9" s="26"/>
      <c r="H9" s="26"/>
      <c r="I9" s="43"/>
    </row>
    <row r="10" spans="1:10" ht="16.5" customHeight="1">
      <c r="A10" s="81" t="s">
        <v>38</v>
      </c>
      <c r="B10" s="82"/>
      <c r="C10" s="82"/>
      <c r="D10" s="82"/>
      <c r="E10" s="82"/>
      <c r="F10" s="82"/>
      <c r="G10" s="82"/>
      <c r="H10" s="82"/>
      <c r="I10" s="83"/>
    </row>
    <row r="11" spans="1:10" ht="105.75" customHeight="1">
      <c r="A11" s="34">
        <v>5</v>
      </c>
      <c r="B11" s="44" t="s">
        <v>141</v>
      </c>
      <c r="C11" s="36" t="s">
        <v>142</v>
      </c>
      <c r="D11" s="37" t="s">
        <v>219</v>
      </c>
      <c r="E11" s="67" t="s">
        <v>222</v>
      </c>
      <c r="F11" s="93">
        <v>1</v>
      </c>
      <c r="G11" s="39"/>
      <c r="H11" s="39">
        <f>IFERROR(F11*G11,"")</f>
        <v>0</v>
      </c>
      <c r="I11" s="113" t="s">
        <v>217</v>
      </c>
      <c r="J11" s="94" t="s">
        <v>216</v>
      </c>
    </row>
    <row r="12" spans="1:10" ht="105.75" customHeight="1">
      <c r="A12" s="34"/>
      <c r="B12" s="44" t="s">
        <v>141</v>
      </c>
      <c r="C12" s="36" t="s">
        <v>218</v>
      </c>
      <c r="D12" s="37" t="s">
        <v>221</v>
      </c>
      <c r="E12" s="67" t="s">
        <v>222</v>
      </c>
      <c r="F12" s="93">
        <v>1</v>
      </c>
      <c r="G12" s="39"/>
      <c r="H12" s="39">
        <f>IFERROR(F12*G12,"")</f>
        <v>0</v>
      </c>
      <c r="I12" s="112"/>
      <c r="J12" s="94" t="s">
        <v>220</v>
      </c>
    </row>
    <row r="13" spans="1:10" ht="27.75" customHeight="1">
      <c r="A13" s="34">
        <v>6</v>
      </c>
      <c r="B13" s="44" t="s">
        <v>143</v>
      </c>
      <c r="C13" s="36" t="s">
        <v>144</v>
      </c>
      <c r="D13" s="41" t="s">
        <v>39</v>
      </c>
      <c r="E13" s="38" t="s">
        <v>40</v>
      </c>
      <c r="F13" s="67">
        <v>216</v>
      </c>
      <c r="G13" s="39">
        <v>0</v>
      </c>
      <c r="H13" s="39">
        <f>IFERROR(F13*G13,"")</f>
        <v>0</v>
      </c>
      <c r="I13" s="40" t="s">
        <v>145</v>
      </c>
    </row>
    <row r="14" spans="1:10" ht="16.5" customHeight="1">
      <c r="A14" s="81" t="s">
        <v>41</v>
      </c>
      <c r="B14" s="82"/>
      <c r="C14" s="82"/>
      <c r="D14" s="82"/>
      <c r="E14" s="82"/>
      <c r="F14" s="82"/>
      <c r="G14" s="82"/>
      <c r="H14" s="82"/>
      <c r="I14" s="83"/>
    </row>
    <row r="15" spans="1:10" ht="79.5" customHeight="1">
      <c r="A15" s="34">
        <v>7</v>
      </c>
      <c r="B15" s="35" t="s">
        <v>42</v>
      </c>
      <c r="C15" s="36" t="s">
        <v>146</v>
      </c>
      <c r="D15" s="37" t="s">
        <v>147</v>
      </c>
      <c r="E15" s="38" t="s">
        <v>33</v>
      </c>
      <c r="F15" s="92">
        <v>4</v>
      </c>
      <c r="G15" s="39"/>
      <c r="H15" s="39">
        <f>IFERROR(F15*G15,"")</f>
        <v>0</v>
      </c>
      <c r="I15" s="45" t="s">
        <v>148</v>
      </c>
    </row>
    <row r="16" spans="1:10" ht="27.75" customHeight="1">
      <c r="A16" s="34">
        <v>8</v>
      </c>
      <c r="B16" s="35" t="s">
        <v>43</v>
      </c>
      <c r="C16" s="64" t="s">
        <v>201</v>
      </c>
      <c r="D16" s="41" t="s">
        <v>149</v>
      </c>
      <c r="E16" s="38" t="s">
        <v>40</v>
      </c>
      <c r="F16" s="67">
        <v>3000</v>
      </c>
      <c r="G16" s="39"/>
      <c r="H16" s="39">
        <f>IFERROR(F16*G16,"")</f>
        <v>0</v>
      </c>
      <c r="I16" s="40" t="s">
        <v>44</v>
      </c>
    </row>
    <row r="17" spans="1:13" ht="27.75" customHeight="1">
      <c r="A17" s="34">
        <v>9</v>
      </c>
      <c r="B17" s="35" t="s">
        <v>150</v>
      </c>
      <c r="C17" s="64" t="s">
        <v>202</v>
      </c>
      <c r="D17" s="37" t="s">
        <v>203</v>
      </c>
      <c r="E17" s="38" t="s">
        <v>33</v>
      </c>
      <c r="F17" s="67">
        <v>1</v>
      </c>
      <c r="G17" s="39"/>
      <c r="H17" s="39">
        <f>IFERROR(F17*G17,"")</f>
        <v>0</v>
      </c>
      <c r="I17" s="40" t="s">
        <v>45</v>
      </c>
    </row>
    <row r="18" spans="1:13" ht="16.5" customHeight="1">
      <c r="A18" s="81" t="s">
        <v>46</v>
      </c>
      <c r="B18" s="82"/>
      <c r="C18" s="82"/>
      <c r="D18" s="82"/>
      <c r="E18" s="82"/>
      <c r="F18" s="82"/>
      <c r="G18" s="82"/>
      <c r="H18" s="82"/>
      <c r="I18" s="83"/>
    </row>
    <row r="19" spans="1:13" ht="79.5" customHeight="1">
      <c r="A19" s="34">
        <v>10</v>
      </c>
      <c r="B19" s="35" t="s">
        <v>151</v>
      </c>
      <c r="C19" s="36" t="s">
        <v>152</v>
      </c>
      <c r="D19" s="37" t="s">
        <v>153</v>
      </c>
      <c r="E19" s="38" t="s">
        <v>33</v>
      </c>
      <c r="F19" s="92">
        <v>19</v>
      </c>
      <c r="G19" s="39"/>
      <c r="H19" s="39">
        <f>IFERROR(F19*G19,"")</f>
        <v>0</v>
      </c>
      <c r="I19" s="65" t="s">
        <v>205</v>
      </c>
    </row>
    <row r="20" spans="1:13" ht="79.5" customHeight="1">
      <c r="A20" s="34">
        <v>11</v>
      </c>
      <c r="B20" s="35" t="s">
        <v>154</v>
      </c>
      <c r="C20" s="36" t="s">
        <v>155</v>
      </c>
      <c r="D20" s="37" t="s">
        <v>156</v>
      </c>
      <c r="E20" s="38" t="s">
        <v>33</v>
      </c>
      <c r="F20" s="92">
        <v>8</v>
      </c>
      <c r="G20" s="39"/>
      <c r="H20" s="39">
        <f>IFERROR(F20*G20,"")</f>
        <v>0</v>
      </c>
      <c r="I20" s="65" t="s">
        <v>195</v>
      </c>
    </row>
    <row r="21" spans="1:13" customFormat="1" ht="30" customHeight="1">
      <c r="A21" s="103">
        <f>MAX($A$1:A20)+1</f>
        <v>12</v>
      </c>
      <c r="B21" s="104" t="s">
        <v>211</v>
      </c>
      <c r="C21" s="105" t="s">
        <v>212</v>
      </c>
      <c r="D21" s="106" t="s">
        <v>213</v>
      </c>
      <c r="E21" s="107" t="s">
        <v>214</v>
      </c>
      <c r="F21" s="108">
        <v>175</v>
      </c>
      <c r="G21" s="109"/>
      <c r="H21" s="110">
        <f>IFERROR(F21*G21,"")</f>
        <v>0</v>
      </c>
      <c r="I21" s="111" t="s">
        <v>215</v>
      </c>
      <c r="J21" s="94" t="s">
        <v>223</v>
      </c>
      <c r="K21" s="1"/>
      <c r="L21" s="1"/>
      <c r="M21" s="1"/>
    </row>
    <row r="22" spans="1:13" ht="16.5" customHeight="1">
      <c r="A22" s="81" t="s">
        <v>47</v>
      </c>
      <c r="B22" s="82"/>
      <c r="C22" s="82"/>
      <c r="D22" s="82"/>
      <c r="E22" s="82"/>
      <c r="F22" s="82"/>
      <c r="G22" s="82"/>
      <c r="H22" s="82"/>
      <c r="I22" s="83"/>
    </row>
    <row r="23" spans="1:13" ht="27.75" customHeight="1">
      <c r="A23" s="34">
        <v>12</v>
      </c>
      <c r="B23" s="44" t="s">
        <v>157</v>
      </c>
      <c r="C23" s="36" t="s">
        <v>158</v>
      </c>
      <c r="D23" s="37" t="s">
        <v>159</v>
      </c>
      <c r="E23" s="38" t="s">
        <v>33</v>
      </c>
      <c r="F23" s="67">
        <v>1</v>
      </c>
      <c r="G23" s="39"/>
      <c r="H23" s="39">
        <f t="shared" ref="H23:H30" si="0">IFERROR(F23*G23,"")</f>
        <v>0</v>
      </c>
      <c r="I23" s="40" t="s">
        <v>48</v>
      </c>
    </row>
    <row r="24" spans="1:13" ht="27.75" customHeight="1">
      <c r="A24" s="34">
        <v>13</v>
      </c>
      <c r="B24" s="44" t="s">
        <v>160</v>
      </c>
      <c r="C24" s="36" t="s">
        <v>161</v>
      </c>
      <c r="D24" s="37" t="s">
        <v>162</v>
      </c>
      <c r="E24" s="38" t="s">
        <v>33</v>
      </c>
      <c r="F24" s="93">
        <v>20</v>
      </c>
      <c r="G24" s="39"/>
      <c r="H24" s="39">
        <f t="shared" si="0"/>
        <v>0</v>
      </c>
      <c r="I24" s="40" t="s">
        <v>163</v>
      </c>
      <c r="J24" s="94" t="s">
        <v>210</v>
      </c>
    </row>
    <row r="25" spans="1:13" ht="27.75" customHeight="1">
      <c r="A25" s="34">
        <v>14</v>
      </c>
      <c r="B25" s="44" t="s">
        <v>164</v>
      </c>
      <c r="C25" s="64" t="s">
        <v>192</v>
      </c>
      <c r="D25" s="50" t="s">
        <v>165</v>
      </c>
      <c r="E25" s="38" t="s">
        <v>33</v>
      </c>
      <c r="F25" s="67">
        <v>58</v>
      </c>
      <c r="G25" s="39"/>
      <c r="H25" s="39">
        <f t="shared" si="0"/>
        <v>0</v>
      </c>
      <c r="I25" s="45"/>
    </row>
    <row r="26" spans="1:13" ht="27.75" customHeight="1">
      <c r="A26" s="34">
        <v>15</v>
      </c>
      <c r="B26" s="35" t="s">
        <v>49</v>
      </c>
      <c r="C26" s="64" t="s">
        <v>192</v>
      </c>
      <c r="D26" s="50" t="s">
        <v>166</v>
      </c>
      <c r="E26" s="38" t="s">
        <v>50</v>
      </c>
      <c r="F26" s="67">
        <v>10</v>
      </c>
      <c r="G26" s="39"/>
      <c r="H26" s="39">
        <f t="shared" si="0"/>
        <v>0</v>
      </c>
      <c r="I26" s="45"/>
    </row>
    <row r="27" spans="1:13" ht="27.75" customHeight="1">
      <c r="A27" s="34">
        <v>16</v>
      </c>
      <c r="B27" s="35" t="s">
        <v>167</v>
      </c>
      <c r="C27" s="35" t="s">
        <v>167</v>
      </c>
      <c r="D27" s="49" t="s">
        <v>168</v>
      </c>
      <c r="E27" s="38" t="s">
        <v>51</v>
      </c>
      <c r="F27" s="67">
        <v>160</v>
      </c>
      <c r="G27" s="39"/>
      <c r="H27" s="39">
        <f t="shared" si="0"/>
        <v>0</v>
      </c>
      <c r="I27" s="40" t="s">
        <v>52</v>
      </c>
    </row>
    <row r="28" spans="1:13" ht="27.75" customHeight="1">
      <c r="A28" s="95">
        <v>17</v>
      </c>
      <c r="B28" s="96" t="s">
        <v>169</v>
      </c>
      <c r="C28" s="46" t="s">
        <v>193</v>
      </c>
      <c r="D28" s="41" t="s">
        <v>206</v>
      </c>
      <c r="E28" s="38" t="s">
        <v>53</v>
      </c>
      <c r="F28" s="93">
        <v>2000</v>
      </c>
      <c r="G28" s="39"/>
      <c r="H28" s="39">
        <f t="shared" si="0"/>
        <v>0</v>
      </c>
      <c r="I28" s="40" t="s">
        <v>54</v>
      </c>
      <c r="J28" s="94" t="s">
        <v>224</v>
      </c>
    </row>
    <row r="29" spans="1:13" ht="27.75" customHeight="1">
      <c r="A29" s="34">
        <v>18</v>
      </c>
      <c r="B29" s="35" t="s">
        <v>170</v>
      </c>
      <c r="C29" s="24" t="s">
        <v>194</v>
      </c>
      <c r="D29" s="52" t="s">
        <v>204</v>
      </c>
      <c r="E29" s="38" t="s">
        <v>55</v>
      </c>
      <c r="F29" s="67">
        <v>1</v>
      </c>
      <c r="G29" s="39"/>
      <c r="H29" s="39">
        <f t="shared" si="0"/>
        <v>0</v>
      </c>
      <c r="I29" s="40" t="s">
        <v>56</v>
      </c>
    </row>
    <row r="30" spans="1:13" ht="27.75" customHeight="1">
      <c r="A30" s="34">
        <v>19</v>
      </c>
      <c r="B30" s="35" t="s">
        <v>57</v>
      </c>
      <c r="C30" s="36" t="s">
        <v>171</v>
      </c>
      <c r="D30" s="41" t="s">
        <v>207</v>
      </c>
      <c r="E30" s="38" t="s">
        <v>33</v>
      </c>
      <c r="F30" s="67">
        <v>1</v>
      </c>
      <c r="G30" s="39"/>
      <c r="H30" s="39">
        <f t="shared" si="0"/>
        <v>0</v>
      </c>
      <c r="I30" s="40" t="s">
        <v>58</v>
      </c>
    </row>
    <row r="31" spans="1:13" ht="16.5" customHeight="1">
      <c r="A31" s="81" t="s">
        <v>59</v>
      </c>
      <c r="B31" s="82"/>
      <c r="C31" s="82"/>
      <c r="D31" s="82"/>
      <c r="E31" s="82"/>
      <c r="F31" s="82"/>
      <c r="G31" s="82"/>
      <c r="H31" s="82"/>
      <c r="I31" s="83"/>
    </row>
    <row r="32" spans="1:13" ht="27.75" customHeight="1">
      <c r="A32" s="34">
        <v>20</v>
      </c>
      <c r="B32" s="35" t="s">
        <v>60</v>
      </c>
      <c r="C32" s="36" t="s">
        <v>61</v>
      </c>
      <c r="D32" s="49" t="s">
        <v>62</v>
      </c>
      <c r="E32" s="38" t="s">
        <v>63</v>
      </c>
      <c r="F32" s="67">
        <v>1</v>
      </c>
      <c r="G32" s="39"/>
      <c r="H32" s="39">
        <f t="shared" ref="H32:H37" si="1">IFERROR(F32*G32,"")</f>
        <v>0</v>
      </c>
      <c r="I32" s="40" t="s">
        <v>172</v>
      </c>
    </row>
    <row r="33" spans="1:10" ht="66.75" customHeight="1">
      <c r="A33" s="34">
        <v>21</v>
      </c>
      <c r="B33" s="44" t="s">
        <v>173</v>
      </c>
      <c r="C33" s="36" t="s">
        <v>174</v>
      </c>
      <c r="D33" s="37" t="s">
        <v>175</v>
      </c>
      <c r="E33" s="38" t="s">
        <v>33</v>
      </c>
      <c r="F33" s="67">
        <v>18</v>
      </c>
      <c r="G33" s="39"/>
      <c r="H33" s="39">
        <f t="shared" si="1"/>
        <v>0</v>
      </c>
      <c r="I33" s="65" t="s">
        <v>198</v>
      </c>
    </row>
    <row r="34" spans="1:10" ht="40.5" customHeight="1">
      <c r="A34" s="34">
        <v>22</v>
      </c>
      <c r="B34" s="44" t="s">
        <v>176</v>
      </c>
      <c r="C34" s="36" t="s">
        <v>177</v>
      </c>
      <c r="D34" s="37" t="s">
        <v>178</v>
      </c>
      <c r="E34" s="38" t="s">
        <v>33</v>
      </c>
      <c r="F34" s="67">
        <v>18</v>
      </c>
      <c r="G34" s="39"/>
      <c r="H34" s="39">
        <f t="shared" si="1"/>
        <v>0</v>
      </c>
      <c r="I34" s="40" t="s">
        <v>64</v>
      </c>
    </row>
    <row r="35" spans="1:10" ht="27.75" customHeight="1">
      <c r="A35" s="34">
        <v>23</v>
      </c>
      <c r="B35" s="35" t="s">
        <v>65</v>
      </c>
      <c r="C35" s="64" t="s">
        <v>200</v>
      </c>
      <c r="D35" s="47" t="s">
        <v>199</v>
      </c>
      <c r="E35" s="38" t="s">
        <v>33</v>
      </c>
      <c r="F35" s="67">
        <v>1</v>
      </c>
      <c r="G35" s="39"/>
      <c r="H35" s="39">
        <f t="shared" si="1"/>
        <v>0</v>
      </c>
      <c r="I35" s="40" t="s">
        <v>66</v>
      </c>
    </row>
    <row r="36" spans="1:10" ht="79.5" customHeight="1">
      <c r="A36" s="34">
        <v>24</v>
      </c>
      <c r="B36" s="35" t="s">
        <v>67</v>
      </c>
      <c r="C36" s="46" t="s">
        <v>179</v>
      </c>
      <c r="D36" s="47" t="s">
        <v>180</v>
      </c>
      <c r="E36" s="38" t="s">
        <v>33</v>
      </c>
      <c r="F36" s="67">
        <v>2</v>
      </c>
      <c r="G36" s="39"/>
      <c r="H36" s="39">
        <f t="shared" si="1"/>
        <v>0</v>
      </c>
      <c r="I36" s="48" t="s">
        <v>126</v>
      </c>
    </row>
    <row r="37" spans="1:10" ht="27.75" customHeight="1">
      <c r="A37" s="95">
        <v>25</v>
      </c>
      <c r="B37" s="97" t="s">
        <v>181</v>
      </c>
      <c r="C37" s="98" t="s">
        <v>182</v>
      </c>
      <c r="D37" s="99" t="s">
        <v>191</v>
      </c>
      <c r="E37" s="100" t="s">
        <v>33</v>
      </c>
      <c r="F37" s="93">
        <v>0</v>
      </c>
      <c r="G37" s="101"/>
      <c r="H37" s="101">
        <f t="shared" si="1"/>
        <v>0</v>
      </c>
      <c r="I37" s="102"/>
      <c r="J37" s="114" t="s">
        <v>225</v>
      </c>
    </row>
    <row r="38" spans="1:10" ht="16.5" customHeight="1">
      <c r="A38" s="81" t="s">
        <v>68</v>
      </c>
      <c r="B38" s="82"/>
      <c r="C38" s="82"/>
      <c r="D38" s="82"/>
      <c r="E38" s="82"/>
      <c r="F38" s="82"/>
      <c r="G38" s="82"/>
      <c r="H38" s="82"/>
      <c r="I38" s="83"/>
    </row>
    <row r="39" spans="1:10" ht="27.75" customHeight="1">
      <c r="A39" s="34">
        <v>26</v>
      </c>
      <c r="B39" s="35" t="s">
        <v>183</v>
      </c>
      <c r="C39" s="24" t="s">
        <v>127</v>
      </c>
      <c r="D39" s="49" t="s">
        <v>69</v>
      </c>
      <c r="E39" s="38" t="s">
        <v>63</v>
      </c>
      <c r="F39" s="67">
        <v>100</v>
      </c>
      <c r="G39" s="39"/>
      <c r="H39" s="39">
        <f>IFERROR(F39*G39,"")</f>
        <v>0</v>
      </c>
      <c r="I39" s="40" t="s">
        <v>184</v>
      </c>
    </row>
    <row r="40" spans="1:10" ht="27.75" customHeight="1">
      <c r="A40" s="34">
        <v>27</v>
      </c>
      <c r="B40" s="35" t="s">
        <v>70</v>
      </c>
      <c r="C40" s="24" t="s">
        <v>125</v>
      </c>
      <c r="D40" s="50" t="s">
        <v>71</v>
      </c>
      <c r="E40" s="38" t="s">
        <v>53</v>
      </c>
      <c r="F40" s="67">
        <v>12500</v>
      </c>
      <c r="G40" s="39"/>
      <c r="H40" s="39">
        <f>IFERROR(F40*G40,"")</f>
        <v>0</v>
      </c>
      <c r="I40" s="40"/>
    </row>
    <row r="41" spans="1:10" ht="27.75" customHeight="1">
      <c r="A41" s="34">
        <v>28</v>
      </c>
      <c r="B41" s="44" t="s">
        <v>185</v>
      </c>
      <c r="C41" s="24" t="s">
        <v>124</v>
      </c>
      <c r="D41" s="50" t="s">
        <v>186</v>
      </c>
      <c r="E41" s="38" t="s">
        <v>53</v>
      </c>
      <c r="F41" s="67">
        <v>10000</v>
      </c>
      <c r="G41" s="39"/>
      <c r="H41" s="39">
        <f>IFERROR(F41*G41,"")</f>
        <v>0</v>
      </c>
      <c r="I41" s="45"/>
    </row>
    <row r="42" spans="1:10" ht="27.75" customHeight="1">
      <c r="A42" s="34">
        <v>29</v>
      </c>
      <c r="B42" s="35" t="s">
        <v>72</v>
      </c>
      <c r="C42" s="24" t="s">
        <v>128</v>
      </c>
      <c r="D42" s="49" t="s">
        <v>187</v>
      </c>
      <c r="E42" s="38" t="s">
        <v>55</v>
      </c>
      <c r="F42" s="67">
        <v>1</v>
      </c>
      <c r="G42" s="39"/>
      <c r="H42" s="39">
        <f>IFERROR(F42*G42,"")</f>
        <v>0</v>
      </c>
      <c r="I42" s="40" t="s">
        <v>73</v>
      </c>
    </row>
    <row r="43" spans="1:10" ht="16.5" customHeight="1">
      <c r="A43" s="81" t="s">
        <v>74</v>
      </c>
      <c r="B43" s="82"/>
      <c r="C43" s="82"/>
      <c r="D43" s="82"/>
      <c r="E43" s="82"/>
      <c r="F43" s="82"/>
      <c r="G43" s="82"/>
      <c r="H43" s="82"/>
      <c r="I43" s="83"/>
    </row>
    <row r="44" spans="1:10" ht="27.75" customHeight="1">
      <c r="A44" s="34">
        <v>30</v>
      </c>
      <c r="B44" s="44" t="s">
        <v>188</v>
      </c>
      <c r="C44" s="24" t="s">
        <v>128</v>
      </c>
      <c r="D44" s="41" t="s">
        <v>189</v>
      </c>
      <c r="E44" s="38" t="s">
        <v>55</v>
      </c>
      <c r="F44" s="67">
        <v>1</v>
      </c>
      <c r="G44" s="39"/>
      <c r="H44" s="39">
        <f>IFERROR(F44*G44,"")</f>
        <v>0</v>
      </c>
      <c r="I44" s="40"/>
    </row>
    <row r="45" spans="1:10" ht="27.75" customHeight="1">
      <c r="A45" s="34">
        <v>31</v>
      </c>
      <c r="B45" s="35" t="s">
        <v>75</v>
      </c>
      <c r="C45" s="24" t="s">
        <v>128</v>
      </c>
      <c r="D45" s="51" t="s">
        <v>208</v>
      </c>
      <c r="E45" s="38" t="s">
        <v>55</v>
      </c>
      <c r="F45" s="67">
        <v>1</v>
      </c>
      <c r="G45" s="39"/>
      <c r="H45" s="39">
        <f>IFERROR(F45*G45,"")</f>
        <v>0</v>
      </c>
      <c r="I45" s="45"/>
    </row>
    <row r="46" spans="1:10" ht="27.75" customHeight="1">
      <c r="A46" s="34">
        <v>32</v>
      </c>
      <c r="B46" s="35" t="s">
        <v>76</v>
      </c>
      <c r="C46" s="24" t="s">
        <v>128</v>
      </c>
      <c r="D46" s="52" t="s">
        <v>129</v>
      </c>
      <c r="E46" s="38" t="s">
        <v>55</v>
      </c>
      <c r="F46" s="67">
        <v>1</v>
      </c>
      <c r="G46" s="39"/>
      <c r="H46" s="39">
        <f>IFERROR(F46*G46,"")</f>
        <v>0</v>
      </c>
      <c r="I46" s="40" t="s">
        <v>77</v>
      </c>
    </row>
    <row r="47" spans="1:10" ht="27.75" customHeight="1" thickBot="1">
      <c r="A47" s="53">
        <v>33</v>
      </c>
      <c r="B47" s="54" t="s">
        <v>78</v>
      </c>
      <c r="C47" s="24" t="s">
        <v>128</v>
      </c>
      <c r="D47" s="55" t="s">
        <v>209</v>
      </c>
      <c r="E47" s="56" t="s">
        <v>55</v>
      </c>
      <c r="F47" s="68">
        <v>1</v>
      </c>
      <c r="G47" s="57"/>
      <c r="H47" s="57">
        <f>IFERROR(F47*G47,"")</f>
        <v>0</v>
      </c>
      <c r="I47" s="58"/>
    </row>
    <row r="48" spans="1:10" ht="21.75" customHeight="1">
      <c r="A48" s="84" t="s">
        <v>79</v>
      </c>
      <c r="B48" s="85"/>
      <c r="C48" s="85"/>
      <c r="D48" s="85"/>
      <c r="E48" s="85"/>
      <c r="F48" s="85"/>
      <c r="G48" s="85"/>
      <c r="H48" s="59">
        <f>SUM(H5:H47)</f>
        <v>0</v>
      </c>
      <c r="I48" s="60"/>
    </row>
    <row r="49" spans="1:9" ht="21.75" customHeight="1">
      <c r="A49" s="86" t="s">
        <v>80</v>
      </c>
      <c r="B49" s="87"/>
      <c r="C49" s="87"/>
      <c r="D49" s="87"/>
      <c r="E49" s="87"/>
      <c r="F49" s="87"/>
      <c r="G49" s="87"/>
      <c r="H49" s="61">
        <f>ROUND(H48*0.09,2)</f>
        <v>0</v>
      </c>
      <c r="I49" s="43"/>
    </row>
    <row r="50" spans="1:9" ht="21.75" customHeight="1" thickBot="1">
      <c r="A50" s="88" t="s">
        <v>81</v>
      </c>
      <c r="B50" s="89"/>
      <c r="C50" s="89"/>
      <c r="D50" s="89"/>
      <c r="E50" s="89"/>
      <c r="F50" s="89"/>
      <c r="G50" s="89"/>
      <c r="H50" s="62">
        <f>H48+H49</f>
        <v>0</v>
      </c>
      <c r="I50" s="63"/>
    </row>
  </sheetData>
  <mergeCells count="14">
    <mergeCell ref="A48:G48"/>
    <mergeCell ref="A49:G49"/>
    <mergeCell ref="A50:G50"/>
    <mergeCell ref="A14:I14"/>
    <mergeCell ref="A18:I18"/>
    <mergeCell ref="A22:I22"/>
    <mergeCell ref="A31:I31"/>
    <mergeCell ref="A38:I38"/>
    <mergeCell ref="A1:I1"/>
    <mergeCell ref="A4:I4"/>
    <mergeCell ref="A9:D9"/>
    <mergeCell ref="A10:I10"/>
    <mergeCell ref="A43:I43"/>
    <mergeCell ref="I11:I12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90" t="s">
        <v>82</v>
      </c>
      <c r="B1" s="90"/>
      <c r="C1" s="90"/>
      <c r="D1" s="90"/>
      <c r="E1" s="90"/>
      <c r="F1" s="90"/>
      <c r="G1" s="90"/>
      <c r="H1" s="90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  <c r="F3" s="3" t="s">
        <v>87</v>
      </c>
      <c r="G3" s="2" t="s">
        <v>88</v>
      </c>
      <c r="H3" s="2" t="s">
        <v>4</v>
      </c>
    </row>
    <row r="4" spans="1:8" ht="15" customHeight="1">
      <c r="A4" s="4">
        <v>1</v>
      </c>
      <c r="B4" s="5" t="s">
        <v>89</v>
      </c>
      <c r="C4" s="5" t="s">
        <v>90</v>
      </c>
      <c r="D4" s="4"/>
      <c r="E4" s="4"/>
      <c r="F4" s="4">
        <v>58</v>
      </c>
      <c r="G4" s="4"/>
      <c r="H4" s="6" t="s">
        <v>91</v>
      </c>
    </row>
    <row r="5" spans="1:8" ht="15" customHeight="1">
      <c r="A5" s="7">
        <v>2</v>
      </c>
      <c r="B5" s="8" t="s">
        <v>89</v>
      </c>
      <c r="C5" s="8" t="s">
        <v>92</v>
      </c>
      <c r="D5" s="7"/>
      <c r="E5" s="7"/>
      <c r="F5" s="7">
        <v>27</v>
      </c>
      <c r="G5" s="7"/>
      <c r="H5" s="9" t="s">
        <v>91</v>
      </c>
    </row>
    <row r="6" spans="1:8" ht="15" customHeight="1">
      <c r="A6" s="7">
        <v>3</v>
      </c>
      <c r="B6" s="8" t="s">
        <v>89</v>
      </c>
      <c r="C6" s="8" t="s">
        <v>93</v>
      </c>
      <c r="D6" s="7"/>
      <c r="E6" s="7"/>
      <c r="F6" s="7">
        <v>8</v>
      </c>
      <c r="G6" s="7"/>
      <c r="H6" s="9" t="s">
        <v>91</v>
      </c>
    </row>
    <row r="7" spans="1:8" ht="15" customHeight="1">
      <c r="A7" s="7">
        <v>4</v>
      </c>
      <c r="B7" s="8" t="s">
        <v>89</v>
      </c>
      <c r="C7" s="8" t="s">
        <v>94</v>
      </c>
      <c r="D7" s="7"/>
      <c r="E7" s="7"/>
      <c r="F7" s="7">
        <v>2</v>
      </c>
      <c r="G7" s="7"/>
      <c r="H7" s="9" t="s">
        <v>91</v>
      </c>
    </row>
    <row r="8" spans="1:8" ht="15" customHeight="1">
      <c r="A8" s="7">
        <v>5</v>
      </c>
      <c r="B8" s="8" t="s">
        <v>95</v>
      </c>
      <c r="C8" s="8" t="s">
        <v>96</v>
      </c>
      <c r="D8" s="7"/>
      <c r="E8" s="7"/>
      <c r="F8" s="7"/>
      <c r="G8" s="7">
        <v>70</v>
      </c>
      <c r="H8" s="10" t="s">
        <v>97</v>
      </c>
    </row>
    <row r="9" spans="1:8" ht="15" customHeight="1">
      <c r="A9" s="7">
        <v>6</v>
      </c>
      <c r="B9" s="8" t="s">
        <v>95</v>
      </c>
      <c r="C9" s="8" t="s">
        <v>98</v>
      </c>
      <c r="D9" s="7">
        <v>58</v>
      </c>
      <c r="E9" s="7"/>
      <c r="F9" s="7"/>
      <c r="G9" s="7"/>
      <c r="H9" s="10" t="s">
        <v>99</v>
      </c>
    </row>
    <row r="10" spans="1:8" ht="15" customHeight="1">
      <c r="A10" s="7">
        <v>7</v>
      </c>
      <c r="B10" s="8" t="s">
        <v>100</v>
      </c>
      <c r="C10" s="8" t="s">
        <v>101</v>
      </c>
      <c r="D10" s="7"/>
      <c r="E10" s="7"/>
      <c r="F10" s="7">
        <v>46</v>
      </c>
      <c r="G10" s="7"/>
      <c r="H10" s="9" t="s">
        <v>91</v>
      </c>
    </row>
    <row r="11" spans="1:8" ht="15" customHeight="1">
      <c r="A11" s="7">
        <v>8</v>
      </c>
      <c r="B11" s="8" t="s">
        <v>102</v>
      </c>
      <c r="C11" s="8" t="s">
        <v>103</v>
      </c>
      <c r="D11" s="7">
        <v>3</v>
      </c>
      <c r="E11" s="7"/>
      <c r="F11" s="7">
        <v>44</v>
      </c>
      <c r="G11" s="7"/>
      <c r="H11" s="10" t="s">
        <v>104</v>
      </c>
    </row>
    <row r="12" spans="1:8" ht="15" customHeight="1">
      <c r="A12" s="7">
        <v>9</v>
      </c>
      <c r="B12" s="11" t="s">
        <v>105</v>
      </c>
      <c r="C12" s="8" t="s">
        <v>106</v>
      </c>
      <c r="D12" s="7"/>
      <c r="E12" s="7"/>
      <c r="F12" s="7">
        <v>8</v>
      </c>
      <c r="G12" s="7"/>
      <c r="H12" s="9" t="s">
        <v>91</v>
      </c>
    </row>
    <row r="13" spans="1:8" ht="15" customHeight="1">
      <c r="A13" s="7">
        <v>10</v>
      </c>
      <c r="B13" s="8" t="s">
        <v>107</v>
      </c>
      <c r="C13" s="8" t="s">
        <v>108</v>
      </c>
      <c r="D13" s="7"/>
      <c r="E13" s="7"/>
      <c r="F13" s="7"/>
      <c r="G13" s="7">
        <v>10</v>
      </c>
      <c r="H13" s="10" t="s">
        <v>109</v>
      </c>
    </row>
    <row r="14" spans="1:8" ht="15" customHeight="1">
      <c r="A14" s="7">
        <v>11</v>
      </c>
      <c r="B14" s="8" t="s">
        <v>107</v>
      </c>
      <c r="C14" s="8" t="s">
        <v>110</v>
      </c>
      <c r="D14" s="7"/>
      <c r="E14" s="7"/>
      <c r="F14" s="7"/>
      <c r="G14" s="7">
        <v>4</v>
      </c>
      <c r="H14" s="10" t="s">
        <v>109</v>
      </c>
    </row>
    <row r="15" spans="1:8" ht="15" customHeight="1">
      <c r="A15" s="7">
        <v>12</v>
      </c>
      <c r="B15" s="8" t="s">
        <v>107</v>
      </c>
      <c r="C15" s="8" t="s">
        <v>111</v>
      </c>
      <c r="D15" s="7"/>
      <c r="E15" s="7"/>
      <c r="F15" s="7"/>
      <c r="G15" s="7">
        <v>2</v>
      </c>
      <c r="H15" s="10" t="s">
        <v>109</v>
      </c>
    </row>
    <row r="16" spans="1:8" ht="15" customHeight="1">
      <c r="A16" s="7">
        <v>13</v>
      </c>
      <c r="B16" s="8" t="s">
        <v>107</v>
      </c>
      <c r="C16" s="8" t="s">
        <v>112</v>
      </c>
      <c r="D16" s="7"/>
      <c r="E16" s="7"/>
      <c r="F16" s="7"/>
      <c r="G16" s="7">
        <v>6</v>
      </c>
      <c r="H16" s="10" t="s">
        <v>109</v>
      </c>
    </row>
    <row r="17" spans="1:8" ht="24" customHeight="1">
      <c r="A17" s="7">
        <v>14</v>
      </c>
      <c r="B17" s="8" t="s">
        <v>113</v>
      </c>
      <c r="C17" s="8" t="s">
        <v>114</v>
      </c>
      <c r="D17" s="7">
        <v>41</v>
      </c>
      <c r="E17" s="7"/>
      <c r="F17" s="7"/>
      <c r="G17" s="7"/>
      <c r="H17" s="66" t="s">
        <v>197</v>
      </c>
    </row>
    <row r="18" spans="1:8" ht="15" customHeight="1">
      <c r="A18" s="7">
        <v>15</v>
      </c>
      <c r="B18" s="8" t="s">
        <v>115</v>
      </c>
      <c r="C18" s="8" t="s">
        <v>116</v>
      </c>
      <c r="D18" s="7"/>
      <c r="E18" s="7">
        <v>44</v>
      </c>
      <c r="F18" s="7"/>
      <c r="G18" s="7"/>
      <c r="H18" s="10" t="s">
        <v>117</v>
      </c>
    </row>
    <row r="19" spans="1:8" ht="15" customHeight="1">
      <c r="A19" s="12" t="s">
        <v>118</v>
      </c>
      <c r="B19" s="91" t="s">
        <v>119</v>
      </c>
      <c r="C19" s="91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2026-09-01T10:48:21Z</dcterms:modified>
  <dc:language>en-US</dc:language>
</cp:coreProperties>
</file>