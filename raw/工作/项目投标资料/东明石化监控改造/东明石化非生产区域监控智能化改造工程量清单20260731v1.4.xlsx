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/>
  <mc:AlternateContent xmlns:mc="http://schemas.openxmlformats.org/markup-compatibility/2006">
    <mc:Choice Requires="x15">
      <x15ac:absPath xmlns:x15ac="http://schemas.microsoft.com/office/spreadsheetml/2010/11/ac" url="/Users/teddy/Desktop/PengWang/Peng Wang/Quotation/2026/"/>
    </mc:Choice>
  </mc:AlternateContent>
  <xr:revisionPtr revIDLastSave="0" documentId="8_{404A924C-3E23-694A-ADDD-2A71F3ACA5AD}" xr6:coauthVersionLast="38" xr6:coauthVersionMax="38" xr10:uidLastSave="{00000000-0000-0000-0000-000000000000}"/>
  <bookViews>
    <workbookView xWindow="0" yWindow="0" windowWidth="25600" windowHeight="16000" tabRatio="500" xr2:uid="{00000000-000D-0000-FFFF-FFFF00000000}"/>
  </bookViews>
  <sheets>
    <sheet name="工程量清单" sheetId="1" r:id="rId1"/>
    <sheet name="摄像机点位明细" sheetId="2" r:id="rId2"/>
  </sheets>
  <definedNames>
    <definedName name="_xlnm.Print_Titles" localSheetId="0">工程量清单!$4:$4</definedName>
  </definedNames>
  <calcPr calcId="179021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2" l="1"/>
  <c r="F19" i="2"/>
  <c r="E19" i="2"/>
  <c r="D19" i="2"/>
  <c r="I51" i="1"/>
  <c r="I50" i="1"/>
  <c r="I49" i="1"/>
  <c r="I48" i="1"/>
  <c r="I46" i="1"/>
  <c r="I45" i="1"/>
  <c r="I44" i="1"/>
  <c r="I43" i="1"/>
  <c r="I41" i="1"/>
  <c r="I40" i="1"/>
  <c r="I39" i="1"/>
  <c r="I38" i="1"/>
  <c r="I37" i="1"/>
  <c r="I36" i="1"/>
  <c r="I35" i="1"/>
  <c r="I34" i="1"/>
  <c r="I33" i="1"/>
  <c r="I32" i="1"/>
  <c r="I30" i="1"/>
  <c r="I29" i="1"/>
  <c r="I28" i="1"/>
  <c r="I27" i="1"/>
  <c r="I26" i="1"/>
  <c r="I25" i="1"/>
  <c r="I24" i="1"/>
  <c r="I23" i="1"/>
  <c r="I21" i="1"/>
  <c r="I20" i="1"/>
  <c r="I19" i="1"/>
  <c r="I17" i="1"/>
  <c r="I16" i="1"/>
  <c r="I15" i="1"/>
  <c r="I13" i="1"/>
  <c r="I12" i="1"/>
  <c r="F10" i="1"/>
  <c r="I9" i="1"/>
  <c r="I8" i="1"/>
  <c r="I7" i="1"/>
  <c r="I6" i="1"/>
  <c r="I52" i="1" l="1"/>
</calcChain>
</file>

<file path=xl/sharedStrings.xml><?xml version="1.0" encoding="utf-8"?>
<sst xmlns="http://schemas.openxmlformats.org/spreadsheetml/2006/main" count="302" uniqueCount="207">
  <si>
    <t>序号</t>
  </si>
  <si>
    <t>设备/材料名称</t>
  </si>
  <si>
    <t>品牌/型号</t>
  </si>
  <si>
    <t>主要技术参数 / 规格</t>
  </si>
  <si>
    <t>单位</t>
  </si>
  <si>
    <t>数量</t>
  </si>
  <si>
    <t>性质</t>
  </si>
  <si>
    <t>单价(元)</t>
  </si>
  <si>
    <t>合价(元)</t>
  </si>
  <si>
    <t>备注</t>
  </si>
  <si>
    <t>一、前端采集设备</t>
  </si>
  <si>
    <t>网络高清枪型摄像机（周界补盲）</t>
  </si>
  <si>
    <t>海康威视
DS-2CD5A4HJX-SZBZ</t>
  </si>
  <si>
    <r>
      <rPr>
        <sz val="8.5"/>
        <rFont val="宋体"/>
        <family val="3"/>
        <charset val="134"/>
      </rPr>
      <t>≥1/1.8"</t>
    </r>
    <r>
      <rPr>
        <sz val="8.5"/>
        <rFont val="Noto Sans CJK SC"/>
        <family val="2"/>
      </rPr>
      <t>靶面，</t>
    </r>
    <r>
      <rPr>
        <sz val="8.5"/>
        <rFont val="宋体"/>
        <family val="3"/>
        <charset val="134"/>
      </rPr>
      <t>F1.0</t>
    </r>
    <r>
      <rPr>
        <sz val="8.5"/>
        <rFont val="Noto Sans CJK SC"/>
        <family val="2"/>
      </rPr>
      <t>光圈，内置</t>
    </r>
    <r>
      <rPr>
        <sz val="8.5"/>
        <rFont val="宋体"/>
        <family val="3"/>
        <charset val="134"/>
      </rPr>
      <t>GPU</t>
    </r>
    <r>
      <rPr>
        <sz val="8.5"/>
        <rFont val="Noto Sans CJK SC"/>
        <family val="2"/>
      </rPr>
      <t>芯片
最低照度彩色</t>
    </r>
    <r>
      <rPr>
        <sz val="8.5"/>
        <rFont val="宋体"/>
        <family val="3"/>
        <charset val="134"/>
      </rPr>
      <t>0.0014lx</t>
    </r>
    <r>
      <rPr>
        <sz val="8.5"/>
        <rFont val="Noto Sans CJK SC"/>
        <family val="2"/>
      </rPr>
      <t>，环境变暗自动开启白光补光，全天候输出彩色图像
中心水平分辨率≥</t>
    </r>
    <r>
      <rPr>
        <sz val="8.5"/>
        <rFont val="宋体"/>
        <family val="3"/>
        <charset val="134"/>
      </rPr>
      <t>1500</t>
    </r>
    <r>
      <rPr>
        <sz val="8.5"/>
        <rFont val="Noto Sans CJK SC"/>
        <family val="2"/>
      </rPr>
      <t>线（</t>
    </r>
    <r>
      <rPr>
        <sz val="8.5"/>
        <rFont val="宋体"/>
        <family val="3"/>
        <charset val="134"/>
      </rPr>
      <t>2688×1520</t>
    </r>
    <r>
      <rPr>
        <sz val="8.5"/>
        <rFont val="Noto Sans CJK SC"/>
        <family val="2"/>
      </rPr>
      <t>）
内置</t>
    </r>
    <r>
      <rPr>
        <sz val="8.5"/>
        <rFont val="宋体"/>
        <family val="3"/>
        <charset val="134"/>
      </rPr>
      <t>8GB</t>
    </r>
    <r>
      <rPr>
        <sz val="8.5"/>
        <rFont val="Noto Sans CJK SC"/>
        <family val="2"/>
      </rPr>
      <t>大模型算法芯片，识别人员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机动车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动物，可抑制树叶、光影等误报
水平视场角≥</t>
    </r>
    <r>
      <rPr>
        <sz val="8.5"/>
        <rFont val="宋体"/>
        <family val="3"/>
        <charset val="134"/>
      </rPr>
      <t>90°</t>
    </r>
    <r>
      <rPr>
        <sz val="8.5"/>
        <rFont val="Noto Sans CJK SC"/>
        <family val="2"/>
      </rPr>
      <t>时可检测</t>
    </r>
    <r>
      <rPr>
        <sz val="8.5"/>
        <rFont val="宋体"/>
        <family val="3"/>
        <charset val="134"/>
      </rPr>
      <t>60m</t>
    </r>
    <r>
      <rPr>
        <sz val="8.5"/>
        <rFont val="Noto Sans CJK SC"/>
        <family val="2"/>
      </rPr>
      <t>处行人、</t>
    </r>
    <r>
      <rPr>
        <sz val="8.5"/>
        <rFont val="宋体"/>
        <family val="3"/>
        <charset val="134"/>
      </rPr>
      <t>70m</t>
    </r>
    <r>
      <rPr>
        <sz val="8.5"/>
        <rFont val="Noto Sans CJK SC"/>
        <family val="2"/>
      </rPr>
      <t>处机动车
鳞镜式补光（正面不可见灯珠、无亮斑），耀光抑制≤</t>
    </r>
    <r>
      <rPr>
        <sz val="8.5"/>
        <rFont val="宋体"/>
        <family val="3"/>
        <charset val="134"/>
      </rPr>
      <t xml:space="preserve">1%
</t>
    </r>
    <r>
      <rPr>
        <sz val="8.5"/>
        <rFont val="Noto Sans CJK SC"/>
        <family val="2"/>
      </rPr>
      <t>低温低气压适应（</t>
    </r>
    <r>
      <rPr>
        <sz val="8.5"/>
        <rFont val="宋体"/>
        <family val="3"/>
        <charset val="134"/>
      </rPr>
      <t>-45℃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70kPa</t>
    </r>
    <r>
      <rPr>
        <sz val="8.5"/>
        <rFont val="Noto Sans CJK SC"/>
        <family val="2"/>
      </rPr>
      <t>），防护等级</t>
    </r>
    <r>
      <rPr>
        <sz val="8.5"/>
        <rFont val="宋体"/>
        <family val="3"/>
        <charset val="134"/>
      </rPr>
      <t xml:space="preserve">IP67
</t>
    </r>
    <r>
      <rPr>
        <sz val="8.5"/>
        <rFont val="Noto Sans CJK SC"/>
        <family val="2"/>
      </rPr>
      <t>接口：</t>
    </r>
    <r>
      <rPr>
        <sz val="8.5"/>
        <rFont val="宋体"/>
        <family val="3"/>
        <charset val="134"/>
      </rPr>
      <t>RS485×1</t>
    </r>
    <r>
      <rPr>
        <sz val="8.5"/>
        <rFont val="Noto Sans CJK SC"/>
        <family val="2"/>
      </rPr>
      <t>、报警输入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输出各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、音频输入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输出各</t>
    </r>
    <r>
      <rPr>
        <sz val="8.5"/>
        <rFont val="宋体"/>
        <family val="3"/>
        <charset val="134"/>
      </rPr>
      <t>1</t>
    </r>
  </si>
  <si>
    <t>台</t>
  </si>
  <si>
    <t>新增</t>
  </si>
  <si>
    <t>华汪围墙周界补盲</t>
  </si>
  <si>
    <t>东明港运围墙/重点设备</t>
  </si>
  <si>
    <t>宽动态卡口/枪型摄像机（门岗补盲）</t>
  </si>
  <si>
    <t>海康威视
DS-2CD7T4HJX-SZBZ</t>
  </si>
  <si>
    <r>
      <rPr>
        <sz val="8.5"/>
        <rFont val="宋体"/>
        <family val="3"/>
        <charset val="134"/>
      </rPr>
      <t>≥1/1.8"</t>
    </r>
    <r>
      <rPr>
        <sz val="8.5"/>
        <rFont val="Noto Sans CJK SC"/>
        <family val="2"/>
      </rPr>
      <t>靶面，</t>
    </r>
    <r>
      <rPr>
        <sz val="8.5"/>
        <rFont val="宋体"/>
        <family val="3"/>
        <charset val="134"/>
      </rPr>
      <t>F1.0</t>
    </r>
    <r>
      <rPr>
        <sz val="8.5"/>
        <rFont val="Noto Sans CJK SC"/>
        <family val="2"/>
      </rPr>
      <t>光圈，内置</t>
    </r>
    <r>
      <rPr>
        <sz val="8.5"/>
        <rFont val="宋体"/>
        <family val="3"/>
        <charset val="134"/>
      </rPr>
      <t>GPU</t>
    </r>
    <r>
      <rPr>
        <sz val="8.5"/>
        <rFont val="Noto Sans CJK SC"/>
        <family val="2"/>
      </rPr>
      <t>芯片
分辨率≥</t>
    </r>
    <r>
      <rPr>
        <sz val="8.5"/>
        <rFont val="宋体"/>
        <family val="3"/>
        <charset val="134"/>
      </rPr>
      <t>2560×1440@25fps</t>
    </r>
    <r>
      <rPr>
        <sz val="8.5"/>
        <rFont val="Noto Sans CJK SC"/>
        <family val="2"/>
      </rPr>
      <t>，分辨力≥</t>
    </r>
    <r>
      <rPr>
        <sz val="8.5"/>
        <rFont val="宋体"/>
        <family val="3"/>
        <charset val="134"/>
      </rPr>
      <t xml:space="preserve">1500TVL
</t>
    </r>
    <r>
      <rPr>
        <sz val="8.5"/>
        <rFont val="Noto Sans CJK SC"/>
        <family val="2"/>
      </rPr>
      <t>最低照度彩色</t>
    </r>
    <r>
      <rPr>
        <sz val="8.5"/>
        <rFont val="宋体"/>
        <family val="3"/>
        <charset val="134"/>
      </rPr>
      <t>0.0002lx</t>
    </r>
    <r>
      <rPr>
        <sz val="8.5"/>
        <rFont val="Noto Sans CJK SC"/>
        <family val="2"/>
      </rPr>
      <t>、黑白</t>
    </r>
    <r>
      <rPr>
        <sz val="8.5"/>
        <rFont val="宋体"/>
        <family val="3"/>
        <charset val="134"/>
      </rPr>
      <t xml:space="preserve">0.0001lx
</t>
    </r>
    <r>
      <rPr>
        <sz val="8.5"/>
        <rFont val="Noto Sans CJK SC"/>
        <family val="2"/>
      </rPr>
      <t>支持</t>
    </r>
    <r>
      <rPr>
        <sz val="8.5"/>
        <rFont val="宋体"/>
        <family val="3"/>
        <charset val="134"/>
      </rPr>
      <t>H.264/H.265/MJPEG</t>
    </r>
    <r>
      <rPr>
        <sz val="8.5"/>
        <rFont val="Noto Sans CJK SC"/>
        <family val="2"/>
      </rPr>
      <t>，具</t>
    </r>
    <r>
      <rPr>
        <sz val="8.5"/>
        <rFont val="宋体"/>
        <family val="3"/>
        <charset val="134"/>
      </rPr>
      <t>High Profile</t>
    </r>
    <r>
      <rPr>
        <sz val="8.5"/>
        <rFont val="Noto Sans CJK SC"/>
        <family val="2"/>
      </rPr>
      <t>编码
人脸抓拍（瞳距≥</t>
    </r>
    <r>
      <rPr>
        <sz val="8.5"/>
        <rFont val="宋体"/>
        <family val="3"/>
        <charset val="134"/>
      </rPr>
      <t>40px</t>
    </r>
    <r>
      <rPr>
        <sz val="8.5"/>
        <rFont val="Noto Sans CJK SC"/>
        <family val="2"/>
      </rPr>
      <t>）、侧脸过滤、多区域人数统计
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区域入侵报警，联动声音报警与白光闪烁
内置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麦克风</t>
    </r>
    <r>
      <rPr>
        <sz val="8.5"/>
        <rFont val="宋体"/>
        <family val="3"/>
        <charset val="134"/>
      </rPr>
      <t>+1</t>
    </r>
    <r>
      <rPr>
        <sz val="8.5"/>
        <rFont val="Noto Sans CJK SC"/>
        <family val="2"/>
      </rPr>
      <t>扬声器；鳞镜式补光；防护等级</t>
    </r>
    <r>
      <rPr>
        <sz val="8.5"/>
        <rFont val="宋体"/>
        <family val="3"/>
        <charset val="134"/>
      </rPr>
      <t>IP67</t>
    </r>
  </si>
  <si>
    <t>润华实业各门岗</t>
  </si>
  <si>
    <t>网络摄像机（老旧更换）</t>
  </si>
  <si>
    <t>海康威视
DS-2CD2T4HJX-SZBZ</t>
  </si>
  <si>
    <r>
      <rPr>
        <sz val="8.5"/>
        <rFont val="宋体"/>
        <family val="3"/>
        <charset val="134"/>
      </rPr>
      <t>≥1/1.8"</t>
    </r>
    <r>
      <rPr>
        <sz val="8.5"/>
        <rFont val="Noto Sans CJK SC"/>
        <family val="2"/>
      </rPr>
      <t>靶面，光圈≥</t>
    </r>
    <r>
      <rPr>
        <sz val="8.5"/>
        <rFont val="宋体"/>
        <family val="3"/>
        <charset val="134"/>
      </rPr>
      <t>F1.0</t>
    </r>
    <r>
      <rPr>
        <sz val="8.5"/>
        <rFont val="Noto Sans CJK SC"/>
        <family val="2"/>
      </rPr>
      <t>，</t>
    </r>
    <r>
      <rPr>
        <sz val="8.5"/>
        <rFont val="宋体"/>
        <family val="3"/>
        <charset val="134"/>
      </rPr>
      <t>CPU/GPU/NPU</t>
    </r>
    <r>
      <rPr>
        <sz val="8.5"/>
        <rFont val="Noto Sans CJK SC"/>
        <family val="2"/>
      </rPr>
      <t>三合一芯片
输出分辨率≥</t>
    </r>
    <r>
      <rPr>
        <sz val="8.5"/>
        <rFont val="宋体"/>
        <family val="3"/>
        <charset val="134"/>
      </rPr>
      <t xml:space="preserve">2560×1440
</t>
    </r>
    <r>
      <rPr>
        <sz val="8.5"/>
        <rFont val="Noto Sans CJK SC"/>
        <family val="2"/>
      </rPr>
      <t>日夜场景自适应，全天候彩色，夜间清晰度≥白天</t>
    </r>
    <r>
      <rPr>
        <sz val="8.5"/>
        <rFont val="宋体"/>
        <family val="3"/>
        <charset val="134"/>
      </rPr>
      <t>95%
AI-ISP</t>
    </r>
    <r>
      <rPr>
        <sz val="8.5"/>
        <rFont val="Noto Sans CJK SC"/>
        <family val="2"/>
      </rPr>
      <t>图像增强；复眼式柔光补光，低照下识别</t>
    </r>
    <r>
      <rPr>
        <sz val="8.5"/>
        <rFont val="宋体"/>
        <family val="3"/>
        <charset val="134"/>
      </rPr>
      <t>30m</t>
    </r>
    <r>
      <rPr>
        <sz val="8.5"/>
        <rFont val="Noto Sans CJK SC"/>
        <family val="2"/>
      </rPr>
      <t>人体轮廓
支持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编码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大模型编码，同场景较</t>
    </r>
    <r>
      <rPr>
        <sz val="8.5"/>
        <rFont val="宋体"/>
        <family val="3"/>
        <charset val="134"/>
      </rPr>
      <t>H.265</t>
    </r>
    <r>
      <rPr>
        <sz val="8.5"/>
        <rFont val="Noto Sans CJK SC"/>
        <family val="2"/>
      </rPr>
      <t>码率节省≥</t>
    </r>
    <r>
      <rPr>
        <sz val="8.5"/>
        <rFont val="宋体"/>
        <family val="3"/>
        <charset val="134"/>
      </rPr>
      <t xml:space="preserve">50%
</t>
    </r>
    <r>
      <rPr>
        <sz val="8.5"/>
        <rFont val="Noto Sans CJK SC"/>
        <family val="2"/>
      </rPr>
      <t xml:space="preserve">支持智能文搜（上传目标图片及出现时间、类别、位置）
</t>
    </r>
    <r>
      <rPr>
        <sz val="8.5"/>
        <rFont val="宋体"/>
        <family val="3"/>
        <charset val="134"/>
      </rPr>
      <t>DC12V</t>
    </r>
    <r>
      <rPr>
        <sz val="8.5"/>
        <rFont val="Noto Sans CJK SC"/>
        <family val="2"/>
      </rPr>
      <t>供电</t>
    </r>
  </si>
  <si>
    <t>各区域老旧点位，以勘查为准</t>
  </si>
  <si>
    <t>前端摄像机小计</t>
  </si>
  <si>
    <t>二、智能分析设备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</si>
  <si>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边缘算力分析服务器</t>
    </r>
  </si>
  <si>
    <t>海康威视
iDS-8664NX-I9/X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</si>
  <si>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盘位存算一体边缘计算主机，内置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引擎
存储：</t>
    </r>
    <r>
      <rPr>
        <sz val="8.5"/>
        <rFont val="宋体"/>
        <family val="3"/>
        <charset val="134"/>
      </rPr>
      <t>9×SATA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16TB</t>
    </r>
    <r>
      <rPr>
        <sz val="8.5"/>
        <rFont val="Noto Sans CJK SC"/>
        <family val="2"/>
      </rPr>
      <t>），支持热插拔及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RJ45</t>
    </r>
    <r>
      <rPr>
        <sz val="8.5"/>
        <rFont val="Noto Sans CJK SC"/>
        <family val="2"/>
      </rPr>
      <t>；视频</t>
    </r>
    <r>
      <rPr>
        <sz val="8.5"/>
        <rFont val="宋体"/>
        <family val="3"/>
        <charset val="134"/>
      </rPr>
      <t>2×HDMI+2×VGA</t>
    </r>
    <r>
      <rPr>
        <sz val="8.5"/>
        <rFont val="Noto Sans CJK SC"/>
        <family val="2"/>
      </rPr>
      <t>；报警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出；</t>
    </r>
    <r>
      <rPr>
        <sz val="8.5"/>
        <rFont val="宋体"/>
        <family val="3"/>
        <charset val="134"/>
      </rPr>
      <t xml:space="preserve">RS-232/485
</t>
    </r>
    <r>
      <rPr>
        <sz val="8.5"/>
        <rFont val="Noto Sans CJK SC"/>
        <family val="2"/>
      </rPr>
      <t>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>32×1080P</t>
    </r>
    <r>
      <rPr>
        <sz val="8.5"/>
        <rFont val="Noto Sans CJK SC"/>
        <family val="2"/>
      </rPr>
      <t>，输入带宽</t>
    </r>
    <r>
      <rPr>
        <sz val="8.5"/>
        <rFont val="宋体"/>
        <family val="3"/>
        <charset val="134"/>
      </rPr>
      <t xml:space="preserve">384Mbps
</t>
    </r>
    <r>
      <rPr>
        <sz val="8.5"/>
        <rFont val="Noto Sans CJK SC"/>
        <family val="2"/>
      </rPr>
      <t>智能模式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选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：目标识别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周界防范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周界大模型二次分析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视频结构化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高空抛物
智能文搜：开放式语义检索、秒级响应
周界防范：单引擎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2MP</t>
    </r>
    <r>
      <rPr>
        <sz val="8.5"/>
        <rFont val="Noto Sans CJK SC"/>
        <family val="2"/>
      </rPr>
      <t>，支持大模型二次分析
视频结构化：人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车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非机动车抓拍、车牌识别与车牌库报警</t>
    </r>
  </si>
  <si>
    <t>承载193路AI分析，按32路/台配置含20%余量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</si>
  <si>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行为分析算法授权</t>
    </r>
  </si>
  <si>
    <t>海康威视
（随服务器/按路授权）</t>
  </si>
  <si>
    <t>周界入侵、越线报警等行为分析算法，按路授权，报警统一接入平台</t>
  </si>
  <si>
    <t>路</t>
  </si>
  <si>
    <t>对应需AI升级摄像机193台</t>
  </si>
  <si>
    <t>三、平台与软件</t>
  </si>
  <si>
    <t>平台服务器</t>
  </si>
  <si>
    <t>海康威视
DS-VM22R-CL/R2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</si>
  <si>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</si>
  <si>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rPr>
        <sz val="9"/>
        <color rgb="FF595959"/>
        <rFont val="宋体"/>
        <family val="3"/>
        <charset val="134"/>
      </rPr>
      <t>ISC</t>
    </r>
    <r>
      <rPr>
        <sz val="9"/>
        <color rgb="FF595959"/>
        <rFont val="Noto Sans CJK SC"/>
        <family val="2"/>
      </rPr>
      <t>平台服务器</t>
    </r>
    <r>
      <rPr>
        <sz val="9"/>
        <color rgb="FF595959"/>
        <rFont val="宋体"/>
        <family val="3"/>
        <charset val="134"/>
      </rPr>
      <t>3</t>
    </r>
    <r>
      <rPr>
        <sz val="9"/>
        <color rgb="FF595959"/>
        <rFont val="Noto Sans CJK SC"/>
        <family val="2"/>
      </rPr>
      <t>台，运维平台服务器</t>
    </r>
    <r>
      <rPr>
        <sz val="9"/>
        <color rgb="FF595959"/>
        <rFont val="宋体"/>
        <family val="3"/>
        <charset val="134"/>
      </rPr>
      <t>1</t>
    </r>
    <r>
      <rPr>
        <sz val="9"/>
        <color rgb="FF595959"/>
        <rFont val="Noto Sans CJK SC"/>
        <family val="2"/>
      </rPr>
      <t>台（全新采购，不利旧）</t>
    </r>
  </si>
  <si>
    <t>视频及报警接入授权</t>
  </si>
  <si>
    <t>海康威视
（软件授权）</t>
  </si>
  <si>
    <t>视频+报警接入授权，新增≥3000路，含扩展余量</t>
  </si>
  <si>
    <t>全新采购，不利旧</t>
  </si>
  <si>
    <t>时钟同步服务器（NTP）</t>
  </si>
  <si>
    <t>（待选型）</t>
  </si>
  <si>
    <r>
      <rPr>
        <sz val="8.5"/>
        <color rgb="FF000000"/>
        <rFont val="宋体"/>
        <family val="3"/>
        <charset val="134"/>
      </rPr>
      <t>NTP/GPS·</t>
    </r>
    <r>
      <rPr>
        <sz val="8.5"/>
        <color rgb="FF000000"/>
        <rFont val="Noto Sans CJK SC"/>
        <family val="2"/>
      </rPr>
      <t>北斗统一授时，为管理平台、</t>
    </r>
    <r>
      <rPr>
        <sz val="8.5"/>
        <color rgb="FF000000"/>
        <rFont val="宋体"/>
        <family val="3"/>
        <charset val="134"/>
      </rPr>
      <t>NVR</t>
    </r>
    <r>
      <rPr>
        <sz val="8.5"/>
        <color rgb="FF000000"/>
        <rFont val="Noto Sans CJK SC"/>
        <family val="2"/>
      </rPr>
      <t>及前端设备提供统一时间基准，保证录像与报警时序一致，满足等保要求</t>
    </r>
  </si>
  <si>
    <t>新增，规格以深化设计为准</t>
  </si>
  <si>
    <t>四、存储设备</t>
  </si>
  <si>
    <t>网络硬盘录像机（32路）</t>
  </si>
  <si>
    <t>海康威视
DS-8632NX-K9/Pro</t>
  </si>
  <si>
    <r>
      <rPr>
        <sz val="8.5"/>
        <rFont val="宋体"/>
        <family val="3"/>
        <charset val="134"/>
      </rPr>
      <t>2U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12TB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24×1080P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256Mbps/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160Mbps
</t>
    </r>
    <r>
      <rPr>
        <sz val="8.5"/>
        <rFont val="Noto Sans CJK SC"/>
        <family val="2"/>
      </rPr>
      <t>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 xml:space="preserve">2×HDMI+2×VGA
</t>
    </r>
    <r>
      <rPr>
        <sz val="8.5"/>
        <rFont val="Noto Sans CJK SC"/>
        <family val="2"/>
      </rPr>
      <t>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32</t>
    </r>
    <r>
      <rPr>
        <sz val="8.5"/>
        <rFont val="Noto Sans CJK SC"/>
        <family val="2"/>
      </rPr>
      <t>路）、目标识别
报警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入</t>
    </r>
    <r>
      <rPr>
        <sz val="8.5"/>
        <rFont val="宋体"/>
        <family val="3"/>
        <charset val="134"/>
      </rPr>
      <t>9</t>
    </r>
    <r>
      <rPr>
        <sz val="8.5"/>
        <rFont val="Noto Sans CJK SC"/>
        <family val="2"/>
      </rPr>
      <t>出，</t>
    </r>
    <r>
      <rPr>
        <sz val="8.5"/>
        <rFont val="宋体"/>
        <family val="3"/>
        <charset val="134"/>
      </rPr>
      <t>RS-232/485</t>
    </r>
    <r>
      <rPr>
        <sz val="8.5"/>
        <rFont val="Noto Sans CJK SC"/>
        <family val="2"/>
      </rPr>
      <t>，</t>
    </r>
    <r>
      <rPr>
        <sz val="8.5"/>
        <rFont val="宋体"/>
        <family val="3"/>
        <charset val="134"/>
      </rPr>
      <t>eSATA</t>
    </r>
    <r>
      <rPr>
        <sz val="8.5"/>
        <rFont val="Noto Sans CJK SC"/>
        <family val="2"/>
      </rPr>
      <t>扩展</t>
    </r>
  </si>
  <si>
    <t>满足90天录像，预留10%余量；不含硬盘</t>
  </si>
  <si>
    <t>网络硬盘录像机（64路）</t>
  </si>
  <si>
    <t>海康威视
DS-8664NX-I16/Pro</t>
  </si>
  <si>
    <r>
      <rPr>
        <sz val="8.5"/>
        <rFont val="宋体"/>
        <family val="3"/>
        <charset val="134"/>
      </rPr>
      <t>3U</t>
    </r>
    <r>
      <rPr>
        <sz val="8.5"/>
        <rFont val="Noto Sans CJK SC"/>
        <family val="2"/>
      </rPr>
      <t>机架</t>
    </r>
    <r>
      <rPr>
        <sz val="8.5"/>
        <rFont val="宋体"/>
        <family val="3"/>
        <charset val="134"/>
      </rPr>
      <t>16</t>
    </r>
    <r>
      <rPr>
        <sz val="8.5"/>
        <rFont val="Noto Sans CJK SC"/>
        <family val="2"/>
      </rPr>
      <t>盘位嵌入式</t>
    </r>
    <r>
      <rPr>
        <sz val="8.5"/>
        <rFont val="宋体"/>
        <family val="3"/>
        <charset val="134"/>
      </rPr>
      <t>NVR</t>
    </r>
    <r>
      <rPr>
        <sz val="8.5"/>
        <rFont val="Noto Sans CJK SC"/>
        <family val="2"/>
      </rPr>
      <t>（可满配</t>
    </r>
    <r>
      <rPr>
        <sz val="8.5"/>
        <rFont val="宋体"/>
        <family val="3"/>
        <charset val="134"/>
      </rPr>
      <t>20TB</t>
    </r>
    <r>
      <rPr>
        <sz val="8.5"/>
        <rFont val="Noto Sans CJK SC"/>
        <family val="2"/>
      </rPr>
      <t>）
接入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</t>
    </r>
    <r>
      <rPr>
        <sz val="8.5"/>
        <rFont val="宋体"/>
        <family val="3"/>
        <charset val="134"/>
      </rPr>
      <t>H.264/H.265</t>
    </r>
    <r>
      <rPr>
        <sz val="8.5"/>
        <rFont val="Noto Sans CJK SC"/>
        <family val="2"/>
      </rPr>
      <t>，最大解码</t>
    </r>
    <r>
      <rPr>
        <sz val="8.5"/>
        <rFont val="宋体"/>
        <family val="3"/>
        <charset val="134"/>
      </rPr>
      <t xml:space="preserve">48×1080P
</t>
    </r>
    <r>
      <rPr>
        <sz val="8.5"/>
        <rFont val="Noto Sans CJK SC"/>
        <family val="2"/>
      </rPr>
      <t>输入带宽</t>
    </r>
    <r>
      <rPr>
        <sz val="8.5"/>
        <rFont val="宋体"/>
        <family val="3"/>
        <charset val="134"/>
      </rPr>
      <t>512Mbps</t>
    </r>
    <r>
      <rPr>
        <sz val="8.5"/>
        <rFont val="Noto Sans CJK SC"/>
        <family val="2"/>
      </rPr>
      <t>（开</t>
    </r>
    <r>
      <rPr>
        <sz val="8.5"/>
        <rFont val="宋体"/>
        <family val="3"/>
        <charset val="134"/>
      </rPr>
      <t>RAID</t>
    </r>
    <r>
      <rPr>
        <sz val="8.5"/>
        <rFont val="Noto Sans CJK SC"/>
        <family val="2"/>
      </rPr>
      <t>为</t>
    </r>
    <r>
      <rPr>
        <sz val="8.5"/>
        <rFont val="宋体"/>
        <family val="3"/>
        <charset val="134"/>
      </rPr>
      <t>256</t>
    </r>
    <r>
      <rPr>
        <sz val="8.5"/>
        <rFont val="Noto Sans CJK SC"/>
        <family val="2"/>
      </rPr>
      <t>）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</t>
    </r>
    <r>
      <rPr>
        <sz val="8.5"/>
        <rFont val="宋体"/>
        <family val="3"/>
        <charset val="134"/>
      </rPr>
      <t xml:space="preserve">256Mbps
</t>
    </r>
    <r>
      <rPr>
        <sz val="8.5"/>
        <rFont val="Noto Sans CJK SC"/>
        <family val="2"/>
      </rPr>
      <t>支持</t>
    </r>
    <r>
      <rPr>
        <sz val="8.5"/>
        <rFont val="宋体"/>
        <family val="3"/>
        <charset val="134"/>
      </rPr>
      <t>RAID0/1/5/6/10+</t>
    </r>
    <r>
      <rPr>
        <sz val="8.5"/>
        <rFont val="Noto Sans CJK SC"/>
        <family val="2"/>
      </rPr>
      <t>全局热备（与智能应用互斥）
内置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，支持以文搜图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以图搜图（各</t>
    </r>
    <r>
      <rPr>
        <sz val="8.5"/>
        <rFont val="宋体"/>
        <family val="3"/>
        <charset val="134"/>
      </rPr>
      <t>64</t>
    </r>
    <r>
      <rPr>
        <sz val="8.5"/>
        <rFont val="Noto Sans CJK SC"/>
        <family val="2"/>
      </rPr>
      <t>路）、目标识别
网络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千兆，视频</t>
    </r>
    <r>
      <rPr>
        <sz val="8.5"/>
        <rFont val="宋体"/>
        <family val="3"/>
        <charset val="134"/>
      </rPr>
      <t>3×HDMI+2×VGA</t>
    </r>
  </si>
  <si>
    <t>监控级硬盘</t>
  </si>
  <si>
    <t>海康威视
（企业级监控硬盘）</t>
  </si>
  <si>
    <t>企业级监控级硬盘，配合上述NVR满足全域90天录像，配合H.265智能压缩；单盘容量以深化设计为准</t>
  </si>
  <si>
    <t>个</t>
  </si>
  <si>
    <t>配套NVR，容量以勘查为准</t>
  </si>
  <si>
    <t>五、网络传输设备</t>
  </si>
  <si>
    <r>
      <rPr>
        <sz val="10"/>
        <color rgb="FF000000"/>
        <rFont val="宋体"/>
        <family val="3"/>
        <charset val="134"/>
      </rPr>
      <t>48</t>
    </r>
    <r>
      <rPr>
        <sz val="10"/>
        <color rgb="FF000000"/>
        <rFont val="Noto Sans CJK SC"/>
        <family val="2"/>
      </rPr>
      <t>口全万兆光三层网管交换机</t>
    </r>
  </si>
  <si>
    <t>华为
S6730-S48X6Q-V2</t>
  </si>
  <si>
    <r>
      <rPr>
        <sz val="8.5"/>
        <color rgb="FF000000"/>
        <rFont val="宋体"/>
        <family val="3"/>
        <charset val="134"/>
      </rPr>
      <t>S6730-S48X6Q-V2(48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40GE QSFP28,</t>
    </r>
    <r>
      <rPr>
        <sz val="8.5"/>
        <color rgb="FF000000"/>
        <rFont val="Noto Sans CJK SC"/>
        <family val="2"/>
      </rPr>
      <t>可选</t>
    </r>
    <r>
      <rPr>
        <sz val="8.5"/>
        <color rgb="FF000000"/>
        <rFont val="宋体"/>
        <family val="3"/>
        <charset val="134"/>
      </rPr>
      <t>license</t>
    </r>
    <r>
      <rPr>
        <sz val="8.5"/>
        <color rgb="FF000000"/>
        <rFont val="Noto Sans CJK SC"/>
        <family val="2"/>
      </rPr>
      <t>升级到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100GE QSFP28,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</si>
  <si>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集团监控专网核心，双机热备</t>
  </si>
  <si>
    <r>
      <rPr>
        <sz val="10"/>
        <color rgb="FF000000"/>
        <rFont val="宋体"/>
        <family val="3"/>
        <charset val="134"/>
      </rPr>
      <t>24</t>
    </r>
    <r>
      <rPr>
        <sz val="10"/>
        <color rgb="FF000000"/>
        <rFont val="Noto Sans CJK SC"/>
        <family val="2"/>
      </rPr>
      <t>千兆电</t>
    </r>
    <r>
      <rPr>
        <sz val="10"/>
        <color rgb="FF000000"/>
        <rFont val="宋体"/>
        <family val="3"/>
        <charset val="134"/>
      </rPr>
      <t>/4</t>
    </r>
    <r>
      <rPr>
        <sz val="10"/>
        <color rgb="FF000000"/>
        <rFont val="Noto Sans CJK SC"/>
        <family val="2"/>
      </rPr>
      <t>万兆光交换机（园区汇聚）</t>
    </r>
  </si>
  <si>
    <t>华为
S5735-S24T4XE-V2</t>
  </si>
  <si>
    <r>
      <rPr>
        <sz val="8.5"/>
        <color rgb="FF000000"/>
        <rFont val="宋体"/>
        <family val="3"/>
        <charset val="134"/>
      </rPr>
      <t>S5735-S24T4XE-V2(24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10/100/1000BASE-T</t>
    </r>
    <r>
      <rPr>
        <sz val="8.5"/>
        <color rgb="FF000000"/>
        <rFont val="Noto Sans CJK SC"/>
        <family val="2"/>
      </rPr>
      <t>以太网端口</t>
    </r>
    <r>
      <rPr>
        <sz val="8.5"/>
        <color rgb="FF000000"/>
        <rFont val="宋体"/>
        <family val="3"/>
        <charset val="134"/>
      </rPr>
      <t>,4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SFP+,2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12GE</t>
    </r>
    <r>
      <rPr>
        <sz val="8.5"/>
        <color rgb="FF000000"/>
        <rFont val="Noto Sans CJK SC"/>
        <family val="2"/>
      </rPr>
      <t>堆叠口</t>
    </r>
    <r>
      <rPr>
        <sz val="8.5"/>
        <color rgb="FF000000"/>
        <rFont val="宋体"/>
        <family val="3"/>
        <charset val="134"/>
      </rPr>
      <t>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</si>
  <si>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对应30余个独立监控室/二级单位</t>
  </si>
  <si>
    <r>
      <rPr>
        <sz val="10"/>
        <color rgb="FF000000"/>
        <rFont val="宋体"/>
        <family val="3"/>
        <charset val="134"/>
      </rPr>
      <t>4</t>
    </r>
    <r>
      <rPr>
        <sz val="10"/>
        <color rgb="FF000000"/>
        <rFont val="Noto Sans CJK SC"/>
        <family val="2"/>
      </rPr>
      <t>口接入交换机（</t>
    </r>
    <r>
      <rPr>
        <sz val="10"/>
        <color rgb="FF000000"/>
        <rFont val="宋体"/>
        <family val="3"/>
        <charset val="134"/>
      </rPr>
      <t>POE</t>
    </r>
    <r>
      <rPr>
        <sz val="10"/>
        <color rgb="FF000000"/>
        <rFont val="Noto Sans CJK SC"/>
        <family val="2"/>
      </rPr>
      <t>）</t>
    </r>
  </si>
  <si>
    <t>华为
（待选型）</t>
  </si>
  <si>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光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电</t>
    </r>
    <r>
      <rPr>
        <sz val="8.5"/>
        <color rgb="FF000000"/>
        <rFont val="宋体"/>
        <family val="3"/>
        <charset val="134"/>
      </rPr>
      <t>POE</t>
    </r>
    <r>
      <rPr>
        <sz val="8.5"/>
        <color rgb="FF000000"/>
        <rFont val="Noto Sans CJK SC"/>
        <family val="2"/>
      </rPr>
      <t>接入交换机，万兆光上联，用于新增</t>
    </r>
    <r>
      <rPr>
        <sz val="8.5"/>
        <color rgb="FF000000"/>
        <rFont val="宋体"/>
        <family val="3"/>
        <charset val="134"/>
      </rPr>
      <t>/</t>
    </r>
    <r>
      <rPr>
        <sz val="8.5"/>
        <color rgb="FF000000"/>
        <rFont val="Noto Sans CJK SC"/>
        <family val="2"/>
      </rPr>
      <t>更换前端接入及边缘设备</t>
    </r>
  </si>
  <si>
    <t>无线网桥</t>
  </si>
  <si>
    <r>
      <rPr>
        <sz val="8.5"/>
        <color rgb="FF000000"/>
        <rFont val="宋体"/>
        <family val="3"/>
        <charset val="134"/>
      </rPr>
      <t>3KM</t>
    </r>
    <r>
      <rPr>
        <sz val="8.5"/>
        <color rgb="FF000000"/>
        <rFont val="Noto Sans CJK SC"/>
        <family val="2"/>
      </rPr>
      <t>无线传输网桥，用于不便布线点位</t>
    </r>
  </si>
  <si>
    <t>对</t>
  </si>
  <si>
    <t>万兆光模块（SFP+）</t>
  </si>
  <si>
    <t>海康威视
HK-SFP+-10G-10-1310-DF</t>
  </si>
  <si>
    <t>光模块-SFP+-10G-单模模块(1310nm,40km,LC)</t>
  </si>
  <si>
    <t>只</t>
  </si>
  <si>
    <t>主干及汇聚上联</t>
  </si>
  <si>
    <t>室外单模光缆（GYTA/GYTS）</t>
  </si>
  <si>
    <t>（12芯单模）</t>
  </si>
  <si>
    <t>室外铠装单模光缆，用于未联通二级公司到集团监控网的联通，复用为主、新布为辅（12芯单模）</t>
  </si>
  <si>
    <t>米</t>
  </si>
  <si>
    <t>复用为主、新布为辅，以线路勘查为准</t>
  </si>
  <si>
    <t>光缆熔接/尾纤/光纤配线架</t>
  </si>
  <si>
    <t>—</t>
  </si>
  <si>
    <t>含熔接、尾纤、ODF配线架及跳纤等</t>
  </si>
  <si>
    <t>项</t>
  </si>
  <si>
    <t>配合光缆联通</t>
  </si>
  <si>
    <t>下一代防火墙</t>
  </si>
  <si>
    <t>华为
NSG2000-TE40P</t>
  </si>
  <si>
    <t>网络层吞吐量7G，并发连接≥350万，每秒新建连接数7万， 标准1U机箱，单电源，标准配置板载6个10/100/1000M自适应电、2个SFP插槽，另有2个扩展插槽，1个Console口， 含一年硬件维保服务。1年病毒防护特征库升级服务，1年入侵防御特征库升级服务</t>
  </si>
  <si>
    <t>监控平台安全边界</t>
  </si>
  <si>
    <t>六、监控中心及大屏</t>
  </si>
  <si>
    <t>小间距LED显示大屏（中间主屏）</t>
  </si>
  <si>
    <t>海康威视
DS-D4012FW-2FBQ</t>
  </si>
  <si>
    <r>
      <rPr>
        <sz val="8.5"/>
        <rFont val="Noto Sans CJK SC"/>
        <family val="2"/>
      </rPr>
      <t>小间距</t>
    </r>
    <r>
      <rPr>
        <sz val="8.5"/>
        <rFont val="宋体"/>
        <family val="3"/>
        <charset val="134"/>
      </rPr>
      <t>LED</t>
    </r>
    <r>
      <rPr>
        <sz val="8.5"/>
        <rFont val="Noto Sans CJK SC"/>
        <family val="2"/>
      </rPr>
      <t>，点间距≤</t>
    </r>
    <r>
      <rPr>
        <sz val="8.5"/>
        <rFont val="宋体"/>
        <family val="3"/>
        <charset val="134"/>
      </rPr>
      <t>1.25mm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P1.2</t>
    </r>
    <r>
      <rPr>
        <sz val="8.5"/>
        <rFont val="Noto Sans CJK SC"/>
        <family val="2"/>
      </rPr>
      <t>），像素密度≥</t>
    </r>
    <r>
      <rPr>
        <sz val="8.5"/>
        <rFont val="宋体"/>
        <family val="3"/>
        <charset val="134"/>
      </rPr>
      <t>640000</t>
    </r>
    <r>
      <rPr>
        <sz val="8.5"/>
        <rFont val="Noto Sans CJK SC"/>
        <family val="2"/>
      </rPr>
      <t>点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㎡，</t>
    </r>
    <r>
      <rPr>
        <sz val="8.5"/>
        <rFont val="宋体"/>
        <family val="3"/>
        <charset val="134"/>
      </rPr>
      <t>RGB</t>
    </r>
    <r>
      <rPr>
        <sz val="8.5"/>
        <rFont val="Noto Sans CJK SC"/>
        <family val="2"/>
      </rPr>
      <t>全倒装共阴
单元尺寸≤</t>
    </r>
    <r>
      <rPr>
        <sz val="8.5"/>
        <rFont val="宋体"/>
        <family val="3"/>
        <charset val="134"/>
      </rPr>
      <t>600×337.5×29.5mm</t>
    </r>
    <r>
      <rPr>
        <sz val="8.5"/>
        <rFont val="Noto Sans CJK SC"/>
        <family val="2"/>
      </rPr>
      <t>，单元重量≤</t>
    </r>
    <r>
      <rPr>
        <sz val="8.5"/>
        <rFont val="宋体"/>
        <family val="3"/>
        <charset val="134"/>
      </rPr>
      <t xml:space="preserve">3.5kg
</t>
    </r>
    <r>
      <rPr>
        <sz val="8.5"/>
        <rFont val="Noto Sans CJK SC"/>
        <family val="2"/>
      </rPr>
      <t>峰值亮度≥</t>
    </r>
    <r>
      <rPr>
        <sz val="8.5"/>
        <rFont val="宋体"/>
        <family val="3"/>
        <charset val="134"/>
      </rPr>
      <t>800nits</t>
    </r>
    <r>
      <rPr>
        <sz val="8.5"/>
        <rFont val="Noto Sans CJK SC"/>
        <family val="2"/>
      </rPr>
      <t>，平均功耗＜</t>
    </r>
    <r>
      <rPr>
        <sz val="8.5"/>
        <rFont val="宋体"/>
        <family val="3"/>
        <charset val="134"/>
      </rPr>
      <t>98W/</t>
    </r>
    <r>
      <rPr>
        <sz val="8.5"/>
        <rFont val="Noto Sans CJK SC"/>
        <family val="2"/>
      </rPr>
      <t>㎡
蓝光辐射</t>
    </r>
    <r>
      <rPr>
        <sz val="8.5"/>
        <rFont val="宋体"/>
        <family val="3"/>
        <charset val="134"/>
      </rPr>
      <t>RG0</t>
    </r>
    <r>
      <rPr>
        <sz val="8.5"/>
        <rFont val="Noto Sans CJK SC"/>
        <family val="2"/>
      </rPr>
      <t>无危害级，具防蓝光护眼功能
图像质量主观评价优（无拖影、偏色、马赛克）
千兆网络单网口带载</t>
    </r>
    <r>
      <rPr>
        <sz val="8.5"/>
        <rFont val="宋体"/>
        <family val="3"/>
        <charset val="134"/>
      </rPr>
      <t>300W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L</t>
    </r>
    <r>
      <rPr>
        <sz val="8.5"/>
        <rFont val="Noto Sans CJK SC"/>
        <family val="2"/>
      </rPr>
      <t>型等任意走线
背板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接收卡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电源三合一，灯板灌胶工艺，防护可靠
支持客户端</t>
    </r>
    <r>
      <rPr>
        <sz val="8.5"/>
        <rFont val="宋体"/>
        <family val="3"/>
        <charset val="134"/>
      </rPr>
      <t>/WEB/</t>
    </r>
    <r>
      <rPr>
        <sz val="8.5"/>
        <rFont val="Noto Sans CJK SC"/>
        <family val="2"/>
      </rPr>
      <t>遥控器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物理按键多方式亮度调节与状态监测</t>
    </r>
  </si>
  <si>
    <t>㎡</t>
  </si>
  <si>
    <t>精诚楼一楼居中主屏，P1.2；见备注
【配置】点间距P1.2，约108箱体(9行×12列)，屏体7.2m×3.04m，分辨率5760×2430；客户自制支架</t>
  </si>
  <si>
    <r>
      <rPr>
        <sz val="10"/>
        <color rgb="FF000000"/>
        <rFont val="宋体"/>
        <family val="3"/>
        <charset val="134"/>
      </rPr>
      <t>LED</t>
    </r>
    <r>
      <rPr>
        <sz val="10"/>
        <color rgb="FF000000"/>
        <rFont val="Noto Sans CJK SC"/>
        <family val="2"/>
      </rPr>
      <t>视频处理器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拼接控制器</t>
    </r>
  </si>
  <si>
    <t>海康威视
DS-DT90V-08HDPI24NO/U</t>
  </si>
  <si>
    <r>
      <rPr>
        <sz val="8.5"/>
        <rFont val="Noto Sans CJK SC"/>
        <family val="2"/>
      </rPr>
      <t>输入：</t>
    </r>
    <r>
      <rPr>
        <sz val="8.5"/>
        <rFont val="宋体"/>
        <family val="3"/>
        <charset val="134"/>
      </rPr>
      <t>3×HDMI2.0(4K)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1×DP1.2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4×HDMI1.3(2K)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USB2.0</t>
    </r>
    <r>
      <rPr>
        <sz val="8.5"/>
        <rFont val="Noto Sans CJK SC"/>
        <family val="2"/>
      </rPr>
      <t>、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控制网口、</t>
    </r>
    <r>
      <rPr>
        <sz val="8.5"/>
        <rFont val="宋体"/>
        <family val="3"/>
        <charset val="134"/>
      </rPr>
      <t xml:space="preserve">2×RS485
</t>
    </r>
    <r>
      <rPr>
        <sz val="8.5"/>
        <rFont val="Noto Sans CJK SC"/>
        <family val="2"/>
      </rPr>
      <t>输出：</t>
    </r>
    <r>
      <rPr>
        <sz val="8.5"/>
        <rFont val="宋体"/>
        <family val="3"/>
        <charset val="134"/>
      </rPr>
      <t>3×HDMI2.0</t>
    </r>
    <r>
      <rPr>
        <sz val="8.5"/>
        <rFont val="Noto Sans CJK SC"/>
        <family val="2"/>
      </rPr>
      <t>环通、</t>
    </r>
    <r>
      <rPr>
        <sz val="8.5"/>
        <rFont val="宋体"/>
        <family val="3"/>
        <charset val="134"/>
      </rPr>
      <t>24×</t>
    </r>
    <r>
      <rPr>
        <sz val="8.5"/>
        <rFont val="Noto Sans CJK SC"/>
        <family val="2"/>
      </rPr>
      <t>带载网口、</t>
    </r>
    <r>
      <rPr>
        <sz val="8.5"/>
        <rFont val="宋体"/>
        <family val="3"/>
        <charset val="134"/>
      </rPr>
      <t>4×10G</t>
    </r>
    <r>
      <rPr>
        <sz val="8.5"/>
        <rFont val="Noto Sans CJK SC"/>
        <family val="2"/>
      </rPr>
      <t>万兆光口、</t>
    </r>
    <r>
      <rPr>
        <sz val="8.5"/>
        <rFont val="宋体"/>
        <family val="3"/>
        <charset val="134"/>
      </rPr>
      <t>1×HDMI</t>
    </r>
    <r>
      <rPr>
        <sz val="8.5"/>
        <rFont val="Noto Sans CJK SC"/>
        <family val="2"/>
      </rPr>
      <t>监视口
支持最大</t>
    </r>
    <r>
      <rPr>
        <sz val="8.5"/>
        <rFont val="宋体"/>
        <family val="3"/>
        <charset val="134"/>
      </rPr>
      <t>4096×2160@60Hz</t>
    </r>
    <r>
      <rPr>
        <sz val="8.5"/>
        <rFont val="Noto Sans CJK SC"/>
        <family val="2"/>
      </rPr>
      <t>环通输出
支持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窗口任意布局（</t>
    </r>
    <r>
      <rPr>
        <sz val="8.5"/>
        <rFont val="宋体"/>
        <family val="3"/>
        <charset val="134"/>
      </rPr>
      <t>7</t>
    </r>
    <r>
      <rPr>
        <sz val="8.5"/>
        <rFont val="Noto Sans CJK SC"/>
        <family val="2"/>
      </rPr>
      <t>信源</t>
    </r>
    <r>
      <rPr>
        <sz val="8.5"/>
        <rFont val="宋体"/>
        <family val="3"/>
        <charset val="134"/>
      </rPr>
      <t>+2</t>
    </r>
    <r>
      <rPr>
        <sz val="8.5"/>
        <rFont val="Noto Sans CJK SC"/>
        <family val="2"/>
      </rPr>
      <t>图文</t>
    </r>
    <r>
      <rPr>
        <sz val="8.5"/>
        <rFont val="宋体"/>
        <family val="3"/>
        <charset val="134"/>
      </rPr>
      <t>+1</t>
    </r>
    <r>
      <rPr>
        <sz val="8.5"/>
        <rFont val="Noto Sans CJK SC"/>
        <family val="2"/>
      </rPr>
      <t>字幕）
多显示模式（常规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文稿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视讯</t>
    </r>
    <r>
      <rPr>
        <sz val="8.5"/>
        <rFont val="宋体"/>
        <family val="3"/>
        <charset val="134"/>
      </rPr>
      <t>/HDR/</t>
    </r>
    <r>
      <rPr>
        <sz val="8.5"/>
        <rFont val="Noto Sans CJK SC"/>
        <family val="2"/>
      </rPr>
      <t xml:space="preserve">安防等）
</t>
    </r>
    <r>
      <rPr>
        <sz val="8.5"/>
        <rFont val="宋体"/>
        <family val="3"/>
        <charset val="134"/>
      </rPr>
      <t>WEB</t>
    </r>
    <r>
      <rPr>
        <sz val="8.5"/>
        <rFont val="Noto Sans CJK SC"/>
        <family val="2"/>
      </rPr>
      <t>端实时预览输入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输出画面、屏幕连线与发送卡状态
射频遥控（≤</t>
    </r>
    <r>
      <rPr>
        <sz val="8.5"/>
        <rFont val="宋体"/>
        <family val="3"/>
        <charset val="134"/>
      </rPr>
      <t>10m</t>
    </r>
    <r>
      <rPr>
        <sz val="8.5"/>
        <rFont val="Noto Sans CJK SC"/>
        <family val="2"/>
      </rPr>
      <t>可穿墙），任意走线无矩形框架限制
支持云端加载配置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校正文件、自动除湿</t>
    </r>
  </si>
  <si>
    <t>大屏主控</t>
  </si>
  <si>
    <r>
      <rPr>
        <sz val="10"/>
        <color rgb="FF000000"/>
        <rFont val="宋体"/>
        <family val="3"/>
        <charset val="134"/>
      </rPr>
      <t>LCD</t>
    </r>
    <r>
      <rPr>
        <sz val="10"/>
        <color rgb="FF000000"/>
        <rFont val="Noto Sans CJK SC"/>
        <family val="2"/>
      </rPr>
      <t>无边液晶拼接单元（左右各</t>
    </r>
    <r>
      <rPr>
        <sz val="10"/>
        <color rgb="FF000000"/>
        <rFont val="宋体"/>
        <family val="3"/>
        <charset val="134"/>
      </rPr>
      <t>6</t>
    </r>
    <r>
      <rPr>
        <sz val="10"/>
        <color rgb="FF000000"/>
        <rFont val="Noto Sans CJK SC"/>
        <family val="2"/>
      </rPr>
      <t>块）</t>
    </r>
  </si>
  <si>
    <t>海康威视
DS-D2A46UL-1B</t>
  </si>
  <si>
    <r>
      <rPr>
        <sz val="8.5"/>
        <rFont val="宋体"/>
        <family val="3"/>
        <charset val="134"/>
      </rP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3.5mm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</si>
  <si>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t>居中LED两侧、左右各6块，46寸超窄边(3.5mm拼缝)</t>
  </si>
  <si>
    <r>
      <rPr>
        <sz val="10"/>
        <color rgb="FF000000"/>
        <rFont val="宋体"/>
        <family val="3"/>
        <charset val="134"/>
      </rPr>
      <t>LCD</t>
    </r>
    <r>
      <rPr>
        <sz val="10"/>
        <color rgb="FF000000"/>
        <rFont val="Noto Sans CJK SC"/>
        <family val="2"/>
      </rPr>
      <t>拼接屏支架</t>
    </r>
  </si>
  <si>
    <t>海康威视
DP-D2X46XXX-1X1-Q1-AW-Q0.6-ZF</t>
  </si>
  <si>
    <r>
      <rPr>
        <sz val="8.5"/>
        <rFont val="宋体"/>
        <family val="3"/>
        <charset val="134"/>
      </rP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</si>
  <si>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t>前维护壁挂</t>
  </si>
  <si>
    <t>视频解码矩阵</t>
  </si>
  <si>
    <t>（新增配置）</t>
  </si>
  <si>
    <t>视频解码矩阵，用于大屏解码上墙，按需扩展解码板卡（支持100路以上上墙）</t>
  </si>
  <si>
    <t>大屏上墙解码</t>
  </si>
  <si>
    <t>大屏钢结构及安装</t>
  </si>
  <si>
    <t>（室内焊接支架）</t>
  </si>
  <si>
    <t>屏体钢结构、包边、检修通道及安装调试</t>
  </si>
  <si>
    <t>含结构与安装</t>
  </si>
  <si>
    <t>监控操作台（多联坐席）</t>
  </si>
  <si>
    <t>多联监控操作台，含理线、承重与人体工学设计（6联）</t>
  </si>
  <si>
    <t>套</t>
  </si>
  <si>
    <t>值班坐席，6联</t>
  </si>
  <si>
    <t>精密配电柜</t>
  </si>
  <si>
    <t>海康威视
DS-D40D10</t>
  </si>
  <si>
    <r>
      <rPr>
        <sz val="8.5"/>
        <rFont val="Noto Sans CJK SC"/>
        <family val="2"/>
      </rPr>
      <t>额定功率≥</t>
    </r>
    <r>
      <rPr>
        <sz val="8.5"/>
        <rFont val="宋体"/>
        <family val="3"/>
        <charset val="134"/>
      </rPr>
      <t>10KW</t>
    </r>
    <r>
      <rPr>
        <sz val="8.5"/>
        <rFont val="Noto Sans CJK SC"/>
        <family val="2"/>
      </rPr>
      <t>，具</t>
    </r>
    <r>
      <rPr>
        <sz val="8.5"/>
        <rFont val="宋体"/>
        <family val="3"/>
        <charset val="134"/>
      </rPr>
      <t>3</t>
    </r>
    <r>
      <rPr>
        <sz val="8.5"/>
        <rFont val="Noto Sans CJK SC"/>
        <family val="2"/>
      </rPr>
      <t>个单相回路
烟雾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超温自动断电，输入输出断路器过流短路保护
支持手动一键、单路、分时及电脑远程控制
</t>
    </r>
    <r>
      <rPr>
        <sz val="8.5"/>
        <rFont val="宋体"/>
        <family val="3"/>
        <charset val="134"/>
      </rPr>
      <t>RS485</t>
    </r>
    <r>
      <rPr>
        <sz val="8.5"/>
        <rFont val="Noto Sans CJK SC"/>
        <family val="2"/>
      </rPr>
      <t>读取柜内温度，支持</t>
    </r>
    <r>
      <rPr>
        <sz val="8.5"/>
        <rFont val="宋体"/>
        <family val="3"/>
        <charset val="134"/>
      </rPr>
      <t xml:space="preserve">MODBUS-TCP/RTU
</t>
    </r>
    <r>
      <rPr>
        <sz val="8.5"/>
        <rFont val="Noto Sans CJK SC"/>
        <family val="2"/>
      </rPr>
      <t>记录电源参数、运行状态及高温、烟雾等异常报警
可选热成像人体检测联动自动上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下电（需搭配玉盘）</t>
    </r>
  </si>
  <si>
    <t>客户端工作站</t>
  </si>
  <si>
    <t>海康威视
DS-AXF142P/W10E/ShowOS</t>
  </si>
  <si>
    <r>
      <rPr>
        <sz val="8.5"/>
        <rFont val="Noto Sans CJK SC"/>
        <family val="2"/>
      </rPr>
      <t>图形工作站（参考</t>
    </r>
    <r>
      <rPr>
        <sz val="8.5"/>
        <rFont val="宋体"/>
        <family val="3"/>
        <charset val="134"/>
      </rPr>
      <t>H610</t>
    </r>
    <r>
      <rPr>
        <sz val="8.5"/>
        <rFont val="Noto Sans CJK SC"/>
        <family val="2"/>
      </rPr>
      <t xml:space="preserve">标底参数），双屏
</t>
    </r>
    <r>
      <rPr>
        <sz val="8.5"/>
        <rFont val="宋体"/>
        <family val="3"/>
        <charset val="134"/>
      </rPr>
      <t>C/S+B/S</t>
    </r>
    <r>
      <rPr>
        <sz val="8.5"/>
        <rFont val="Noto Sans CJK SC"/>
        <family val="2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中控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Noto Sans CJK SC"/>
        <family val="2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Noto Sans CJK SC"/>
        <family val="2"/>
      </rPr>
      <t>（安卓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Noto Sans CJK SC"/>
        <family val="2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程序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图片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Noto Sans CJK SC"/>
        <family val="2"/>
      </rPr>
      <t>等窗口拖放布局
可查看播控屏分辨率、主机名、在离线及内存等状态</t>
    </r>
  </si>
  <si>
    <t>图形工作站，双屏</t>
  </si>
  <si>
    <r>
      <rPr>
        <sz val="10"/>
        <color rgb="FF000000"/>
        <rFont val="宋体"/>
        <family val="3"/>
        <charset val="134"/>
      </rPr>
      <t>42U</t>
    </r>
    <r>
      <rPr>
        <sz val="10"/>
        <color rgb="FF000000"/>
        <rFont val="Noto Sans CJK SC"/>
        <family val="2"/>
      </rPr>
      <t>机柜</t>
    </r>
  </si>
  <si>
    <t>（42U 800×800mm）</t>
  </si>
  <si>
    <r>
      <rPr>
        <sz val="8.5"/>
        <color rgb="FF000000"/>
        <rFont val="宋体"/>
        <family val="3"/>
        <charset val="134"/>
      </rPr>
      <t xml:space="preserve">42U 800×800mm </t>
    </r>
    <r>
      <rPr>
        <sz val="8.5"/>
        <color rgb="FF000000"/>
        <rFont val="Noto Sans CJK SC"/>
        <family val="2"/>
      </rPr>
      <t>标准机柜</t>
    </r>
  </si>
  <si>
    <t>七、辅材与施工</t>
  </si>
  <si>
    <t>摄像机支架/立杆/防水箱/电源</t>
  </si>
  <si>
    <t>配合新增及更换点位安装的支架、立杆、防水盒、电源适配等</t>
  </si>
  <si>
    <t>配合146个点位</t>
  </si>
  <si>
    <t>综合布线</t>
  </si>
  <si>
    <t>（CAT6）</t>
  </si>
  <si>
    <t>CAT6</t>
  </si>
  <si>
    <t>以现场为准</t>
  </si>
  <si>
    <r>
      <rPr>
        <sz val="10"/>
        <color rgb="FF000000"/>
        <rFont val="宋体"/>
        <family val="3"/>
        <charset val="134"/>
      </rPr>
      <t>PVC</t>
    </r>
    <r>
      <rPr>
        <sz val="10"/>
        <color rgb="FF000000"/>
        <rFont val="Noto Sans CJK SC"/>
        <family val="2"/>
      </rPr>
      <t>管</t>
    </r>
  </si>
  <si>
    <t>（PVC20）</t>
  </si>
  <si>
    <r>
      <rPr>
        <sz val="8.5"/>
        <color rgb="FF000000"/>
        <rFont val="宋体"/>
        <family val="3"/>
        <charset val="134"/>
      </rPr>
      <t xml:space="preserve">PVC20 </t>
    </r>
    <r>
      <rPr>
        <sz val="8.5"/>
        <color rgb="FF000000"/>
        <rFont val="Noto Sans CJK SC"/>
        <family val="2"/>
      </rPr>
      <t>穿线管及敷设</t>
    </r>
  </si>
  <si>
    <t>安装、接入与系统调试</t>
  </si>
  <si>
    <t>前端安装、平台接入级联、AI与存储调试、网络割接与联调</t>
  </si>
  <si>
    <t>含分区割接、不停业务</t>
  </si>
  <si>
    <t>八、服务</t>
  </si>
  <si>
    <r>
      <rPr>
        <sz val="10"/>
        <color rgb="FF000000"/>
        <rFont val="宋体"/>
        <family val="3"/>
        <charset val="134"/>
      </rPr>
      <t>IP</t>
    </r>
    <r>
      <rPr>
        <sz val="10"/>
        <color rgb="FF000000"/>
        <rFont val="Noto Sans CJK SC"/>
        <family val="2"/>
      </rPr>
      <t>与线路规划</t>
    </r>
  </si>
  <si>
    <t>按数智中心规划范围与规则，编制并实施《IP与线路规划表》，协助排查各二级公司IP并指出整改项</t>
  </si>
  <si>
    <t>投标方负责实施</t>
  </si>
  <si>
    <t>系统联调测试与验收</t>
  </si>
  <si>
    <t>整体联调、性能压测（≥100路上墙）、试运行与竣工验收，交付竣工资料</t>
  </si>
  <si>
    <t>培训</t>
  </si>
  <si>
    <t>面向监控值班、数智中心管理员、各单位维保人员的分层培训</t>
  </si>
  <si>
    <t>含操作与运维手册</t>
  </si>
  <si>
    <t>质保与运维服务</t>
  </si>
  <si>
    <t>质保期可按合同延长</t>
  </si>
  <si>
    <t>合   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</si>
  <si>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</si>
  <si>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</si>
  <si>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</si>
  <si>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</si>
  <si>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</si>
  <si>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</si>
  <si>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</si>
  <si>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</si>
  <si>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</si>
  <si>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</si>
  <si>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</si>
  <si>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</si>
  <si>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</si>
  <si>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</si>
  <si>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</si>
  <si>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</si>
  <si>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</si>
  <si>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</si>
  <si>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</si>
  <si>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</si>
  <si>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</si>
  <si>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</si>
  <si>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</si>
  <si>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</si>
  <si>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</si>
  <si>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</si>
  <si>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</si>
  <si>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</si>
  <si>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</si>
  <si>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</si>
  <si>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</si>
  <si>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</si>
  <si>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门岗补盲，覆盖前后20m，含拾音喊话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</si>
  <si>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</si>
  <si>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</si>
  <si>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</si>
  <si>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</si>
  <si>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</si>
  <si>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t>应为 102 / 44 / 193 / 92</t>
  </si>
  <si>
    <t>东明石化集团非生产区域视频监控智能化改造工程量清单</t>
    <phoneticPr fontId="35" type="noConversion"/>
  </si>
  <si>
    <t>编制日期：2026年7月</t>
    <phoneticPr fontId="35" type="noConversion"/>
  </si>
  <si>
    <t>网络高清枪型摄像机（重点部位补盲）</t>
    <phoneticPr fontId="35" type="noConversion"/>
  </si>
  <si>
    <r>
      <t>1</t>
    </r>
    <r>
      <rPr>
        <sz val="8.5"/>
        <color rgb="FF000000"/>
        <rFont val="SimSun"/>
        <family val="3"/>
        <charset val="134"/>
      </rPr>
      <t>年免费质保，</t>
    </r>
    <r>
      <rPr>
        <sz val="8.5"/>
        <color rgb="FF000000"/>
        <rFont val="宋体"/>
        <family val="3"/>
        <charset val="134"/>
      </rPr>
      <t>7×24</t>
    </r>
    <r>
      <rPr>
        <sz val="8.5"/>
        <color rgb="FF000000"/>
        <rFont val="SimSun"/>
        <family val="3"/>
        <charset val="134"/>
      </rPr>
      <t>报障响应，平台版本与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SimSun"/>
        <family val="3"/>
        <charset val="134"/>
      </rPr>
      <t>算法升级</t>
    </r>
    <phoneticPr fontId="35" type="noConversion"/>
  </si>
  <si>
    <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</si>
</sst>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Calibri"/>
      <family val="2"/>
      <charset val="1"/>
    </font>
    <font>
      <b/>
      <sz val="15"/>
      <color rgb="FF1F4E79"/>
      <name val="Noto Sans CJK SC"/>
      <charset val="1"/>
    </font>
    <font>
      <sz val="9"/>
      <color rgb="FF808080"/>
      <name val="Noto Sans CJK SC"/>
      <charset val="1"/>
    </font>
    <font>
      <b/>
      <sz val="10"/>
      <color rgb="FF1F3864"/>
      <name val="Noto Sans CJK SC"/>
      <charset val="1"/>
    </font>
    <font>
      <b/>
      <sz val="10.5"/>
      <color rgb="FF2E74B5"/>
      <name val="Noto Sans CJK SC"/>
      <charset val="1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2"/>
      <charset val="1"/>
    </font>
    <font>
      <sz val="9"/>
      <color rgb="FF1F4E79"/>
      <name val="Noto Sans CJK SC"/>
      <family val="2"/>
      <charset val="1"/>
    </font>
    <font>
      <sz val="8.5"/>
      <name val="宋体"/>
      <family val="3"/>
      <charset val="134"/>
    </font>
    <font>
      <sz val="8.5"/>
      <name val="Noto Sans CJK SC"/>
      <family val="2"/>
    </font>
    <font>
      <b/>
      <sz val="10"/>
      <color rgb="FF000000"/>
      <name val="宋体"/>
      <family val="3"/>
      <charset val="134"/>
    </font>
    <font>
      <sz val="10"/>
      <color rgb="FF000000"/>
      <name val="Noto Sans CJK SC"/>
      <charset val="1"/>
    </font>
    <font>
      <sz val="9"/>
      <color rgb="FF595959"/>
      <name val="Noto Sans CJK SC"/>
      <family val="2"/>
      <charset val="1"/>
    </font>
    <font>
      <b/>
      <sz val="10"/>
      <color rgb="FF000000"/>
      <name val="Noto Sans CJK SC"/>
      <charset val="1"/>
    </font>
    <font>
      <sz val="10"/>
      <color rgb="FF000000"/>
      <name val="Noto Sans CJK SC"/>
      <family val="2"/>
    </font>
    <font>
      <sz val="8.5"/>
      <color rgb="FF000000"/>
      <name val="Noto Sans CJK SC"/>
      <family val="2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8.5"/>
      <color rgb="FF000000"/>
      <name val="宋体"/>
      <family val="3"/>
      <charset val="134"/>
    </font>
    <font>
      <sz val="8.5"/>
      <color rgb="FF000000"/>
      <name val="Noto Sans CJK SC"/>
      <family val="2"/>
    </font>
    <font>
      <sz val="9"/>
      <color rgb="FF1F4E79"/>
      <name val="宋体"/>
      <family val="3"/>
      <charset val="134"/>
    </font>
    <font>
      <sz val="9"/>
      <color rgb="FF1F4E79"/>
      <name val="Noto Sans CJK SC"/>
      <family val="2"/>
    </font>
    <font>
      <b/>
      <sz val="11"/>
      <color rgb="FF000000"/>
      <name val="Noto Sans CJK SC"/>
      <charset val="1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5"/>
      <color rgb="FF1F4E79"/>
      <name val="Helvetica"/>
      <family val="2"/>
    </font>
    <font>
      <sz val="9"/>
      <color rgb="FF808080"/>
      <name val="Times New Roman"/>
      <family val="1"/>
    </font>
    <font>
      <sz val="10"/>
      <color rgb="FF000000"/>
      <name val="Times New Roman"/>
      <family val="1"/>
    </font>
    <font>
      <sz val="8.5"/>
      <color rgb="FF000000"/>
      <name val="SimSun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2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4" fontId="22" fillId="2" borderId="1" xfId="0" applyNumberFormat="1" applyFont="1" applyFill="1" applyBorder="1" applyAlignment="1"/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36" fillId="0" borderId="0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38" fillId="0" borderId="1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40" fillId="0" borderId="0" xfId="0" applyFont="1" applyBorder="1" applyAlignment="1">
      <alignment horizontal="center" vertical="center" wrapText="1"/>
    </xf>
    <xf numFmtId="0" fontId="41" fillId="0" borderId="0" xfId="0" applyFont="1" applyAlignment="1"/>
    <xf numFmtId="0" fontId="41" fillId="0" borderId="0" xfId="0" applyFont="1"/>
    <xf numFmtId="0" fontId="23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42" fillId="2" borderId="3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"/>
  <sheetViews>
    <sheetView showGridLines="0" tabSelected="1" zoomScaleNormal="100" workbookViewId="0">
      <pane ySplit="4" topLeftCell="A5" activePane="bottomLeft" state="frozen"/>
      <selection pane="bottomLeft" activeCell="D56" sqref="D56"/>
    </sheetView>
  </sheetViews>
  <sheetFormatPr baseColWidth="10" defaultColWidth="8.6640625" defaultRowHeight="15"/>
  <cols>
    <col min="1" max="1" width="5" style="5" customWidth="1"/>
    <col min="2" max="2" width="22" style="5" customWidth="1"/>
    <col min="3" max="3" width="20" style="5" customWidth="1"/>
    <col min="4" max="4" width="66" style="5" customWidth="1"/>
    <col min="5" max="5" width="5" style="5" customWidth="1"/>
    <col min="6" max="6" width="6" style="5" customWidth="1"/>
    <col min="7" max="7" width="8" style="5" customWidth="1"/>
    <col min="8" max="8" width="11" style="5" customWidth="1"/>
    <col min="9" max="9" width="13" style="5" customWidth="1"/>
    <col min="10" max="10" width="22" style="5" customWidth="1"/>
  </cols>
  <sheetData>
    <row r="1" spans="1:10" ht="24" customHeight="1">
      <c r="A1" s="33" t="s">
        <v>202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>
      <c r="A2" s="34" t="s">
        <v>203</v>
      </c>
      <c r="B2" s="35"/>
      <c r="C2" s="35"/>
      <c r="D2" s="35"/>
      <c r="E2" s="35"/>
      <c r="F2" s="35"/>
      <c r="G2" s="35"/>
      <c r="H2" s="35"/>
      <c r="I2" s="35"/>
      <c r="J2" s="35"/>
    </row>
    <row r="4" spans="1:10" ht="24" customHeight="1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 spans="1:10" ht="16.5" customHeight="1">
      <c r="A5" s="3" t="s">
        <v>10</v>
      </c>
      <c r="B5" s="3"/>
      <c r="C5" s="3"/>
      <c r="D5" s="3"/>
      <c r="E5" s="3"/>
      <c r="F5" s="3"/>
      <c r="G5" s="3"/>
      <c r="H5" s="3"/>
      <c r="I5" s="3"/>
      <c r="J5" s="3"/>
    </row>
    <row r="6" spans="1:10" ht="115.5" customHeight="1">
      <c r="A6" s="7">
        <v>1</v>
      </c>
      <c r="B6" s="8" t="s">
        <v>11</v>
      </c>
      <c r="C6" s="9" t="s">
        <v>12</v>
      </c>
      <c r="D6" s="10" t="s">
        <v>13</v>
      </c>
      <c r="E6" s="11" t="s">
        <v>14</v>
      </c>
      <c r="F6" s="12">
        <v>58</v>
      </c>
      <c r="G6" s="13" t="s">
        <v>15</v>
      </c>
      <c r="H6" s="14"/>
      <c r="I6" s="15">
        <f>IFERROR(F6*H6,"")</f>
        <v>0</v>
      </c>
      <c r="J6" s="16" t="s">
        <v>16</v>
      </c>
    </row>
    <row r="7" spans="1:10" ht="115.5" customHeight="1">
      <c r="A7" s="7">
        <v>2</v>
      </c>
      <c r="B7" s="36" t="s">
        <v>204</v>
      </c>
      <c r="C7" s="9" t="s">
        <v>12</v>
      </c>
      <c r="D7" s="10" t="s">
        <v>13</v>
      </c>
      <c r="E7" s="11" t="s">
        <v>14</v>
      </c>
      <c r="F7" s="12">
        <v>3</v>
      </c>
      <c r="G7" s="13" t="s">
        <v>15</v>
      </c>
      <c r="H7" s="14"/>
      <c r="I7" s="15">
        <f>IFERROR(F7*H7,"")</f>
        <v>0</v>
      </c>
      <c r="J7" s="16" t="s">
        <v>17</v>
      </c>
    </row>
    <row r="8" spans="1:10" ht="102" customHeight="1">
      <c r="A8" s="7">
        <v>3</v>
      </c>
      <c r="B8" s="8" t="s">
        <v>18</v>
      </c>
      <c r="C8" s="9" t="s">
        <v>19</v>
      </c>
      <c r="D8" s="10" t="s">
        <v>20</v>
      </c>
      <c r="E8" s="11" t="s">
        <v>14</v>
      </c>
      <c r="F8" s="12">
        <v>41</v>
      </c>
      <c r="G8" s="13" t="s">
        <v>15</v>
      </c>
      <c r="H8" s="14"/>
      <c r="I8" s="15">
        <f>IFERROR(F8*H8,"")</f>
        <v>0</v>
      </c>
      <c r="J8" s="16" t="s">
        <v>21</v>
      </c>
    </row>
    <row r="9" spans="1:10" ht="102" customHeight="1">
      <c r="A9" s="7">
        <v>4</v>
      </c>
      <c r="B9" s="8" t="s">
        <v>22</v>
      </c>
      <c r="C9" s="9" t="s">
        <v>23</v>
      </c>
      <c r="D9" s="10" t="s">
        <v>24</v>
      </c>
      <c r="E9" s="11" t="s">
        <v>14</v>
      </c>
      <c r="F9" s="12">
        <v>44</v>
      </c>
      <c r="G9" s="13" t="s">
        <v>15</v>
      </c>
      <c r="H9" s="14"/>
      <c r="I9" s="15">
        <f>IFERROR(F9*H9,"")</f>
        <v>0</v>
      </c>
      <c r="J9" s="16" t="s">
        <v>25</v>
      </c>
    </row>
    <row r="10" spans="1:10" ht="15.75" customHeight="1">
      <c r="A10" s="2" t="s">
        <v>26</v>
      </c>
      <c r="B10" s="2"/>
      <c r="C10" s="2"/>
      <c r="D10" s="2"/>
      <c r="E10" s="17" t="s">
        <v>14</v>
      </c>
      <c r="F10" s="17">
        <f>F6+F7+F8+F9</f>
        <v>146</v>
      </c>
      <c r="G10" s="18"/>
      <c r="H10" s="18"/>
      <c r="I10" s="18"/>
      <c r="J10" s="18"/>
    </row>
    <row r="11" spans="1:10" ht="16.5" customHeight="1">
      <c r="A11" s="3" t="s">
        <v>27</v>
      </c>
      <c r="B11" s="3"/>
      <c r="C11" s="3"/>
      <c r="D11" s="3"/>
      <c r="E11" s="3"/>
      <c r="F11" s="3"/>
      <c r="G11" s="3"/>
      <c r="H11" s="3"/>
      <c r="I11" s="3"/>
      <c r="J11" s="3"/>
    </row>
    <row r="12" spans="1:10" ht="115.5" customHeight="1">
      <c r="A12" s="7">
        <v>5</v>
      </c>
      <c r="B12" s="19" t="s">
        <v>28</v>
      </c>
      <c r="C12" s="9" t="s">
        <v>29</v>
      </c>
      <c r="D12" s="10" t="s">
        <v>30</v>
      </c>
      <c r="E12" s="11" t="s">
        <v>14</v>
      </c>
      <c r="F12" s="12">
        <v>10</v>
      </c>
      <c r="G12" s="13" t="s">
        <v>15</v>
      </c>
      <c r="H12" s="14"/>
      <c r="I12" s="15">
        <f>IFERROR(F12*H12,"")</f>
        <v>0</v>
      </c>
      <c r="J12" s="16" t="s">
        <v>31</v>
      </c>
    </row>
    <row r="13" spans="1:10" ht="30" customHeight="1">
      <c r="A13" s="7">
        <v>6</v>
      </c>
      <c r="B13" s="19" t="s">
        <v>32</v>
      </c>
      <c r="C13" s="9" t="s">
        <v>33</v>
      </c>
      <c r="D13" s="20" t="s">
        <v>34</v>
      </c>
      <c r="E13" s="11" t="s">
        <v>35</v>
      </c>
      <c r="F13" s="12">
        <v>193</v>
      </c>
      <c r="G13" s="13" t="s">
        <v>15</v>
      </c>
      <c r="H13" s="14"/>
      <c r="I13" s="15">
        <f>IFERROR(F13*H13,"")</f>
        <v>0</v>
      </c>
      <c r="J13" s="16" t="s">
        <v>36</v>
      </c>
    </row>
    <row r="14" spans="1:10" ht="16.5" customHeight="1">
      <c r="A14" s="3" t="s">
        <v>37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ht="87.75" customHeight="1">
      <c r="A15" s="7">
        <v>7</v>
      </c>
      <c r="B15" s="8" t="s">
        <v>38</v>
      </c>
      <c r="C15" s="9" t="s">
        <v>39</v>
      </c>
      <c r="D15" s="10" t="s">
        <v>40</v>
      </c>
      <c r="E15" s="11" t="s">
        <v>14</v>
      </c>
      <c r="F15" s="12">
        <v>4</v>
      </c>
      <c r="G15" s="13" t="s">
        <v>15</v>
      </c>
      <c r="H15" s="14"/>
      <c r="I15" s="15">
        <f>IFERROR(F15*H15,"")</f>
        <v>0</v>
      </c>
      <c r="J15" s="21" t="s">
        <v>41</v>
      </c>
    </row>
    <row r="16" spans="1:10" ht="30" customHeight="1">
      <c r="A16" s="7">
        <v>8</v>
      </c>
      <c r="B16" s="8" t="s">
        <v>42</v>
      </c>
      <c r="C16" s="9" t="s">
        <v>43</v>
      </c>
      <c r="D16" s="20" t="s">
        <v>44</v>
      </c>
      <c r="E16" s="11" t="s">
        <v>35</v>
      </c>
      <c r="F16" s="12">
        <v>3000</v>
      </c>
      <c r="G16" s="13" t="s">
        <v>15</v>
      </c>
      <c r="H16" s="14"/>
      <c r="I16" s="15">
        <f>IFERROR(F16*H16,"")</f>
        <v>0</v>
      </c>
      <c r="J16" s="16" t="s">
        <v>45</v>
      </c>
    </row>
    <row r="17" spans="1:10" ht="30" customHeight="1">
      <c r="A17" s="7">
        <v>9</v>
      </c>
      <c r="B17" s="8" t="s">
        <v>46</v>
      </c>
      <c r="C17" s="9" t="s">
        <v>47</v>
      </c>
      <c r="D17" s="22" t="s">
        <v>48</v>
      </c>
      <c r="E17" s="11" t="s">
        <v>14</v>
      </c>
      <c r="F17" s="12">
        <v>1</v>
      </c>
      <c r="G17" s="13" t="s">
        <v>15</v>
      </c>
      <c r="H17" s="14"/>
      <c r="I17" s="15">
        <f>IFERROR(F17*H17,"")</f>
        <v>0</v>
      </c>
      <c r="J17" s="16" t="s">
        <v>49</v>
      </c>
    </row>
    <row r="18" spans="1:10" ht="16.5" customHeight="1">
      <c r="A18" s="3" t="s">
        <v>50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87.75" customHeight="1">
      <c r="A19" s="7">
        <v>10</v>
      </c>
      <c r="B19" s="8" t="s">
        <v>51</v>
      </c>
      <c r="C19" s="9" t="s">
        <v>52</v>
      </c>
      <c r="D19" s="10" t="s">
        <v>53</v>
      </c>
      <c r="E19" s="11" t="s">
        <v>14</v>
      </c>
      <c r="F19" s="12">
        <v>19</v>
      </c>
      <c r="G19" s="13" t="s">
        <v>15</v>
      </c>
      <c r="H19" s="14"/>
      <c r="I19" s="15">
        <f>IFERROR(F19*H19,"")</f>
        <v>0</v>
      </c>
      <c r="J19" s="16" t="s">
        <v>54</v>
      </c>
    </row>
    <row r="20" spans="1:10" ht="87.75" customHeight="1">
      <c r="A20" s="7">
        <v>11</v>
      </c>
      <c r="B20" s="8" t="s">
        <v>55</v>
      </c>
      <c r="C20" s="9" t="s">
        <v>56</v>
      </c>
      <c r="D20" s="10" t="s">
        <v>57</v>
      </c>
      <c r="E20" s="11" t="s">
        <v>14</v>
      </c>
      <c r="F20" s="12">
        <v>8</v>
      </c>
      <c r="G20" s="13" t="s">
        <v>15</v>
      </c>
      <c r="H20" s="14"/>
      <c r="I20" s="15">
        <f>IFERROR(F20*H20,"")</f>
        <v>0</v>
      </c>
      <c r="J20" s="16" t="s">
        <v>54</v>
      </c>
    </row>
    <row r="21" spans="1:10" ht="30" customHeight="1">
      <c r="A21" s="7">
        <v>12</v>
      </c>
      <c r="B21" s="8" t="s">
        <v>58</v>
      </c>
      <c r="C21" s="9" t="s">
        <v>59</v>
      </c>
      <c r="D21" s="20" t="s">
        <v>60</v>
      </c>
      <c r="E21" s="11" t="s">
        <v>61</v>
      </c>
      <c r="F21" s="12">
        <v>250</v>
      </c>
      <c r="G21" s="13" t="s">
        <v>15</v>
      </c>
      <c r="H21" s="14"/>
      <c r="I21" s="15">
        <f>IFERROR(F21*H21,"")</f>
        <v>0</v>
      </c>
      <c r="J21" s="16" t="s">
        <v>62</v>
      </c>
    </row>
    <row r="22" spans="1:10" ht="16.5" customHeight="1">
      <c r="A22" s="3" t="s">
        <v>63</v>
      </c>
      <c r="B22" s="3"/>
      <c r="C22" s="3"/>
      <c r="D22" s="3"/>
      <c r="E22" s="3"/>
      <c r="F22" s="3"/>
      <c r="G22" s="3"/>
      <c r="H22" s="3"/>
      <c r="I22" s="3"/>
      <c r="J22" s="3"/>
    </row>
    <row r="23" spans="1:10" ht="30" customHeight="1">
      <c r="A23" s="7">
        <v>13</v>
      </c>
      <c r="B23" s="19" t="s">
        <v>64</v>
      </c>
      <c r="C23" s="9" t="s">
        <v>65</v>
      </c>
      <c r="D23" s="22" t="s">
        <v>66</v>
      </c>
      <c r="E23" s="11" t="s">
        <v>14</v>
      </c>
      <c r="F23" s="12">
        <v>2</v>
      </c>
      <c r="G23" s="13" t="s">
        <v>15</v>
      </c>
      <c r="H23" s="14"/>
      <c r="I23" s="15">
        <f t="shared" ref="I23:I30" si="0">IFERROR(F23*H23,"")</f>
        <v>0</v>
      </c>
      <c r="J23" s="16" t="s">
        <v>67</v>
      </c>
    </row>
    <row r="24" spans="1:10" ht="30" customHeight="1">
      <c r="A24" s="7">
        <v>14</v>
      </c>
      <c r="B24" s="19" t="s">
        <v>68</v>
      </c>
      <c r="C24" s="9" t="s">
        <v>69</v>
      </c>
      <c r="D24" s="22" t="s">
        <v>70</v>
      </c>
      <c r="E24" s="11" t="s">
        <v>14</v>
      </c>
      <c r="F24" s="12">
        <v>35</v>
      </c>
      <c r="G24" s="13" t="s">
        <v>15</v>
      </c>
      <c r="H24" s="14"/>
      <c r="I24" s="15">
        <f t="shared" si="0"/>
        <v>0</v>
      </c>
      <c r="J24" s="16" t="s">
        <v>71</v>
      </c>
    </row>
    <row r="25" spans="1:10" ht="30" customHeight="1">
      <c r="A25" s="7">
        <v>15</v>
      </c>
      <c r="B25" s="19" t="s">
        <v>72</v>
      </c>
      <c r="C25" s="9" t="s">
        <v>73</v>
      </c>
      <c r="D25" s="22" t="s">
        <v>74</v>
      </c>
      <c r="E25" s="11" t="s">
        <v>14</v>
      </c>
      <c r="F25" s="12">
        <v>58</v>
      </c>
      <c r="G25" s="13" t="s">
        <v>15</v>
      </c>
      <c r="H25" s="14"/>
      <c r="I25" s="15">
        <f t="shared" si="0"/>
        <v>0</v>
      </c>
      <c r="J25" s="16"/>
    </row>
    <row r="26" spans="1:10" ht="30" customHeight="1">
      <c r="A26" s="7">
        <v>16</v>
      </c>
      <c r="B26" s="8" t="s">
        <v>75</v>
      </c>
      <c r="C26" s="9" t="s">
        <v>47</v>
      </c>
      <c r="D26" s="22" t="s">
        <v>76</v>
      </c>
      <c r="E26" s="11" t="s">
        <v>77</v>
      </c>
      <c r="F26" s="12">
        <v>10</v>
      </c>
      <c r="G26" s="13" t="s">
        <v>15</v>
      </c>
      <c r="H26" s="14"/>
      <c r="I26" s="15">
        <f t="shared" si="0"/>
        <v>0</v>
      </c>
      <c r="J26" s="16"/>
    </row>
    <row r="27" spans="1:10" ht="30" customHeight="1">
      <c r="A27" s="7">
        <v>17</v>
      </c>
      <c r="B27" s="8" t="s">
        <v>78</v>
      </c>
      <c r="C27" s="9" t="s">
        <v>79</v>
      </c>
      <c r="D27" s="20" t="s">
        <v>80</v>
      </c>
      <c r="E27" s="11" t="s">
        <v>81</v>
      </c>
      <c r="F27" s="12">
        <v>160</v>
      </c>
      <c r="G27" s="13" t="s">
        <v>15</v>
      </c>
      <c r="H27" s="14"/>
      <c r="I27" s="15">
        <f t="shared" si="0"/>
        <v>0</v>
      </c>
      <c r="J27" s="16" t="s">
        <v>82</v>
      </c>
    </row>
    <row r="28" spans="1:10" ht="30" customHeight="1">
      <c r="A28" s="7">
        <v>18</v>
      </c>
      <c r="B28" s="8" t="s">
        <v>83</v>
      </c>
      <c r="C28" s="9" t="s">
        <v>84</v>
      </c>
      <c r="D28" s="20" t="s">
        <v>85</v>
      </c>
      <c r="E28" s="11" t="s">
        <v>86</v>
      </c>
      <c r="F28" s="12">
        <v>8000</v>
      </c>
      <c r="G28" s="13" t="s">
        <v>15</v>
      </c>
      <c r="H28" s="14"/>
      <c r="I28" s="15">
        <f t="shared" si="0"/>
        <v>0</v>
      </c>
      <c r="J28" s="16" t="s">
        <v>87</v>
      </c>
    </row>
    <row r="29" spans="1:10" ht="30" customHeight="1">
      <c r="A29" s="7">
        <v>19</v>
      </c>
      <c r="B29" s="8" t="s">
        <v>88</v>
      </c>
      <c r="C29" s="23" t="s">
        <v>89</v>
      </c>
      <c r="D29" s="20" t="s">
        <v>90</v>
      </c>
      <c r="E29" s="11" t="s">
        <v>91</v>
      </c>
      <c r="F29" s="12">
        <v>1</v>
      </c>
      <c r="G29" s="13" t="s">
        <v>15</v>
      </c>
      <c r="H29" s="14"/>
      <c r="I29" s="15">
        <f t="shared" si="0"/>
        <v>0</v>
      </c>
      <c r="J29" s="16" t="s">
        <v>92</v>
      </c>
    </row>
    <row r="30" spans="1:10" ht="60" customHeight="1">
      <c r="A30" s="7">
        <v>20</v>
      </c>
      <c r="B30" s="8" t="s">
        <v>93</v>
      </c>
      <c r="C30" s="9" t="s">
        <v>94</v>
      </c>
      <c r="D30" s="20" t="s">
        <v>95</v>
      </c>
      <c r="E30" s="11" t="s">
        <v>14</v>
      </c>
      <c r="F30" s="12">
        <v>1</v>
      </c>
      <c r="G30" s="13" t="s">
        <v>15</v>
      </c>
      <c r="H30" s="14"/>
      <c r="I30" s="15">
        <f t="shared" si="0"/>
        <v>0</v>
      </c>
      <c r="J30" s="16" t="s">
        <v>96</v>
      </c>
    </row>
    <row r="31" spans="1:10" ht="16.5" customHeight="1">
      <c r="A31" s="3" t="s">
        <v>97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ht="115.5" customHeight="1">
      <c r="A32" s="7">
        <v>21</v>
      </c>
      <c r="B32" s="8" t="s">
        <v>98</v>
      </c>
      <c r="C32" s="9" t="s">
        <v>99</v>
      </c>
      <c r="D32" s="24" t="s">
        <v>100</v>
      </c>
      <c r="E32" s="11" t="s">
        <v>101</v>
      </c>
      <c r="F32" s="12">
        <v>6</v>
      </c>
      <c r="G32" s="13" t="s">
        <v>15</v>
      </c>
      <c r="H32" s="14"/>
      <c r="I32" s="15">
        <f t="shared" ref="I32:I41" si="1">IFERROR(F32*H32,"")</f>
        <v>0</v>
      </c>
      <c r="J32" s="16" t="s">
        <v>102</v>
      </c>
    </row>
    <row r="33" spans="1:10" ht="115.5" customHeight="1">
      <c r="A33" s="7">
        <v>22</v>
      </c>
      <c r="B33" s="19" t="s">
        <v>103</v>
      </c>
      <c r="C33" s="9" t="s">
        <v>104</v>
      </c>
      <c r="D33" s="24" t="s">
        <v>105</v>
      </c>
      <c r="E33" s="11" t="s">
        <v>14</v>
      </c>
      <c r="F33" s="12">
        <v>1</v>
      </c>
      <c r="G33" s="13" t="s">
        <v>15</v>
      </c>
      <c r="H33" s="14"/>
      <c r="I33" s="15">
        <f t="shared" si="1"/>
        <v>0</v>
      </c>
      <c r="J33" s="16" t="s">
        <v>106</v>
      </c>
    </row>
    <row r="34" spans="1:10" ht="73.5" customHeight="1">
      <c r="A34" s="7">
        <v>23</v>
      </c>
      <c r="B34" s="19" t="s">
        <v>107</v>
      </c>
      <c r="C34" s="9" t="s">
        <v>108</v>
      </c>
      <c r="D34" s="10" t="s">
        <v>109</v>
      </c>
      <c r="E34" s="11" t="s">
        <v>14</v>
      </c>
      <c r="F34" s="12">
        <v>12</v>
      </c>
      <c r="G34" s="13" t="s">
        <v>15</v>
      </c>
      <c r="H34" s="14"/>
      <c r="I34" s="15">
        <f t="shared" si="1"/>
        <v>0</v>
      </c>
      <c r="J34" s="16" t="s">
        <v>110</v>
      </c>
    </row>
    <row r="35" spans="1:10" ht="45.75" customHeight="1">
      <c r="A35" s="7">
        <v>24</v>
      </c>
      <c r="B35" s="19" t="s">
        <v>111</v>
      </c>
      <c r="C35" s="9" t="s">
        <v>112</v>
      </c>
      <c r="D35" s="10" t="s">
        <v>113</v>
      </c>
      <c r="E35" s="11" t="s">
        <v>14</v>
      </c>
      <c r="F35" s="12">
        <v>12</v>
      </c>
      <c r="G35" s="13" t="s">
        <v>15</v>
      </c>
      <c r="H35" s="14"/>
      <c r="I35" s="15">
        <f t="shared" si="1"/>
        <v>0</v>
      </c>
      <c r="J35" s="16" t="s">
        <v>114</v>
      </c>
    </row>
    <row r="36" spans="1:10" ht="30" customHeight="1">
      <c r="A36" s="7">
        <v>25</v>
      </c>
      <c r="B36" s="8" t="s">
        <v>115</v>
      </c>
      <c r="C36" s="25" t="s">
        <v>116</v>
      </c>
      <c r="D36" s="20" t="s">
        <v>117</v>
      </c>
      <c r="E36" s="11" t="s">
        <v>14</v>
      </c>
      <c r="F36" s="12">
        <v>1</v>
      </c>
      <c r="G36" s="26" t="s">
        <v>15</v>
      </c>
      <c r="H36" s="14"/>
      <c r="I36" s="15">
        <f t="shared" si="1"/>
        <v>0</v>
      </c>
      <c r="J36" s="16" t="s">
        <v>118</v>
      </c>
    </row>
    <row r="37" spans="1:10" ht="30" customHeight="1">
      <c r="A37" s="7">
        <v>26</v>
      </c>
      <c r="B37" s="8" t="s">
        <v>119</v>
      </c>
      <c r="C37" s="9" t="s">
        <v>120</v>
      </c>
      <c r="D37" s="20" t="s">
        <v>121</v>
      </c>
      <c r="E37" s="11" t="s">
        <v>91</v>
      </c>
      <c r="F37" s="12">
        <v>1</v>
      </c>
      <c r="G37" s="13" t="s">
        <v>15</v>
      </c>
      <c r="H37" s="14"/>
      <c r="I37" s="15">
        <f t="shared" si="1"/>
        <v>0</v>
      </c>
      <c r="J37" s="16" t="s">
        <v>122</v>
      </c>
    </row>
    <row r="38" spans="1:10" ht="30" customHeight="1">
      <c r="A38" s="7">
        <v>27</v>
      </c>
      <c r="B38" s="8" t="s">
        <v>123</v>
      </c>
      <c r="C38" s="23" t="s">
        <v>89</v>
      </c>
      <c r="D38" s="20" t="s">
        <v>124</v>
      </c>
      <c r="E38" s="11" t="s">
        <v>125</v>
      </c>
      <c r="F38" s="12">
        <v>1</v>
      </c>
      <c r="G38" s="13" t="s">
        <v>15</v>
      </c>
      <c r="H38" s="14"/>
      <c r="I38" s="15">
        <f t="shared" si="1"/>
        <v>0</v>
      </c>
      <c r="J38" s="16" t="s">
        <v>126</v>
      </c>
    </row>
    <row r="39" spans="1:10" ht="87.75" customHeight="1">
      <c r="A39" s="7">
        <v>28</v>
      </c>
      <c r="B39" s="8" t="s">
        <v>127</v>
      </c>
      <c r="C39" s="9" t="s">
        <v>128</v>
      </c>
      <c r="D39" s="24" t="s">
        <v>129</v>
      </c>
      <c r="E39" s="11" t="s">
        <v>125</v>
      </c>
      <c r="F39" s="12">
        <v>1</v>
      </c>
      <c r="G39" s="13" t="s">
        <v>15</v>
      </c>
      <c r="H39" s="14"/>
      <c r="I39" s="15">
        <f t="shared" si="1"/>
        <v>0</v>
      </c>
      <c r="J39" s="16"/>
    </row>
    <row r="40" spans="1:10" ht="87.75" customHeight="1">
      <c r="A40" s="7">
        <v>29</v>
      </c>
      <c r="B40" s="8" t="s">
        <v>130</v>
      </c>
      <c r="C40" s="9" t="s">
        <v>131</v>
      </c>
      <c r="D40" s="24" t="s">
        <v>132</v>
      </c>
      <c r="E40" s="11" t="s">
        <v>14</v>
      </c>
      <c r="F40" s="12">
        <v>2</v>
      </c>
      <c r="G40" s="13" t="s">
        <v>15</v>
      </c>
      <c r="H40" s="14"/>
      <c r="I40" s="15">
        <f t="shared" si="1"/>
        <v>0</v>
      </c>
      <c r="J40" s="16" t="s">
        <v>133</v>
      </c>
    </row>
    <row r="41" spans="1:10" ht="30" customHeight="1">
      <c r="A41" s="7">
        <v>30</v>
      </c>
      <c r="B41" s="19" t="s">
        <v>134</v>
      </c>
      <c r="C41" s="9" t="s">
        <v>135</v>
      </c>
      <c r="D41" s="22" t="s">
        <v>136</v>
      </c>
      <c r="E41" s="11" t="s">
        <v>14</v>
      </c>
      <c r="F41" s="12">
        <v>2</v>
      </c>
      <c r="G41" s="13" t="s">
        <v>15</v>
      </c>
      <c r="H41" s="14"/>
      <c r="I41" s="15">
        <f t="shared" si="1"/>
        <v>0</v>
      </c>
      <c r="J41" s="16"/>
    </row>
    <row r="42" spans="1:10" ht="16.5" customHeight="1">
      <c r="A42" s="3" t="s">
        <v>137</v>
      </c>
      <c r="B42" s="3"/>
      <c r="C42" s="3"/>
      <c r="D42" s="3"/>
      <c r="E42" s="3"/>
      <c r="F42" s="3"/>
      <c r="G42" s="3"/>
      <c r="H42" s="3"/>
      <c r="I42" s="3"/>
      <c r="J42" s="3"/>
    </row>
    <row r="43" spans="1:10" ht="30" customHeight="1">
      <c r="A43" s="7">
        <v>31</v>
      </c>
      <c r="B43" s="8" t="s">
        <v>138</v>
      </c>
      <c r="C43" s="23" t="s">
        <v>89</v>
      </c>
      <c r="D43" s="20" t="s">
        <v>139</v>
      </c>
      <c r="E43" s="11" t="s">
        <v>125</v>
      </c>
      <c r="F43" s="12">
        <v>146</v>
      </c>
      <c r="G43" s="13" t="s">
        <v>15</v>
      </c>
      <c r="H43" s="14"/>
      <c r="I43" s="15">
        <f>IFERROR(F43*H43,"")</f>
        <v>0</v>
      </c>
      <c r="J43" s="16" t="s">
        <v>140</v>
      </c>
    </row>
    <row r="44" spans="1:10" ht="30" customHeight="1">
      <c r="A44" s="7">
        <v>32</v>
      </c>
      <c r="B44" s="8" t="s">
        <v>141</v>
      </c>
      <c r="C44" s="9" t="s">
        <v>142</v>
      </c>
      <c r="D44" s="22" t="s">
        <v>143</v>
      </c>
      <c r="E44" s="11" t="s">
        <v>86</v>
      </c>
      <c r="F44" s="12">
        <v>12500</v>
      </c>
      <c r="G44" s="13" t="s">
        <v>15</v>
      </c>
      <c r="H44" s="14"/>
      <c r="I44" s="15">
        <f>IFERROR(F44*H44,"")</f>
        <v>0</v>
      </c>
      <c r="J44" s="16" t="s">
        <v>144</v>
      </c>
    </row>
    <row r="45" spans="1:10" ht="30" customHeight="1">
      <c r="A45" s="7">
        <v>33</v>
      </c>
      <c r="B45" s="19" t="s">
        <v>145</v>
      </c>
      <c r="C45" s="9" t="s">
        <v>146</v>
      </c>
      <c r="D45" s="22" t="s">
        <v>147</v>
      </c>
      <c r="E45" s="11" t="s">
        <v>86</v>
      </c>
      <c r="F45" s="12">
        <v>1000</v>
      </c>
      <c r="G45" s="13" t="s">
        <v>15</v>
      </c>
      <c r="H45" s="14"/>
      <c r="I45" s="15">
        <f>IFERROR(F45*H45,"")</f>
        <v>0</v>
      </c>
      <c r="J45" s="16"/>
    </row>
    <row r="46" spans="1:10" ht="30" customHeight="1">
      <c r="A46" s="7">
        <v>34</v>
      </c>
      <c r="B46" s="8" t="s">
        <v>148</v>
      </c>
      <c r="C46" s="23" t="s">
        <v>89</v>
      </c>
      <c r="D46" s="20" t="s">
        <v>149</v>
      </c>
      <c r="E46" s="11" t="s">
        <v>91</v>
      </c>
      <c r="F46" s="12">
        <v>1</v>
      </c>
      <c r="G46" s="13" t="s">
        <v>15</v>
      </c>
      <c r="H46" s="14"/>
      <c r="I46" s="15">
        <f>IFERROR(F46*H46,"")</f>
        <v>0</v>
      </c>
      <c r="J46" s="16" t="s">
        <v>150</v>
      </c>
    </row>
    <row r="47" spans="1:10" ht="16.5" customHeight="1">
      <c r="A47" s="3" t="s">
        <v>151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ht="30" customHeight="1">
      <c r="A48" s="7">
        <v>35</v>
      </c>
      <c r="B48" s="19" t="s">
        <v>152</v>
      </c>
      <c r="C48" s="23" t="s">
        <v>89</v>
      </c>
      <c r="D48" s="20" t="s">
        <v>153</v>
      </c>
      <c r="E48" s="11" t="s">
        <v>91</v>
      </c>
      <c r="F48" s="12">
        <v>1</v>
      </c>
      <c r="G48" s="13" t="s">
        <v>15</v>
      </c>
      <c r="H48" s="14"/>
      <c r="I48" s="15">
        <f>IFERROR(F48*H48,"")</f>
        <v>0</v>
      </c>
      <c r="J48" s="16" t="s">
        <v>154</v>
      </c>
    </row>
    <row r="49" spans="1:10" ht="30" customHeight="1">
      <c r="A49" s="7">
        <v>36</v>
      </c>
      <c r="B49" s="8" t="s">
        <v>155</v>
      </c>
      <c r="C49" s="23" t="s">
        <v>89</v>
      </c>
      <c r="D49" s="20" t="s">
        <v>156</v>
      </c>
      <c r="E49" s="11" t="s">
        <v>91</v>
      </c>
      <c r="F49" s="12">
        <v>1</v>
      </c>
      <c r="G49" s="13" t="s">
        <v>15</v>
      </c>
      <c r="H49" s="14"/>
      <c r="I49" s="15">
        <f>IFERROR(F49*H49,"")</f>
        <v>0</v>
      </c>
      <c r="J49" s="16"/>
    </row>
    <row r="50" spans="1:10" ht="30" customHeight="1">
      <c r="A50" s="7">
        <v>37</v>
      </c>
      <c r="B50" s="8" t="s">
        <v>157</v>
      </c>
      <c r="C50" s="23" t="s">
        <v>89</v>
      </c>
      <c r="D50" s="20" t="s">
        <v>158</v>
      </c>
      <c r="E50" s="11" t="s">
        <v>91</v>
      </c>
      <c r="F50" s="12">
        <v>1</v>
      </c>
      <c r="G50" s="13" t="s">
        <v>15</v>
      </c>
      <c r="H50" s="14"/>
      <c r="I50" s="15">
        <f>IFERROR(F50*H50,"")</f>
        <v>0</v>
      </c>
      <c r="J50" s="16" t="s">
        <v>159</v>
      </c>
    </row>
    <row r="51" spans="1:10" ht="30" customHeight="1">
      <c r="A51" s="7">
        <v>38</v>
      </c>
      <c r="B51" s="8" t="s">
        <v>160</v>
      </c>
      <c r="C51" s="23" t="s">
        <v>89</v>
      </c>
      <c r="D51" s="22" t="s">
        <v>205</v>
      </c>
      <c r="E51" s="11" t="s">
        <v>91</v>
      </c>
      <c r="F51" s="12">
        <v>1</v>
      </c>
      <c r="G51" s="13" t="s">
        <v>15</v>
      </c>
      <c r="H51" s="14"/>
      <c r="I51" s="15">
        <f>IFERROR(F51*H51,"")</f>
        <v>0</v>
      </c>
      <c r="J51" s="16" t="s">
        <v>161</v>
      </c>
    </row>
    <row r="52" spans="1:10" ht="21.75" customHeight="1">
      <c r="A52" s="1" t="s">
        <v>162</v>
      </c>
      <c r="B52" s="1"/>
      <c r="C52" s="1"/>
      <c r="D52" s="1"/>
      <c r="E52" s="1"/>
      <c r="F52" s="1"/>
      <c r="G52" s="1"/>
      <c r="H52" s="1"/>
      <c r="I52" s="27">
        <f>SUM(I6:I51)</f>
        <v>0</v>
      </c>
      <c r="J52" s="18"/>
    </row>
  </sheetData>
  <mergeCells count="12">
    <mergeCell ref="A47:J47"/>
    <mergeCell ref="A52:H52"/>
    <mergeCell ref="A14:J14"/>
    <mergeCell ref="A18:J18"/>
    <mergeCell ref="A22:J22"/>
    <mergeCell ref="A31:J31"/>
    <mergeCell ref="A42:J42"/>
    <mergeCell ref="A1:J1"/>
    <mergeCell ref="A2:J2"/>
    <mergeCell ref="A5:J5"/>
    <mergeCell ref="A10:D10"/>
    <mergeCell ref="A11:J11"/>
  </mergeCells>
  <phoneticPr fontId="35" type="noConversion"/>
  <pageMargins left="0.75" right="0.75" top="1" bottom="1" header="0.511811023622047" footer="0.511811023622047"/>
  <pageSetup paperSize="8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G33"/>
  <sheetViews>
    <sheetView showGridLines="0" zoomScaleNormal="100" workbookViewId="0">
      <selection activeCell="C13" sqref="C13"/>
    </sheetView>
  </sheetViews>
  <sheetFormatPr baseColWidth="10" defaultColWidth="8.6640625" defaultRowHeight="15"/>
  <cols>
    <col min="1" max="1" width="6" style="5" customWidth="1"/>
    <col min="2" max="2" width="18" style="5" customWidth="1"/>
    <col min="3" max="3" width="30" style="5" customWidth="1"/>
    <col min="4" max="4" width="12" style="5" customWidth="1"/>
    <col min="5" max="5" width="9.6640625" customWidth="1"/>
    <col min="7" max="7" width="10" customWidth="1"/>
    <col min="8" max="8" width="26" style="5" customWidth="1"/>
    <col min="12" max="12" width="20" style="5" customWidth="1"/>
    <col min="59" max="59" width="8" style="5" customWidth="1"/>
  </cols>
  <sheetData>
    <row r="1" spans="1:8" ht="21" customHeight="1">
      <c r="A1" s="45" t="s">
        <v>163</v>
      </c>
      <c r="B1" s="45"/>
      <c r="C1" s="45"/>
      <c r="D1" s="45"/>
      <c r="E1" s="45"/>
      <c r="F1" s="45"/>
      <c r="G1" s="45"/>
      <c r="H1" s="45"/>
    </row>
    <row r="2" spans="1:8">
      <c r="A2" s="46"/>
      <c r="B2" s="46"/>
      <c r="C2" s="46"/>
      <c r="D2" s="46"/>
      <c r="E2" s="47"/>
      <c r="F2" s="47"/>
      <c r="G2" s="47"/>
      <c r="H2" s="46"/>
    </row>
    <row r="3" spans="1:8" ht="30" customHeight="1" thickBot="1">
      <c r="A3" s="51" t="s">
        <v>0</v>
      </c>
      <c r="B3" s="51" t="s">
        <v>164</v>
      </c>
      <c r="C3" s="51" t="s">
        <v>165</v>
      </c>
      <c r="D3" s="51" t="s">
        <v>166</v>
      </c>
      <c r="E3" s="51" t="s">
        <v>167</v>
      </c>
      <c r="F3" s="52" t="s">
        <v>206</v>
      </c>
      <c r="G3" s="51" t="s">
        <v>168</v>
      </c>
      <c r="H3" s="51" t="s">
        <v>9</v>
      </c>
    </row>
    <row r="4" spans="1:8" ht="15" customHeight="1" thickTop="1">
      <c r="A4" s="48">
        <v>1</v>
      </c>
      <c r="B4" s="49" t="s">
        <v>169</v>
      </c>
      <c r="C4" s="49" t="s">
        <v>170</v>
      </c>
      <c r="D4" s="48"/>
      <c r="E4" s="48"/>
      <c r="F4" s="48">
        <v>58</v>
      </c>
      <c r="G4" s="48"/>
      <c r="H4" s="50" t="s">
        <v>171</v>
      </c>
    </row>
    <row r="5" spans="1:8" ht="15" customHeight="1">
      <c r="A5" s="37">
        <v>2</v>
      </c>
      <c r="B5" s="38" t="s">
        <v>169</v>
      </c>
      <c r="C5" s="38" t="s">
        <v>172</v>
      </c>
      <c r="D5" s="37"/>
      <c r="E5" s="37"/>
      <c r="F5" s="37">
        <v>27</v>
      </c>
      <c r="G5" s="37"/>
      <c r="H5" s="39" t="s">
        <v>171</v>
      </c>
    </row>
    <row r="6" spans="1:8" ht="15" customHeight="1">
      <c r="A6" s="37">
        <v>3</v>
      </c>
      <c r="B6" s="38" t="s">
        <v>169</v>
      </c>
      <c r="C6" s="38" t="s">
        <v>173</v>
      </c>
      <c r="D6" s="37"/>
      <c r="E6" s="37"/>
      <c r="F6" s="37">
        <v>8</v>
      </c>
      <c r="G6" s="37"/>
      <c r="H6" s="39" t="s">
        <v>171</v>
      </c>
    </row>
    <row r="7" spans="1:8" ht="15" customHeight="1">
      <c r="A7" s="37">
        <v>4</v>
      </c>
      <c r="B7" s="38" t="s">
        <v>169</v>
      </c>
      <c r="C7" s="38" t="s">
        <v>174</v>
      </c>
      <c r="D7" s="37"/>
      <c r="E7" s="37"/>
      <c r="F7" s="37">
        <v>2</v>
      </c>
      <c r="G7" s="37"/>
      <c r="H7" s="39" t="s">
        <v>171</v>
      </c>
    </row>
    <row r="8" spans="1:8" ht="15" customHeight="1">
      <c r="A8" s="37">
        <v>5</v>
      </c>
      <c r="B8" s="38" t="s">
        <v>175</v>
      </c>
      <c r="C8" s="38" t="s">
        <v>176</v>
      </c>
      <c r="D8" s="37"/>
      <c r="E8" s="37"/>
      <c r="F8" s="37"/>
      <c r="G8" s="37">
        <v>70</v>
      </c>
      <c r="H8" s="40" t="s">
        <v>177</v>
      </c>
    </row>
    <row r="9" spans="1:8" ht="15" customHeight="1">
      <c r="A9" s="37">
        <v>6</v>
      </c>
      <c r="B9" s="38" t="s">
        <v>175</v>
      </c>
      <c r="C9" s="38" t="s">
        <v>178</v>
      </c>
      <c r="D9" s="37">
        <v>58</v>
      </c>
      <c r="E9" s="37"/>
      <c r="F9" s="37"/>
      <c r="G9" s="37"/>
      <c r="H9" s="40" t="s">
        <v>179</v>
      </c>
    </row>
    <row r="10" spans="1:8" ht="15" customHeight="1">
      <c r="A10" s="37">
        <v>7</v>
      </c>
      <c r="B10" s="38" t="s">
        <v>180</v>
      </c>
      <c r="C10" s="38" t="s">
        <v>181</v>
      </c>
      <c r="D10" s="37"/>
      <c r="E10" s="37"/>
      <c r="F10" s="37">
        <v>46</v>
      </c>
      <c r="G10" s="37"/>
      <c r="H10" s="39" t="s">
        <v>171</v>
      </c>
    </row>
    <row r="11" spans="1:8" ht="15" customHeight="1">
      <c r="A11" s="37">
        <v>8</v>
      </c>
      <c r="B11" s="38" t="s">
        <v>182</v>
      </c>
      <c r="C11" s="38" t="s">
        <v>183</v>
      </c>
      <c r="D11" s="37">
        <v>3</v>
      </c>
      <c r="E11" s="37"/>
      <c r="F11" s="37">
        <v>44</v>
      </c>
      <c r="G11" s="37"/>
      <c r="H11" s="40" t="s">
        <v>184</v>
      </c>
    </row>
    <row r="12" spans="1:8" ht="15" customHeight="1">
      <c r="A12" s="37">
        <v>9</v>
      </c>
      <c r="B12" s="41" t="s">
        <v>185</v>
      </c>
      <c r="C12" s="38" t="s">
        <v>186</v>
      </c>
      <c r="D12" s="37"/>
      <c r="E12" s="37"/>
      <c r="F12" s="37">
        <v>8</v>
      </c>
      <c r="G12" s="37"/>
      <c r="H12" s="39" t="s">
        <v>171</v>
      </c>
    </row>
    <row r="13" spans="1:8" ht="15" customHeight="1">
      <c r="A13" s="37">
        <v>10</v>
      </c>
      <c r="B13" s="38" t="s">
        <v>187</v>
      </c>
      <c r="C13" s="38" t="s">
        <v>188</v>
      </c>
      <c r="D13" s="37"/>
      <c r="E13" s="37"/>
      <c r="F13" s="37"/>
      <c r="G13" s="37">
        <v>10</v>
      </c>
      <c r="H13" s="40" t="s">
        <v>189</v>
      </c>
    </row>
    <row r="14" spans="1:8" ht="15" customHeight="1">
      <c r="A14" s="37">
        <v>11</v>
      </c>
      <c r="B14" s="38" t="s">
        <v>187</v>
      </c>
      <c r="C14" s="38" t="s">
        <v>190</v>
      </c>
      <c r="D14" s="37"/>
      <c r="E14" s="37"/>
      <c r="F14" s="37"/>
      <c r="G14" s="37">
        <v>4</v>
      </c>
      <c r="H14" s="40" t="s">
        <v>189</v>
      </c>
    </row>
    <row r="15" spans="1:8" ht="15" customHeight="1">
      <c r="A15" s="37">
        <v>12</v>
      </c>
      <c r="B15" s="38" t="s">
        <v>187</v>
      </c>
      <c r="C15" s="38" t="s">
        <v>191</v>
      </c>
      <c r="D15" s="37"/>
      <c r="E15" s="37"/>
      <c r="F15" s="37"/>
      <c r="G15" s="37">
        <v>2</v>
      </c>
      <c r="H15" s="40" t="s">
        <v>189</v>
      </c>
    </row>
    <row r="16" spans="1:8" ht="15" customHeight="1">
      <c r="A16" s="37">
        <v>13</v>
      </c>
      <c r="B16" s="38" t="s">
        <v>187</v>
      </c>
      <c r="C16" s="38" t="s">
        <v>192</v>
      </c>
      <c r="D16" s="37"/>
      <c r="E16" s="37"/>
      <c r="F16" s="37"/>
      <c r="G16" s="37">
        <v>6</v>
      </c>
      <c r="H16" s="40" t="s">
        <v>189</v>
      </c>
    </row>
    <row r="17" spans="1:8" ht="24" customHeight="1">
      <c r="A17" s="37">
        <v>14</v>
      </c>
      <c r="B17" s="38" t="s">
        <v>193</v>
      </c>
      <c r="C17" s="38" t="s">
        <v>194</v>
      </c>
      <c r="D17" s="37">
        <v>41</v>
      </c>
      <c r="E17" s="37"/>
      <c r="F17" s="37"/>
      <c r="G17" s="37"/>
      <c r="H17" s="40" t="s">
        <v>195</v>
      </c>
    </row>
    <row r="18" spans="1:8" ht="15" customHeight="1">
      <c r="A18" s="37">
        <v>15</v>
      </c>
      <c r="B18" s="38" t="s">
        <v>196</v>
      </c>
      <c r="C18" s="38" t="s">
        <v>197</v>
      </c>
      <c r="D18" s="37"/>
      <c r="E18" s="37">
        <v>44</v>
      </c>
      <c r="F18" s="37"/>
      <c r="G18" s="37"/>
      <c r="H18" s="40" t="s">
        <v>198</v>
      </c>
    </row>
    <row r="19" spans="1:8" ht="15" customHeight="1">
      <c r="A19" s="42" t="s">
        <v>199</v>
      </c>
      <c r="B19" s="43" t="s">
        <v>200</v>
      </c>
      <c r="C19" s="43"/>
      <c r="D19" s="42">
        <f>SUM(D4:D18)</f>
        <v>102</v>
      </c>
      <c r="E19" s="42">
        <f>SUM(E4:E18)</f>
        <v>44</v>
      </c>
      <c r="F19" s="42">
        <f>SUM(F4:F18)</f>
        <v>193</v>
      </c>
      <c r="G19" s="42">
        <f>SUM(G4:G18)</f>
        <v>92</v>
      </c>
      <c r="H19" s="44" t="s">
        <v>201</v>
      </c>
    </row>
    <row r="20" spans="1:8" ht="16.5" customHeight="1">
      <c r="A20" s="28"/>
    </row>
    <row r="21" spans="1:8" ht="16.5" customHeight="1">
      <c r="A21" s="29"/>
    </row>
    <row r="22" spans="1:8" ht="16.5" customHeight="1">
      <c r="A22" s="29"/>
    </row>
    <row r="23" spans="1:8" ht="16.5" customHeight="1">
      <c r="A23" s="29"/>
    </row>
    <row r="24" spans="1:8" ht="16.5" customHeight="1">
      <c r="A24" s="29"/>
    </row>
    <row r="25" spans="1:8" ht="16.5" customHeight="1">
      <c r="A25" s="29"/>
    </row>
    <row r="26" spans="1:8" ht="16.5" customHeight="1">
      <c r="A26" s="29"/>
    </row>
    <row r="27" spans="1:8" ht="16.5" customHeight="1"/>
    <row r="28" spans="1:8" ht="16.5" customHeight="1">
      <c r="A28" s="30"/>
    </row>
    <row r="29" spans="1:8" ht="16.5" customHeight="1">
      <c r="A29" s="30"/>
    </row>
    <row r="30" spans="1:8" ht="16.5" customHeight="1">
      <c r="A30" s="30"/>
    </row>
    <row r="31" spans="1:8" ht="16.5" customHeight="1">
      <c r="A31" s="30"/>
    </row>
    <row r="32" spans="1:8" ht="16.5" customHeight="1">
      <c r="E32" s="31"/>
      <c r="F32" s="28"/>
    </row>
    <row r="33" spans="5:6" ht="16.5" customHeight="1">
      <c r="E33" s="31"/>
      <c r="F33" s="32"/>
    </row>
  </sheetData>
  <mergeCells count="2">
    <mergeCell ref="A1:H1"/>
    <mergeCell ref="B19:C19"/>
  </mergeCells>
  <phoneticPr fontId="35" type="noConversion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工程量清单</vt:lpstr>
      <vt:lpstr>摄像机点位明细</vt:lpstr>
      <vt:lpstr>工程量清单!Print_Titles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zk5039</cp:lastModifiedBy>
  <cp:revision>0</cp:revision>
  <dcterms:created xsi:type="dcterms:W3CDTF">2026-07-31T14:42:14Z</dcterms:created>
  <dcterms:modified xsi:type="dcterms:W3CDTF">2026-07-31T17:04:17Z</dcterms:modified>
  <dc:language>en-US</dc:language>
</cp:coreProperties>
</file>