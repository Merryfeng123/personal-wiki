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111-lin\B T1T2T3项目\项目型ing\!ongoing-20260901-T3-ESG- 阳光电源智慧园区（一期）项目-常规采购-900万\"/>
    </mc:Choice>
  </mc:AlternateContent>
  <xr:revisionPtr revIDLastSave="0" documentId="13_ncr:1_{CD8D5B8B-8D6A-409F-A609-DAF58D6D570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总价汇总表" sheetId="1" r:id="rId1"/>
    <sheet name="软件-报价汇总表" sheetId="5" r:id="rId2"/>
    <sheet name="软件-产品费用报价明细" sheetId="6" r:id="rId3"/>
    <sheet name="软件-实施费用报价明细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7" i="7" l="1"/>
  <c r="N17" i="7" s="1"/>
  <c r="N16" i="7"/>
  <c r="L16" i="7"/>
  <c r="L15" i="7"/>
  <c r="N15" i="7" s="1"/>
  <c r="N14" i="7"/>
  <c r="L14" i="7"/>
  <c r="L13" i="7"/>
  <c r="N13" i="7" s="1"/>
  <c r="L12" i="7"/>
  <c r="N12" i="7" s="1"/>
  <c r="L11" i="7"/>
  <c r="N11" i="7" s="1"/>
  <c r="L10" i="7"/>
  <c r="N10" i="7" s="1"/>
  <c r="L9" i="7"/>
  <c r="N9" i="7" s="1"/>
  <c r="L8" i="7"/>
  <c r="N8" i="7" s="1"/>
  <c r="L7" i="7"/>
  <c r="N7" i="7" s="1"/>
  <c r="L6" i="7"/>
  <c r="L19" i="7" s="1"/>
  <c r="G12" i="6"/>
  <c r="G6" i="5"/>
  <c r="H6" i="5" s="1"/>
  <c r="F4" i="5"/>
  <c r="G4" i="5" s="1"/>
  <c r="D6" i="1"/>
  <c r="H4" i="5" l="1"/>
  <c r="N6" i="7"/>
  <c r="N19" i="7" s="1"/>
  <c r="F5" i="5" s="1"/>
  <c r="G5" i="5" s="1"/>
  <c r="H5" i="5" s="1"/>
  <c r="H7" i="5" l="1"/>
  <c r="G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D4" authorId="0" shapeId="0" xr:uid="{00000000-0006-0000-0600-000001000000}">
      <text>
        <r>
          <rPr>
            <b/>
            <sz val="9"/>
            <color rgb="FF000000"/>
            <rFont val="宋体"/>
            <family val="3"/>
            <charset val="134"/>
          </rPr>
          <t>Administrator:</t>
        </r>
        <r>
          <rPr>
            <sz val="9"/>
            <color rgb="FF000000"/>
            <rFont val="宋体"/>
            <family val="3"/>
            <charset val="134"/>
          </rPr>
          <t xml:space="preserve">
仅为示意，请根据SOW要求划分关键阶段</t>
        </r>
        <r>
          <rPr>
            <sz val="10"/>
            <color rgb="FF000000"/>
            <rFont val="宋体"/>
            <family val="3"/>
            <charset val="134"/>
          </rPr>
          <t xml:space="preserve">
  - 卢晓华 lulu</t>
        </r>
        <r>
          <rPr>
            <sz val="10"/>
            <rFont val="宋体"/>
            <family val="3"/>
            <charset val="134"/>
          </rPr>
          <t xml:space="preserve">
  - 吕先超</t>
        </r>
      </text>
    </comment>
  </commentList>
</comments>
</file>

<file path=xl/sharedStrings.xml><?xml version="1.0" encoding="utf-8"?>
<sst xmlns="http://schemas.openxmlformats.org/spreadsheetml/2006/main" count="109" uniqueCount="80">
  <si>
    <t>密级：公开</t>
  </si>
  <si>
    <t>序号</t>
  </si>
  <si>
    <t>系统名称</t>
  </si>
  <si>
    <t>税率</t>
  </si>
  <si>
    <t>不含税总价</t>
  </si>
  <si>
    <t>含税总价</t>
  </si>
  <si>
    <t>备注</t>
  </si>
  <si>
    <t>硬件部分</t>
  </si>
  <si>
    <t>软件部分</t>
  </si>
  <si>
    <t>总计（元）</t>
  </si>
  <si>
    <t>按此未税金额投标</t>
  </si>
  <si>
    <t>数量</t>
  </si>
  <si>
    <t>单位</t>
  </si>
  <si>
    <t>未税小计</t>
  </si>
  <si>
    <t>项</t>
  </si>
  <si>
    <t>项目内容</t>
  </si>
  <si>
    <t>未税单价</t>
  </si>
  <si>
    <t>含税小计</t>
  </si>
  <si>
    <t>产品费用</t>
  </si>
  <si>
    <t>实施费用</t>
  </si>
  <si>
    <t>运维费（第四到第五年）</t>
  </si>
  <si>
    <t>年</t>
  </si>
  <si>
    <t>合计</t>
  </si>
  <si>
    <t>软件/模块名称</t>
  </si>
  <si>
    <t>版本号</t>
  </si>
  <si>
    <t>未税合计</t>
  </si>
  <si>
    <t>是否买断</t>
  </si>
  <si>
    <t>如是否买断为“否”，则报价需包含运维阶段（第一至五年）的所有订阅费用</t>
  </si>
  <si>
    <t>密级：秘密</t>
  </si>
  <si>
    <t>项目人员姓名</t>
  </si>
  <si>
    <t xml:space="preserve"> 项目角色</t>
  </si>
  <si>
    <t>实施方式</t>
  </si>
  <si>
    <t>人天数量（人/天）</t>
  </si>
  <si>
    <t>人天费用（未税）</t>
  </si>
  <si>
    <t>项目启动与流程分析、调研报告编写</t>
  </si>
  <si>
    <t>蓝图文件编写、讨论、评估、确认、汇报</t>
  </si>
  <si>
    <t>系统配置、客户化接口开发</t>
  </si>
  <si>
    <t>接口联调、内部测试</t>
  </si>
  <si>
    <t>关键用户测试（单元测试及集成测试）</t>
  </si>
  <si>
    <t>用户培训及KT</t>
  </si>
  <si>
    <t>上线准备</t>
  </si>
  <si>
    <t>上线后现场运维【3】个月</t>
  </si>
  <si>
    <t>人天汇总</t>
  </si>
  <si>
    <t>实施单价
（人/天/元）</t>
  </si>
  <si>
    <t>实施费用
小计(元)</t>
  </si>
  <si>
    <t>自然周</t>
  </si>
  <si>
    <t>现场/远程</t>
  </si>
  <si>
    <r>
      <rPr>
        <sz val="10"/>
        <color rgb="FF000000"/>
        <rFont val="微软雅黑"/>
        <family val="2"/>
        <charset val="134"/>
      </rPr>
      <t>Week1—</t>
    </r>
    <r>
      <rPr>
        <sz val="10"/>
        <color rgb="FFFF0000"/>
        <rFont val="微软雅黑"/>
        <family val="2"/>
        <charset val="134"/>
      </rPr>
      <t>Week？</t>
    </r>
  </si>
  <si>
    <t>Week？—Week？</t>
  </si>
  <si>
    <t>项目总监</t>
  </si>
  <si>
    <t>现场</t>
  </si>
  <si>
    <t>远程</t>
  </si>
  <si>
    <t>项目经理</t>
  </si>
  <si>
    <t>业务顾问1</t>
  </si>
  <si>
    <t>业务顾问2</t>
  </si>
  <si>
    <t>开发顾问1</t>
  </si>
  <si>
    <t>…...</t>
  </si>
  <si>
    <t>人天量总计</t>
  </si>
  <si>
    <t>费用总计</t>
  </si>
  <si>
    <t>：甲方备注</t>
  </si>
  <si>
    <t>请合理安排项目计划，人力投入需要具体到每个人员的每周投入</t>
  </si>
  <si>
    <t>本项目报价清单中单价固定，招标范围内总价包干。项目交付中若有需求量变更按投标单价据实结算；</t>
  </si>
  <si>
    <t>项目费用需要在表中具体到每个人员的实施费用，费用包含差旅食宿等一切费用，后期不再接受报价外费用。</t>
  </si>
  <si>
    <t>乙方备注：</t>
  </si>
  <si>
    <r>
      <rPr>
        <b/>
        <sz val="11"/>
        <color rgb="FF000000"/>
        <rFont val="等线"/>
        <family val="3"/>
        <charset val="134"/>
      </rPr>
      <t>实施费用增值税专票税率：</t>
    </r>
    <r>
      <rPr>
        <b/>
        <sz val="11"/>
        <color rgb="FFFF0000"/>
        <rFont val="等线"/>
        <family val="3"/>
        <charset val="134"/>
      </rPr>
      <t>【供应商填写】 %</t>
    </r>
  </si>
  <si>
    <t>备注：以上是实施费用报价模板，须按照模板报价。</t>
  </si>
  <si>
    <t>x</t>
    <phoneticPr fontId="22" type="noConversion"/>
  </si>
  <si>
    <t>智慧物流</t>
    <phoneticPr fontId="24" type="noConversion"/>
  </si>
  <si>
    <t>智慧消防</t>
    <phoneticPr fontId="24" type="noConversion"/>
  </si>
  <si>
    <t>智慧安防</t>
    <phoneticPr fontId="24" type="noConversion"/>
  </si>
  <si>
    <t>宿舍管理</t>
    <phoneticPr fontId="24" type="noConversion"/>
  </si>
  <si>
    <t>外协人员管理</t>
    <phoneticPr fontId="24" type="noConversion"/>
  </si>
  <si>
    <t>报表管理模块</t>
    <phoneticPr fontId="24" type="noConversion"/>
  </si>
  <si>
    <t>移动及多屏应用</t>
    <phoneticPr fontId="24" type="noConversion"/>
  </si>
  <si>
    <t>智慧园区平台</t>
    <phoneticPr fontId="24" type="noConversion"/>
  </si>
  <si>
    <t>系统管理模块</t>
    <phoneticPr fontId="24" type="noConversion"/>
  </si>
  <si>
    <t>XX智慧园区一期建设清单报价清单-汇总表</t>
    <phoneticPr fontId="22" type="noConversion"/>
  </si>
  <si>
    <t>XX智慧园区一期建设清单（软件）报价清单</t>
    <phoneticPr fontId="24" type="noConversion"/>
  </si>
  <si>
    <t>【XX智慧园区一期建设项目】人天资源投入价格清单</t>
    <phoneticPr fontId="24" type="noConversion"/>
  </si>
  <si>
    <r>
      <t>报价须知：
1、三年免费维护（即一期整体验收后36个月），第四年开始维护费用比率为产品费用的【</t>
    </r>
    <r>
      <rPr>
        <sz val="11"/>
        <color rgb="FFFF0000"/>
        <rFont val="等线"/>
        <family val="3"/>
        <charset val="134"/>
      </rPr>
      <t>供应商填写</t>
    </r>
    <r>
      <rPr>
        <sz val="11"/>
        <color rgb="FF000000"/>
        <rFont val="等线"/>
        <family val="3"/>
        <charset val="134"/>
      </rPr>
      <t>】 %；即第四年开始每年收取【</t>
    </r>
    <r>
      <rPr>
        <sz val="11"/>
        <color rgb="FFFF0000"/>
        <rFont val="等线"/>
        <family val="3"/>
        <charset val="134"/>
      </rPr>
      <t>供应商填写</t>
    </r>
    <r>
      <rPr>
        <sz val="11"/>
        <color rgb="FF000000"/>
        <rFont val="等线"/>
        <family val="3"/>
        <charset val="134"/>
      </rPr>
      <t>】元；维保协议根据需要另行签订，维保价格不高于本次报价。
2、报价已包含完成本项目的一切费用；
3、报价有效期：90天；
4、付款方式：</t>
    </r>
    <r>
      <rPr>
        <sz val="11"/>
        <color rgb="FFFF0000"/>
        <rFont val="等线"/>
        <family val="3"/>
        <charset val="134"/>
      </rPr>
      <t>电汇，蓝图完成经客户确认后支付合同对应金额20%，上线完成经客户确认后支付合同对应金额50%，上线6个月保驾护航完成经客户确认后支付合同对应金额20%，自上线验收合格1年后支付10%。详见SOW 约定。</t>
    </r>
    <r>
      <rPr>
        <sz val="11"/>
        <color rgb="FF000000"/>
        <rFont val="等线"/>
        <family val="3"/>
        <charset val="134"/>
      </rPr>
      <t xml:space="preserve">
5、本项目一期的所有功能需求及产品，均由报价人提供；
6、实施费用为人天单价，后续增加期数（如有）实施费用以不高于本次人天价格执行；
7、人天费用不得已“赠送、总价折扣、缩减人天量形式”进行优惠；
8、单价需符合市场规律，价格不得以免费赠送形式报价；
9、本次项目具体清单，请按自己格式拟定，并且与本表一起盖章作为投标价格标；</t>
    </r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</si>
</sst>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[DBNum2][$-804]General"/>
  </numFmts>
  <fonts count="31" x14ac:knownFonts="1">
    <font>
      <sz val="12"/>
      <color theme="1"/>
      <name val="等线"/>
      <charset val="134"/>
      <scheme val="minor"/>
    </font>
    <font>
      <sz val="11"/>
      <color rgb="FF000000"/>
      <name val="等线"/>
      <family val="3"/>
      <charset val="134"/>
    </font>
    <font>
      <sz val="10"/>
      <color rgb="FF000000"/>
      <name val="微软雅黑"/>
      <family val="2"/>
      <charset val="134"/>
    </font>
    <font>
      <sz val="10"/>
      <color rgb="FF7F7F7F"/>
      <name val="黑体"/>
      <family val="3"/>
      <charset val="134"/>
    </font>
    <font>
      <sz val="10"/>
      <color rgb="FF000000"/>
      <name val="黑体"/>
      <family val="3"/>
      <charset val="134"/>
    </font>
    <font>
      <b/>
      <sz val="12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1"/>
      <color rgb="FF000000"/>
      <name val="等线"/>
      <family val="3"/>
      <charset val="134"/>
    </font>
    <font>
      <b/>
      <sz val="11"/>
      <color rgb="FFFF0000"/>
      <name val="等线"/>
      <family val="3"/>
      <charset val="134"/>
    </font>
    <font>
      <sz val="10"/>
      <color rgb="FFFF0000"/>
      <name val="等线"/>
      <family val="3"/>
      <charset val="134"/>
    </font>
    <font>
      <sz val="12"/>
      <color rgb="FF000000"/>
      <name val="等线"/>
      <family val="3"/>
      <charset val="134"/>
    </font>
    <font>
      <sz val="11"/>
      <color rgb="FF000000"/>
      <name val="宋体"/>
      <family val="3"/>
      <charset val="134"/>
    </font>
    <font>
      <sz val="16"/>
      <color rgb="FF000000"/>
      <name val="等线"/>
      <family val="3"/>
      <charset val="134"/>
    </font>
    <font>
      <sz val="10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0"/>
      <name val="宋体"/>
      <family val="3"/>
      <charset val="134"/>
    </font>
    <font>
      <sz val="11"/>
      <color rgb="FFFF0000"/>
      <name val="等线"/>
      <family val="3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</font>
    <font>
      <sz val="10"/>
      <color theme="1"/>
      <name val="等线"/>
      <family val="3"/>
      <charset val="134"/>
    </font>
    <font>
      <b/>
      <sz val="12"/>
      <color rgb="FF000000"/>
      <name val="宋体"/>
      <family val="3"/>
      <charset val="134"/>
    </font>
    <font>
      <sz val="16"/>
      <color rgb="FF000000"/>
      <name val="等线"/>
      <family val="3"/>
      <charset val="134"/>
    </font>
    <font>
      <b/>
      <sz val="12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6DCE4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1" xfId="0" applyFont="1" applyBorder="1" applyAlignment="1"/>
    <xf numFmtId="0" fontId="9" fillId="0" borderId="26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 vertical="center"/>
    </xf>
    <xf numFmtId="0" fontId="9" fillId="0" borderId="0" xfId="0" applyFont="1" applyAlignment="1"/>
    <xf numFmtId="0" fontId="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left"/>
    </xf>
    <xf numFmtId="0" fontId="13" fillId="0" borderId="0" xfId="0" applyFont="1">
      <alignment vertical="center"/>
    </xf>
    <xf numFmtId="0" fontId="13" fillId="0" borderId="1" xfId="0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/>
    <xf numFmtId="177" fontId="13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7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/>
    <xf numFmtId="0" fontId="13" fillId="0" borderId="0" xfId="0" applyFont="1" applyAlignment="1">
      <alignment horizontal="center"/>
    </xf>
    <xf numFmtId="176" fontId="16" fillId="2" borderId="1" xfId="0" applyNumberFormat="1" applyFont="1" applyFill="1" applyBorder="1" applyAlignment="1">
      <alignment horizontal="center" vertical="center"/>
    </xf>
    <xf numFmtId="176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/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9" fontId="23" fillId="0" borderId="1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0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top" wrapText="1"/>
    </xf>
    <xf numFmtId="0" fontId="9" fillId="0" borderId="26" xfId="0" applyFont="1" applyBorder="1" applyAlignment="1">
      <alignment horizontal="left" vertical="top" wrapText="1"/>
    </xf>
    <xf numFmtId="0" fontId="9" fillId="0" borderId="28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outlinePr summaryBelow="0" summaryRight="0"/>
  </sheetPr>
  <dimension ref="A1:F9"/>
  <sheetViews>
    <sheetView tabSelected="1" workbookViewId="0">
      <selection activeCell="B20" sqref="B20"/>
    </sheetView>
  </sheetViews>
  <sheetFormatPr defaultColWidth="9" defaultRowHeight="13.5" customHeight="1" x14ac:dyDescent="0.4"/>
  <cols>
    <col min="2" max="2" width="29" style="34" customWidth="1"/>
    <col min="3" max="3" width="15.17578125" style="34" customWidth="1"/>
    <col min="4" max="5" width="20" style="34" customWidth="1"/>
    <col min="6" max="6" width="22" style="34" customWidth="1"/>
  </cols>
  <sheetData>
    <row r="1" spans="1:6" ht="38" customHeight="1" x14ac:dyDescent="0.4">
      <c r="A1" s="33" t="s">
        <v>0</v>
      </c>
    </row>
    <row r="2" spans="1:6" ht="33" customHeight="1" x14ac:dyDescent="0.4">
      <c r="A2" s="60" t="s">
        <v>76</v>
      </c>
      <c r="B2" s="61"/>
      <c r="C2" s="61"/>
      <c r="D2" s="61"/>
      <c r="E2" s="61"/>
      <c r="F2" s="61"/>
    </row>
    <row r="3" spans="1:6" ht="21" customHeight="1" x14ac:dyDescent="0.4">
      <c r="A3" s="35" t="s">
        <v>1</v>
      </c>
      <c r="B3" s="35" t="s">
        <v>2</v>
      </c>
      <c r="C3" s="35" t="s">
        <v>3</v>
      </c>
      <c r="D3" s="35" t="s">
        <v>4</v>
      </c>
      <c r="E3" s="35" t="s">
        <v>5</v>
      </c>
      <c r="F3" s="35" t="s">
        <v>6</v>
      </c>
    </row>
    <row r="4" spans="1:6" ht="21" customHeight="1" x14ac:dyDescent="0.3">
      <c r="A4" s="35">
        <v>1</v>
      </c>
      <c r="B4" s="35" t="s">
        <v>7</v>
      </c>
      <c r="C4" s="59">
        <v>0.13</v>
      </c>
      <c r="D4" s="45" t="s">
        <v>66</v>
      </c>
      <c r="E4" s="45" t="s">
        <v>66</v>
      </c>
      <c r="F4" s="46" t="s">
        <v>66</v>
      </c>
    </row>
    <row r="5" spans="1:6" ht="21" customHeight="1" x14ac:dyDescent="0.3">
      <c r="A5" s="35">
        <v>2</v>
      </c>
      <c r="B5" s="38" t="s">
        <v>8</v>
      </c>
      <c r="C5" s="59">
        <v>0.13</v>
      </c>
      <c r="D5" s="36"/>
      <c r="E5" s="36"/>
      <c r="F5" s="37"/>
    </row>
    <row r="6" spans="1:6" ht="21" customHeight="1" x14ac:dyDescent="0.3">
      <c r="A6" s="39">
        <v>3</v>
      </c>
      <c r="B6" s="40" t="s">
        <v>9</v>
      </c>
      <c r="C6" s="40"/>
      <c r="D6" s="44">
        <f>SUM(D4:D5)</f>
        <v>0</v>
      </c>
      <c r="E6" s="41"/>
      <c r="F6" s="42"/>
    </row>
    <row r="7" spans="1:6" ht="22.05" customHeight="1" x14ac:dyDescent="0.4">
      <c r="D7" s="34" t="s">
        <v>10</v>
      </c>
    </row>
    <row r="9" spans="1:6" ht="13.5" customHeight="1" x14ac:dyDescent="0.3">
      <c r="B9" s="43"/>
    </row>
  </sheetData>
  <mergeCells count="1">
    <mergeCell ref="A2:F2"/>
  </mergeCells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outlinePr summaryBelow="0" summaryRight="0"/>
  </sheetPr>
  <dimension ref="A1:AN8"/>
  <sheetViews>
    <sheetView topLeftCell="A3" workbookViewId="0">
      <selection activeCell="A8" sqref="A8:H8"/>
    </sheetView>
  </sheetViews>
  <sheetFormatPr defaultColWidth="9" defaultRowHeight="14.25" customHeight="1" x14ac:dyDescent="0.4"/>
  <cols>
    <col min="1" max="1" width="9" style="3"/>
    <col min="2" max="2" width="22.46875" style="3" customWidth="1"/>
    <col min="3" max="3" width="12" style="3" customWidth="1"/>
    <col min="4" max="5" width="9" style="3"/>
    <col min="6" max="6" width="13.17578125" style="3" customWidth="1"/>
    <col min="7" max="8" width="15.703125" style="3" customWidth="1"/>
    <col min="9" max="40" width="9" style="3"/>
  </cols>
  <sheetData>
    <row r="1" spans="1:8" s="32" customFormat="1" ht="38" customHeight="1" x14ac:dyDescent="0.4">
      <c r="A1" s="33" t="s">
        <v>0</v>
      </c>
      <c r="B1" s="34"/>
      <c r="C1" s="34"/>
      <c r="D1" s="34"/>
      <c r="E1" s="34"/>
    </row>
    <row r="2" spans="1:8" ht="30" customHeight="1" x14ac:dyDescent="0.4">
      <c r="A2" s="62" t="s">
        <v>77</v>
      </c>
      <c r="B2" s="63"/>
      <c r="C2" s="63"/>
      <c r="D2" s="63"/>
      <c r="E2" s="63"/>
      <c r="F2" s="63"/>
      <c r="G2" s="63"/>
      <c r="H2" s="63"/>
    </row>
    <row r="3" spans="1:8" ht="41.25" customHeight="1" x14ac:dyDescent="0.4">
      <c r="A3" s="17" t="s">
        <v>1</v>
      </c>
      <c r="B3" s="17" t="s">
        <v>15</v>
      </c>
      <c r="C3" s="17" t="s">
        <v>11</v>
      </c>
      <c r="D3" s="17" t="s">
        <v>12</v>
      </c>
      <c r="E3" s="17" t="s">
        <v>3</v>
      </c>
      <c r="F3" s="17" t="s">
        <v>16</v>
      </c>
      <c r="G3" s="17" t="s">
        <v>13</v>
      </c>
      <c r="H3" s="17" t="s">
        <v>17</v>
      </c>
    </row>
    <row r="4" spans="1:8" ht="41.25" customHeight="1" x14ac:dyDescent="0.4">
      <c r="A4" s="17">
        <v>1</v>
      </c>
      <c r="B4" s="17" t="s">
        <v>18</v>
      </c>
      <c r="C4" s="17">
        <v>1</v>
      </c>
      <c r="D4" s="17" t="s">
        <v>14</v>
      </c>
      <c r="E4" s="17"/>
      <c r="F4" s="17">
        <f>'软件-产品费用报价明细'!G12</f>
        <v>0</v>
      </c>
      <c r="G4" s="17">
        <f>C4*F4</f>
        <v>0</v>
      </c>
      <c r="H4" s="17">
        <f>G4*(1+E4)</f>
        <v>0</v>
      </c>
    </row>
    <row r="5" spans="1:8" ht="41.25" customHeight="1" x14ac:dyDescent="0.4">
      <c r="A5" s="17">
        <v>2</v>
      </c>
      <c r="B5" s="17" t="s">
        <v>19</v>
      </c>
      <c r="C5" s="17">
        <v>1</v>
      </c>
      <c r="D5" s="17" t="s">
        <v>14</v>
      </c>
      <c r="E5" s="17"/>
      <c r="F5" s="17">
        <f>'软件-实施费用报价明细'!N19</f>
        <v>0</v>
      </c>
      <c r="G5" s="17">
        <f>C5*F5</f>
        <v>0</v>
      </c>
      <c r="H5" s="17">
        <f>G5*(1+E5)</f>
        <v>0</v>
      </c>
    </row>
    <row r="6" spans="1:8" ht="41.25" customHeight="1" x14ac:dyDescent="0.4">
      <c r="A6" s="17">
        <v>3</v>
      </c>
      <c r="B6" s="17" t="s">
        <v>20</v>
      </c>
      <c r="C6" s="17">
        <v>2</v>
      </c>
      <c r="D6" s="17" t="s">
        <v>21</v>
      </c>
      <c r="E6" s="17"/>
      <c r="F6" s="17"/>
      <c r="G6" s="17">
        <f>C6*F6</f>
        <v>0</v>
      </c>
      <c r="H6" s="17">
        <f>G6*(1+E6)</f>
        <v>0</v>
      </c>
    </row>
    <row r="7" spans="1:8" ht="41.25" customHeight="1" x14ac:dyDescent="0.4">
      <c r="A7" s="17">
        <v>4</v>
      </c>
      <c r="B7" s="64" t="s">
        <v>22</v>
      </c>
      <c r="C7" s="64"/>
      <c r="D7" s="64"/>
      <c r="E7" s="64"/>
      <c r="F7" s="64"/>
      <c r="G7" s="17">
        <f>SUM(G4:G6)</f>
        <v>0</v>
      </c>
      <c r="H7" s="17">
        <f>SUM(H4:H6)</f>
        <v>0</v>
      </c>
    </row>
    <row r="8" spans="1:8" ht="181.25" customHeight="1" x14ac:dyDescent="0.4">
      <c r="A8" s="65" t="s">
        <v>79</v>
      </c>
      <c r="B8" s="66"/>
      <c r="C8" s="66"/>
      <c r="D8" s="66"/>
      <c r="E8" s="66"/>
      <c r="F8" s="66"/>
      <c r="G8" s="66"/>
      <c r="H8" s="66"/>
    </row>
  </sheetData>
  <mergeCells count="3">
    <mergeCell ref="A2:H2"/>
    <mergeCell ref="B7:F7"/>
    <mergeCell ref="A8:H8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outlinePr summaryBelow="0" summaryRight="0"/>
  </sheetPr>
  <dimension ref="A1:AN20"/>
  <sheetViews>
    <sheetView workbookViewId="0">
      <selection activeCell="M10" sqref="M10"/>
    </sheetView>
  </sheetViews>
  <sheetFormatPr defaultColWidth="9" defaultRowHeight="14.25" customHeight="1" x14ac:dyDescent="0.4"/>
  <cols>
    <col min="1" max="1" width="9" style="27"/>
    <col min="2" max="2" width="19.46875" style="27" customWidth="1"/>
    <col min="3" max="3" width="12.703125" style="27" customWidth="1"/>
    <col min="4" max="4" width="8.17578125" style="27" customWidth="1"/>
    <col min="5" max="6" width="11.703125" style="27" customWidth="1"/>
    <col min="7" max="8" width="13.17578125" style="27" customWidth="1"/>
    <col min="9" max="9" width="17.17578125" style="27" customWidth="1"/>
    <col min="10" max="40" width="9" style="27"/>
  </cols>
  <sheetData>
    <row r="1" spans="1:9" ht="29.25" customHeight="1" x14ac:dyDescent="0.4">
      <c r="A1" s="17" t="s">
        <v>1</v>
      </c>
      <c r="B1" s="17" t="s">
        <v>23</v>
      </c>
      <c r="C1" s="17" t="s">
        <v>24</v>
      </c>
      <c r="D1" s="17" t="s">
        <v>11</v>
      </c>
      <c r="E1" s="17" t="s">
        <v>12</v>
      </c>
      <c r="F1" s="17" t="s">
        <v>16</v>
      </c>
      <c r="G1" s="17" t="s">
        <v>25</v>
      </c>
      <c r="H1" s="17" t="s">
        <v>26</v>
      </c>
      <c r="I1" s="17" t="s">
        <v>6</v>
      </c>
    </row>
    <row r="2" spans="1:9" ht="29.25" customHeight="1" x14ac:dyDescent="0.4">
      <c r="A2" s="17">
        <v>1</v>
      </c>
      <c r="B2" s="50" t="s">
        <v>67</v>
      </c>
      <c r="C2" s="17"/>
      <c r="D2" s="17"/>
      <c r="E2" s="17"/>
      <c r="F2" s="17"/>
      <c r="G2" s="17"/>
      <c r="H2" s="17"/>
      <c r="I2" s="67" t="s">
        <v>27</v>
      </c>
    </row>
    <row r="3" spans="1:9" ht="29.25" customHeight="1" x14ac:dyDescent="0.4">
      <c r="A3" s="17">
        <v>2</v>
      </c>
      <c r="B3" s="50" t="s">
        <v>68</v>
      </c>
      <c r="C3" s="29"/>
      <c r="D3" s="30"/>
      <c r="E3" s="17"/>
      <c r="F3" s="28"/>
      <c r="G3" s="17"/>
      <c r="H3" s="17"/>
      <c r="I3" s="68"/>
    </row>
    <row r="4" spans="1:9" ht="29.25" customHeight="1" x14ac:dyDescent="0.4">
      <c r="A4" s="17">
        <v>3</v>
      </c>
      <c r="B4" s="50" t="s">
        <v>69</v>
      </c>
      <c r="C4" s="17"/>
      <c r="D4" s="17"/>
      <c r="E4" s="17"/>
      <c r="F4" s="28"/>
      <c r="G4" s="17"/>
      <c r="H4" s="17"/>
      <c r="I4" s="68"/>
    </row>
    <row r="5" spans="1:9" ht="37.5" customHeight="1" x14ac:dyDescent="0.4">
      <c r="A5" s="17">
        <v>4</v>
      </c>
      <c r="B5" s="49" t="s">
        <v>70</v>
      </c>
      <c r="C5" s="17"/>
      <c r="D5" s="17"/>
      <c r="E5" s="17"/>
      <c r="F5" s="28"/>
      <c r="G5" s="17"/>
      <c r="H5" s="17"/>
      <c r="I5" s="68"/>
    </row>
    <row r="6" spans="1:9" ht="37.5" customHeight="1" x14ac:dyDescent="0.4">
      <c r="A6" s="17">
        <v>5</v>
      </c>
      <c r="B6" s="49" t="s">
        <v>71</v>
      </c>
      <c r="C6" s="17"/>
      <c r="D6" s="17"/>
      <c r="E6" s="17"/>
      <c r="F6" s="28"/>
      <c r="G6" s="17"/>
      <c r="H6" s="17"/>
      <c r="I6" s="68"/>
    </row>
    <row r="7" spans="1:9" ht="37.5" customHeight="1" x14ac:dyDescent="0.4">
      <c r="A7" s="17">
        <v>6</v>
      </c>
      <c r="B7" s="54" t="s">
        <v>72</v>
      </c>
      <c r="C7" s="17"/>
      <c r="D7" s="17"/>
      <c r="E7" s="17"/>
      <c r="F7" s="28"/>
      <c r="G7" s="17"/>
      <c r="H7" s="17"/>
      <c r="I7" s="68"/>
    </row>
    <row r="8" spans="1:9" ht="37.5" customHeight="1" x14ac:dyDescent="0.4">
      <c r="A8" s="17">
        <v>7</v>
      </c>
      <c r="B8" s="58" t="s">
        <v>75</v>
      </c>
      <c r="C8" s="53"/>
      <c r="D8" s="53"/>
      <c r="E8" s="53"/>
      <c r="F8" s="28"/>
      <c r="G8" s="17"/>
      <c r="H8" s="17"/>
      <c r="I8" s="68"/>
    </row>
    <row r="9" spans="1:9" ht="37.5" customHeight="1" x14ac:dyDescent="0.4">
      <c r="A9" s="17">
        <v>8</v>
      </c>
      <c r="B9" s="57" t="s">
        <v>73</v>
      </c>
      <c r="C9" s="56"/>
      <c r="D9" s="56"/>
      <c r="E9" s="56"/>
      <c r="F9" s="51"/>
      <c r="G9" s="17"/>
      <c r="H9" s="17"/>
      <c r="I9" s="68"/>
    </row>
    <row r="10" spans="1:9" ht="37.5" customHeight="1" x14ac:dyDescent="0.4">
      <c r="A10" s="17">
        <v>9</v>
      </c>
      <c r="B10" s="47" t="s">
        <v>74</v>
      </c>
      <c r="C10" s="56"/>
      <c r="D10" s="56"/>
      <c r="E10" s="56"/>
      <c r="F10" s="52"/>
      <c r="G10" s="17"/>
      <c r="H10" s="17"/>
      <c r="I10" s="68"/>
    </row>
    <row r="11" spans="1:9" ht="30" customHeight="1" x14ac:dyDescent="0.4">
      <c r="A11" s="56"/>
      <c r="B11" s="56"/>
      <c r="C11" s="56"/>
      <c r="D11" s="56"/>
      <c r="E11" s="56"/>
      <c r="F11" s="52"/>
      <c r="G11" s="17"/>
      <c r="H11" s="17"/>
      <c r="I11" s="68"/>
    </row>
    <row r="12" spans="1:9" ht="24" customHeight="1" x14ac:dyDescent="0.4">
      <c r="A12" s="55" t="s">
        <v>25</v>
      </c>
      <c r="B12" s="55"/>
      <c r="C12" s="55"/>
      <c r="D12" s="55"/>
      <c r="E12" s="55"/>
      <c r="F12" s="17"/>
      <c r="G12" s="31">
        <f>SUM(G2:G11)</f>
        <v>0</v>
      </c>
      <c r="H12" s="17"/>
      <c r="I12" s="17"/>
    </row>
    <row r="20" spans="2:2" ht="309.5" customHeight="1" x14ac:dyDescent="0.4">
      <c r="B20" s="48"/>
    </row>
  </sheetData>
  <mergeCells count="1">
    <mergeCell ref="I2:I11"/>
  </mergeCells>
  <phoneticPr fontId="24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outlinePr summaryBelow="0" summaryRight="0"/>
  </sheetPr>
  <dimension ref="A1:AN27"/>
  <sheetViews>
    <sheetView workbookViewId="0">
      <pane xSplit="1" ySplit="4" topLeftCell="B16" activePane="bottomRight" state="frozen"/>
      <selection pane="topRight"/>
      <selection pane="bottomLeft"/>
      <selection pane="bottomRight" activeCell="C9" sqref="C9"/>
    </sheetView>
  </sheetViews>
  <sheetFormatPr defaultColWidth="8.8203125" defaultRowHeight="14.25" customHeight="1" x14ac:dyDescent="0.4"/>
  <cols>
    <col min="1" max="1" width="13.8203125" style="3" customWidth="1"/>
    <col min="2" max="2" width="16" style="3" customWidth="1"/>
    <col min="3" max="3" width="9.8203125" style="3" customWidth="1"/>
    <col min="4" max="11" width="17.8203125" style="3" customWidth="1"/>
    <col min="12" max="12" width="9.8203125" style="3" customWidth="1"/>
    <col min="13" max="13" width="15.8203125" style="3" customWidth="1"/>
    <col min="14" max="14" width="12.8203125" style="3" customWidth="1"/>
    <col min="15" max="40" width="8.8203125" style="3"/>
  </cols>
  <sheetData>
    <row r="1" spans="1:14" s="1" customFormat="1" ht="25.5" customHeight="1" x14ac:dyDescent="0.3">
      <c r="A1" s="69" t="s">
        <v>28</v>
      </c>
      <c r="B1" s="70"/>
      <c r="C1" s="70"/>
      <c r="D1" s="70"/>
      <c r="E1" s="70"/>
      <c r="F1" s="70"/>
      <c r="G1" s="70"/>
      <c r="H1" s="70"/>
      <c r="I1" s="70"/>
      <c r="J1" s="70"/>
    </row>
    <row r="2" spans="1:14" ht="25.5" customHeight="1" x14ac:dyDescent="0.4">
      <c r="A2" s="71" t="s">
        <v>78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3"/>
    </row>
    <row r="3" spans="1:14" s="2" customFormat="1" ht="14.25" customHeight="1" x14ac:dyDescent="0.4">
      <c r="A3" s="81" t="s">
        <v>29</v>
      </c>
      <c r="B3" s="77" t="s">
        <v>30</v>
      </c>
      <c r="C3" s="100" t="s">
        <v>31</v>
      </c>
      <c r="D3" s="74" t="s">
        <v>32</v>
      </c>
      <c r="E3" s="75"/>
      <c r="F3" s="75"/>
      <c r="G3" s="75"/>
      <c r="H3" s="75"/>
      <c r="I3" s="75"/>
      <c r="J3" s="75"/>
      <c r="K3" s="75"/>
      <c r="L3" s="76"/>
      <c r="M3" s="77" t="s">
        <v>33</v>
      </c>
      <c r="N3" s="78"/>
    </row>
    <row r="4" spans="1:14" s="2" customFormat="1" ht="73.25" customHeight="1" x14ac:dyDescent="0.4">
      <c r="A4" s="82"/>
      <c r="B4" s="85"/>
      <c r="C4" s="101"/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  <c r="L4" s="102" t="s">
        <v>42</v>
      </c>
      <c r="M4" s="88" t="s">
        <v>43</v>
      </c>
      <c r="N4" s="90" t="s">
        <v>44</v>
      </c>
    </row>
    <row r="5" spans="1:14" s="2" customFormat="1" ht="16.5" customHeight="1" x14ac:dyDescent="0.4">
      <c r="A5" s="6"/>
      <c r="B5" s="4" t="s">
        <v>45</v>
      </c>
      <c r="C5" s="7" t="s">
        <v>46</v>
      </c>
      <c r="D5" s="8" t="s">
        <v>47</v>
      </c>
      <c r="E5" s="9" t="s">
        <v>48</v>
      </c>
      <c r="F5" s="9" t="s">
        <v>48</v>
      </c>
      <c r="G5" s="9" t="s">
        <v>48</v>
      </c>
      <c r="H5" s="9" t="s">
        <v>48</v>
      </c>
      <c r="I5" s="9" t="s">
        <v>48</v>
      </c>
      <c r="J5" s="9" t="s">
        <v>48</v>
      </c>
      <c r="K5" s="9" t="s">
        <v>48</v>
      </c>
      <c r="L5" s="101"/>
      <c r="M5" s="89"/>
      <c r="N5" s="91"/>
    </row>
    <row r="6" spans="1:14" ht="14.25" customHeight="1" x14ac:dyDescent="0.4">
      <c r="A6" s="83"/>
      <c r="B6" s="86" t="s">
        <v>49</v>
      </c>
      <c r="C6" s="10" t="s">
        <v>50</v>
      </c>
      <c r="D6" s="10"/>
      <c r="E6" s="10"/>
      <c r="F6" s="10"/>
      <c r="G6" s="10"/>
      <c r="H6" s="10"/>
      <c r="I6" s="10"/>
      <c r="J6" s="10"/>
      <c r="K6" s="10"/>
      <c r="L6" s="11">
        <f t="shared" ref="L6:L17" si="0">SUM(D6:K6)</f>
        <v>0</v>
      </c>
      <c r="M6" s="11"/>
      <c r="N6" s="12">
        <f t="shared" ref="N6:N17" si="1">M6*L6</f>
        <v>0</v>
      </c>
    </row>
    <row r="7" spans="1:14" ht="14.25" customHeight="1" x14ac:dyDescent="0.4">
      <c r="A7" s="84"/>
      <c r="B7" s="87"/>
      <c r="C7" s="15" t="s">
        <v>51</v>
      </c>
      <c r="D7" s="16"/>
      <c r="E7" s="15"/>
      <c r="F7" s="15"/>
      <c r="G7" s="15"/>
      <c r="H7" s="15"/>
      <c r="I7" s="15"/>
      <c r="J7" s="15"/>
      <c r="K7" s="15"/>
      <c r="L7" s="17">
        <f t="shared" si="0"/>
        <v>0</v>
      </c>
      <c r="M7" s="18"/>
      <c r="N7" s="19">
        <f t="shared" si="1"/>
        <v>0</v>
      </c>
    </row>
    <row r="8" spans="1:14" ht="14.25" customHeight="1" x14ac:dyDescent="0.4">
      <c r="A8" s="83"/>
      <c r="B8" s="86" t="s">
        <v>52</v>
      </c>
      <c r="C8" s="10" t="s">
        <v>50</v>
      </c>
      <c r="D8" s="10"/>
      <c r="E8" s="10"/>
      <c r="F8" s="10"/>
      <c r="G8" s="10"/>
      <c r="H8" s="10"/>
      <c r="I8" s="10"/>
      <c r="J8" s="10"/>
      <c r="K8" s="10"/>
      <c r="L8" s="11">
        <f t="shared" si="0"/>
        <v>0</v>
      </c>
      <c r="M8" s="11"/>
      <c r="N8" s="12">
        <f t="shared" si="1"/>
        <v>0</v>
      </c>
    </row>
    <row r="9" spans="1:14" ht="14.25" customHeight="1" x14ac:dyDescent="0.4">
      <c r="A9" s="84"/>
      <c r="B9" s="87"/>
      <c r="C9" s="15" t="s">
        <v>51</v>
      </c>
      <c r="D9" s="20"/>
      <c r="E9" s="15"/>
      <c r="F9" s="15"/>
      <c r="G9" s="15"/>
      <c r="H9" s="15"/>
      <c r="I9" s="15"/>
      <c r="J9" s="15"/>
      <c r="K9" s="15"/>
      <c r="L9" s="17">
        <f t="shared" si="0"/>
        <v>0</v>
      </c>
      <c r="M9" s="18"/>
      <c r="N9" s="19">
        <f t="shared" si="1"/>
        <v>0</v>
      </c>
    </row>
    <row r="10" spans="1:14" ht="14.25" customHeight="1" x14ac:dyDescent="0.4">
      <c r="A10" s="83"/>
      <c r="B10" s="86" t="s">
        <v>53</v>
      </c>
      <c r="C10" s="10" t="s">
        <v>50</v>
      </c>
      <c r="D10" s="10"/>
      <c r="E10" s="10"/>
      <c r="F10" s="10"/>
      <c r="G10" s="10"/>
      <c r="H10" s="10"/>
      <c r="I10" s="10"/>
      <c r="J10" s="10"/>
      <c r="K10" s="10"/>
      <c r="L10" s="11">
        <f t="shared" si="0"/>
        <v>0</v>
      </c>
      <c r="M10" s="11"/>
      <c r="N10" s="12">
        <f t="shared" si="1"/>
        <v>0</v>
      </c>
    </row>
    <row r="11" spans="1:14" ht="14.25" customHeight="1" x14ac:dyDescent="0.4">
      <c r="A11" s="84"/>
      <c r="B11" s="87"/>
      <c r="C11" s="15" t="s">
        <v>51</v>
      </c>
      <c r="D11" s="15"/>
      <c r="E11" s="15"/>
      <c r="F11" s="15"/>
      <c r="G11" s="15"/>
      <c r="H11" s="15"/>
      <c r="I11" s="15"/>
      <c r="J11" s="15"/>
      <c r="K11" s="15"/>
      <c r="L11" s="17">
        <f t="shared" si="0"/>
        <v>0</v>
      </c>
      <c r="M11" s="18"/>
      <c r="N11" s="19">
        <f t="shared" si="1"/>
        <v>0</v>
      </c>
    </row>
    <row r="12" spans="1:14" ht="14.25" customHeight="1" x14ac:dyDescent="0.4">
      <c r="A12" s="83"/>
      <c r="B12" s="86" t="s">
        <v>54</v>
      </c>
      <c r="C12" s="10" t="s">
        <v>50</v>
      </c>
      <c r="D12" s="10"/>
      <c r="E12" s="10"/>
      <c r="F12" s="10"/>
      <c r="G12" s="10"/>
      <c r="H12" s="10"/>
      <c r="I12" s="10"/>
      <c r="J12" s="10"/>
      <c r="K12" s="10"/>
      <c r="L12" s="11">
        <f t="shared" si="0"/>
        <v>0</v>
      </c>
      <c r="M12" s="11"/>
      <c r="N12" s="12">
        <f t="shared" si="1"/>
        <v>0</v>
      </c>
    </row>
    <row r="13" spans="1:14" ht="14.25" customHeight="1" x14ac:dyDescent="0.4">
      <c r="A13" s="84"/>
      <c r="B13" s="87"/>
      <c r="C13" s="15" t="s">
        <v>51</v>
      </c>
      <c r="D13" s="15"/>
      <c r="E13" s="15"/>
      <c r="F13" s="15"/>
      <c r="G13" s="15"/>
      <c r="H13" s="15"/>
      <c r="I13" s="15"/>
      <c r="J13" s="15"/>
      <c r="K13" s="15"/>
      <c r="L13" s="17">
        <f t="shared" si="0"/>
        <v>0</v>
      </c>
      <c r="M13" s="18"/>
      <c r="N13" s="19">
        <f t="shared" si="1"/>
        <v>0</v>
      </c>
    </row>
    <row r="14" spans="1:14" ht="14.25" customHeight="1" x14ac:dyDescent="0.4">
      <c r="A14" s="83"/>
      <c r="B14" s="86" t="s">
        <v>55</v>
      </c>
      <c r="C14" s="10" t="s">
        <v>50</v>
      </c>
      <c r="D14" s="10"/>
      <c r="E14" s="10"/>
      <c r="F14" s="10"/>
      <c r="G14" s="10"/>
      <c r="H14" s="10"/>
      <c r="I14" s="10"/>
      <c r="J14" s="10"/>
      <c r="K14" s="10"/>
      <c r="L14" s="11">
        <f t="shared" si="0"/>
        <v>0</v>
      </c>
      <c r="M14" s="11"/>
      <c r="N14" s="12">
        <f t="shared" si="1"/>
        <v>0</v>
      </c>
    </row>
    <row r="15" spans="1:14" ht="14.25" customHeight="1" x14ac:dyDescent="0.4">
      <c r="A15" s="84"/>
      <c r="B15" s="87"/>
      <c r="C15" s="15" t="s">
        <v>51</v>
      </c>
      <c r="D15" s="15"/>
      <c r="E15" s="15"/>
      <c r="F15" s="15"/>
      <c r="G15" s="15"/>
      <c r="H15" s="15"/>
      <c r="I15" s="15"/>
      <c r="J15" s="15"/>
      <c r="K15" s="15"/>
      <c r="L15" s="17">
        <f t="shared" si="0"/>
        <v>0</v>
      </c>
      <c r="M15" s="18"/>
      <c r="N15" s="19">
        <f t="shared" si="1"/>
        <v>0</v>
      </c>
    </row>
    <row r="16" spans="1:14" ht="14.25" customHeight="1" x14ac:dyDescent="0.4">
      <c r="A16" s="83"/>
      <c r="B16" s="86" t="s">
        <v>55</v>
      </c>
      <c r="C16" s="10" t="s">
        <v>50</v>
      </c>
      <c r="D16" s="10"/>
      <c r="E16" s="10"/>
      <c r="F16" s="10"/>
      <c r="G16" s="10"/>
      <c r="H16" s="10"/>
      <c r="I16" s="10"/>
      <c r="J16" s="10"/>
      <c r="K16" s="10"/>
      <c r="L16" s="11">
        <f t="shared" si="0"/>
        <v>0</v>
      </c>
      <c r="M16" s="11"/>
      <c r="N16" s="12">
        <f t="shared" si="1"/>
        <v>0</v>
      </c>
    </row>
    <row r="17" spans="1:14" ht="14.25" customHeight="1" x14ac:dyDescent="0.4">
      <c r="A17" s="84"/>
      <c r="B17" s="87"/>
      <c r="C17" s="15" t="s">
        <v>51</v>
      </c>
      <c r="D17" s="15"/>
      <c r="E17" s="15"/>
      <c r="F17" s="15"/>
      <c r="G17" s="15"/>
      <c r="H17" s="15"/>
      <c r="I17" s="15"/>
      <c r="J17" s="15"/>
      <c r="K17" s="15"/>
      <c r="L17" s="17">
        <f t="shared" si="0"/>
        <v>0</v>
      </c>
      <c r="M17" s="18"/>
      <c r="N17" s="19">
        <f t="shared" si="1"/>
        <v>0</v>
      </c>
    </row>
    <row r="18" spans="1:14" ht="14.25" customHeight="1" x14ac:dyDescent="0.4">
      <c r="A18" s="13"/>
      <c r="B18" s="14" t="s">
        <v>56</v>
      </c>
      <c r="C18" s="15"/>
      <c r="D18" s="15"/>
      <c r="E18" s="15"/>
      <c r="F18" s="15"/>
      <c r="G18" s="15"/>
      <c r="H18" s="15"/>
      <c r="I18" s="15"/>
      <c r="J18" s="15"/>
      <c r="K18" s="15"/>
      <c r="L18" s="21"/>
      <c r="M18" s="21"/>
      <c r="N18" s="19"/>
    </row>
    <row r="19" spans="1:14" ht="14.25" customHeight="1" x14ac:dyDescent="0.4">
      <c r="B19" s="22"/>
      <c r="C19" s="22"/>
      <c r="D19" s="22"/>
      <c r="E19" s="22"/>
      <c r="F19" s="22"/>
      <c r="G19" s="22"/>
      <c r="H19" s="22"/>
      <c r="I19" s="22"/>
      <c r="J19" s="22"/>
      <c r="K19" s="23" t="s">
        <v>57</v>
      </c>
      <c r="L19" s="24">
        <f>SUM(L6:L18)</f>
        <v>0</v>
      </c>
      <c r="M19" s="23" t="s">
        <v>58</v>
      </c>
      <c r="N19" s="25">
        <f>SUM(N6:N18)</f>
        <v>0</v>
      </c>
    </row>
    <row r="20" spans="1:14" ht="14.25" customHeight="1" x14ac:dyDescent="0.4">
      <c r="A20" s="94" t="s">
        <v>59</v>
      </c>
      <c r="B20" s="95"/>
      <c r="C20" s="79" t="s">
        <v>60</v>
      </c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80"/>
    </row>
    <row r="21" spans="1:14" ht="14.25" customHeight="1" x14ac:dyDescent="0.4">
      <c r="A21" s="94"/>
      <c r="B21" s="95"/>
      <c r="C21" s="103" t="s">
        <v>61</v>
      </c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5"/>
    </row>
    <row r="22" spans="1:14" ht="14.25" customHeight="1" x14ac:dyDescent="0.4">
      <c r="A22" s="98"/>
      <c r="B22" s="99"/>
      <c r="C22" s="79" t="s">
        <v>62</v>
      </c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80"/>
    </row>
    <row r="23" spans="1:14" ht="14.25" customHeight="1" x14ac:dyDescent="0.4">
      <c r="A23" s="92" t="s">
        <v>63</v>
      </c>
      <c r="B23" s="93"/>
      <c r="C23" s="106" t="s">
        <v>64</v>
      </c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7"/>
    </row>
    <row r="24" spans="1:14" ht="14.25" customHeight="1" x14ac:dyDescent="0.4">
      <c r="A24" s="94"/>
      <c r="B24" s="95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7"/>
    </row>
    <row r="25" spans="1:14" ht="14.25" customHeight="1" x14ac:dyDescent="0.4">
      <c r="A25" s="96"/>
      <c r="B25" s="97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9"/>
    </row>
    <row r="27" spans="1:14" ht="14.25" customHeight="1" x14ac:dyDescent="0.4">
      <c r="A27" s="26" t="s">
        <v>65</v>
      </c>
    </row>
  </sheetData>
  <sheetProtection insertHyperlinks="0" autoFilter="0"/>
  <mergeCells count="30">
    <mergeCell ref="M4:M5"/>
    <mergeCell ref="N4:N5"/>
    <mergeCell ref="A23:B25"/>
    <mergeCell ref="A20:B22"/>
    <mergeCell ref="B12:B13"/>
    <mergeCell ref="B14:B15"/>
    <mergeCell ref="B16:B17"/>
    <mergeCell ref="C3:C4"/>
    <mergeCell ref="L4:L5"/>
    <mergeCell ref="C21:N21"/>
    <mergeCell ref="C22:N22"/>
    <mergeCell ref="C23:N23"/>
    <mergeCell ref="C24:N24"/>
    <mergeCell ref="C25:N25"/>
    <mergeCell ref="A1:J1"/>
    <mergeCell ref="A2:N2"/>
    <mergeCell ref="D3:L3"/>
    <mergeCell ref="M3:N3"/>
    <mergeCell ref="C20:N20"/>
    <mergeCell ref="A3:A4"/>
    <mergeCell ref="A6:A7"/>
    <mergeCell ref="A8:A9"/>
    <mergeCell ref="A10:A11"/>
    <mergeCell ref="A12:A13"/>
    <mergeCell ref="A14:A15"/>
    <mergeCell ref="A16:A17"/>
    <mergeCell ref="B3:B4"/>
    <mergeCell ref="B6:B7"/>
    <mergeCell ref="B8:B9"/>
    <mergeCell ref="B10:B11"/>
  </mergeCells>
  <phoneticPr fontId="2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总价汇总表</vt:lpstr>
      <vt:lpstr>软件-报价汇总表</vt:lpstr>
      <vt:lpstr>软件-产品费用报价明细</vt:lpstr>
      <vt:lpstr>软件-实施费用报价明细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Lin Lin69 Wang</cp:lastModifiedBy>
  <dcterms:created xsi:type="dcterms:W3CDTF">2006-09-16T00:00:00Z</dcterms:created>
  <dcterms:modified xsi:type="dcterms:W3CDTF">2026-09-02T13:15:41Z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AF0ABBD3FB3C44528AE483A3A5504FF9_12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