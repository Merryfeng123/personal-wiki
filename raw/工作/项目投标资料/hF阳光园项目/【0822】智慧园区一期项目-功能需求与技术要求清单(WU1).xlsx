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8\Desktop\"/>
    </mc:Choice>
  </mc:AlternateContent>
  <bookViews>
    <workbookView windowWidth="22188" windowHeight="9060"/>
  </bookViews>
  <sheets>
    <sheet name="说明与概览" sheetId="1" r:id="rId1"/>
    <sheet name="智慧物流功能清单" sheetId="2" r:id="rId2"/>
    <sheet name="智慧消防功能清单" sheetId="3" r:id="rId3"/>
    <sheet name="智慧安防功能清单" sheetId="4" r:id="rId4"/>
    <sheet name="宿舍管理功能清单" sheetId="5" r:id="rId5"/>
    <sheet name="外协系统功能清单" sheetId="6" r:id="rId6"/>
    <sheet name="平台通用与集成" sheetId="7" r:id="rId7"/>
    <sheet name="关键技术要求" sheetId="8" r:id="rId8"/>
    <sheet name="安全合规要求" sheetId="9" r:id="rId9"/>
    <sheet name="硬件需求汇总" sheetId="10" r:id="rId10"/>
  </sheets>
  <definedNames>
    <definedName name="_xlnm._FilterDatabase" localSheetId="1" hidden="1">智慧物流功能清单!$A$1:$L$49</definedName>
    <definedName name="_xlnm._FilterDatabase" localSheetId="2" hidden="1">智慧消防功能清单!$A$1:$L$44</definedName>
    <definedName name="_xlnm._FilterDatabase" localSheetId="3" hidden="1">智慧安防功能清单!$A$1:$L$32</definedName>
    <definedName name="_xlnm._FilterDatabase" localSheetId="4" hidden="1">宿舍管理功能清单!$A$1:$L$23</definedName>
    <definedName name="_xlnm._FilterDatabase" localSheetId="5" hidden="1">外协系统功能清单!$A$1:$L$32</definedName>
    <definedName name="_xlnm._FilterDatabase" localSheetId="6" hidden="1">平台通用与集成!$A$1:$L$23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<sst xmlns="http://schemas.openxmlformats.org/spreadsheetml/2006/main" count="1482" uniqueCount="844">
  <si>
    <t>智慧园区一期项目 · 功能需求与技术要求清单</t>
  </si>
  <si>
    <t>序号</t>
  </si>
  <si>
    <t>内容板块</t>
  </si>
  <si>
    <t>说明</t>
  </si>
  <si>
    <t>对应工作表 / 章节</t>
  </si>
  <si>
    <t>小计</t>
  </si>
  <si>
    <t>标品</t>
  </si>
  <si>
    <t>二开</t>
  </si>
  <si>
    <t>项目定位</t>
  </si>
  <si>
    <t>以产业园（约60万㎡）为试点，补齐五大子系统、打通数据、预留集团化复制接口，构建统一可扩展的智慧园区运营底座</t>
  </si>
  <si>
    <t>本表</t>
  </si>
  <si>
    <t>/</t>
  </si>
  <si>
    <t>智慧物流【重点】</t>
  </si>
  <si>
    <t>预约-进园-月台-卸货-出园全流程线上化，含车辆预约、排队叫号、入园、停靠引导、月台可视化、出园、评价、跨园区调度</t>
  </si>
  <si>
    <t>智慧物流功能清单</t>
  </si>
  <si>
    <t>智慧消防</t>
  </si>
  <si>
    <t>整合消火栓/喷淋/电气火灾等系统，构建安消一体平台，实现设施监测、火灾预警、应急联动、日常巡检</t>
  </si>
  <si>
    <t>智慧消防功能清单</t>
  </si>
  <si>
    <t>智慧安防</t>
  </si>
  <si>
    <t>部署AI视频分析与物联感知，实现行为识别、周界入侵、事件联动，升级视融平台</t>
  </si>
  <si>
    <t>智慧安防功能清单</t>
  </si>
  <si>
    <t>宿舍管理</t>
  </si>
  <si>
    <t>覆盖入住-调宿-退宿全流程，含房务、水电费、退宿、统计等模块</t>
  </si>
  <si>
    <t>宿舍管理功能清单</t>
  </si>
  <si>
    <t>外协人员管理</t>
  </si>
  <si>
    <t>规范外协单位与人员的准入、作业、离场全流程，含费用测算、物业一体化、多渠道服务</t>
  </si>
  <si>
    <t>外协系统功能清单</t>
  </si>
  <si>
    <t>平台通用能力</t>
  </si>
  <si>
    <t>报表管理、系统管理、移动及多屏应用、系统数据范围、系统集成范围</t>
  </si>
  <si>
    <t>平台通用与集成</t>
  </si>
  <si>
    <t>关键技术要求</t>
  </si>
  <si>
    <t>稳定性、集成性、兼容性、实用性、先进性、性能、可扩展性、账号权限等8类</t>
  </si>
  <si>
    <t>安全与合规要求</t>
  </si>
  <si>
    <t>安全资质、口令、登录、加密、审计等18项 + 数据合规8项</t>
  </si>
  <si>
    <t>安全合规要求</t>
  </si>
  <si>
    <t>硬件需求</t>
  </si>
  <si>
    <t>智能视频监控、周界入侵、物联传感设备等硬件场景清单（附录五）</t>
  </si>
  <si>
    <t>硬件需求汇总</t>
  </si>
  <si>
    <t>N</t>
  </si>
  <si>
    <t>合计</t>
  </si>
  <si>
    <t>智慧物流功能清单【项目重点】</t>
  </si>
  <si>
    <t>二级模块</t>
  </si>
  <si>
    <t>功能点</t>
  </si>
  <si>
    <t>功能说明与要求</t>
  </si>
  <si>
    <t>二开/标品</t>
  </si>
  <si>
    <t>对接系统</t>
  </si>
  <si>
    <t>对接数据</t>
  </si>
  <si>
    <t>数量</t>
  </si>
  <si>
    <t>单位</t>
  </si>
  <si>
    <t>单价</t>
  </si>
  <si>
    <t>合价</t>
  </si>
  <si>
    <t>备注</t>
  </si>
  <si>
    <t>1.4.3.1.1  车辆预约管理</t>
  </si>
  <si>
    <t>车辆预约管理</t>
  </si>
  <si>
    <t>在线预约入园</t>
  </si>
  <si>
    <t>支持司机通过 APP/PC/微信小程序端在线预约入园时段、送货厂房、卸货位等信息；系统自动关联(到货单)供应商或客户(送货单)；系统智能排期，自动确认预约。</t>
  </si>
  <si>
    <t>SRM、WMS、TMS、车辆管理系统</t>
  </si>
  <si>
    <t>预约单、到货/送货单、供应商/客户、车辆及司机、货物、预约时段、厂房/卸货位</t>
  </si>
  <si>
    <t>套</t>
  </si>
  <si>
    <t>内部代预约</t>
  </si>
  <si>
    <t>支持内部人员（如仓储、采购）代供应商司机或提货司机预约，填写车牌、货物、预计到达时间等信息，系统自动关联供应商或客户。</t>
  </si>
  <si>
    <t>SRM、WMS、TMS、ERP</t>
  </si>
  <si>
    <t>代预约申请、供应商/客户、车辆/司机、货物、预计到达时间、到货/送货单</t>
  </si>
  <si>
    <t>二开：人\天单价1300</t>
  </si>
  <si>
    <t>爽约补救机制</t>
  </si>
  <si>
    <t>对未按预约时段抵达的司机自动触发提醒；提供爽约原因分析（交通拥堵、操作失误、主观原因等）及补救方案（重新预约、释放月台、手动补签）。</t>
  </si>
  <si>
    <t>WMS、TMS、iSungrow（钉钉）/短信平台</t>
  </si>
  <si>
    <t>预约单、实际到达时间、爽约标识/原因、月台释放/重新预约结果、提醒记录</t>
  </si>
  <si>
    <t>信息推送</t>
  </si>
  <si>
    <t>自动推送送货/提货厂房、卸货位/装货位、路线导航信息给司机，解决频次较少司机的路线困惑。</t>
  </si>
  <si>
    <t>iSungrow（钉钉）/短信平台、地图/GIS服务</t>
  </si>
  <si>
    <t>送/提货厂房、装卸货位、行驶路线、司机联系方式、推送状态</t>
  </si>
  <si>
    <t>管理规定实时更新</t>
  </si>
  <si>
    <t>实时推送最新管理规定、安全须知至司机端，确保司机及时了解最新要求。</t>
  </si>
  <si>
    <t>iSungrow（钉钉）/短信平台</t>
  </si>
  <si>
    <t>管理规定、安全须知、版本/生效时间、阅读确认、推送状态</t>
  </si>
  <si>
    <t>1.4.3.1.2  车辆排队叫号管理</t>
  </si>
  <si>
    <t>车辆排队叫号管理</t>
  </si>
  <si>
    <t>预约信息可视化</t>
  </si>
  <si>
    <t>实时展示预约车辆列表、预计等候时长、排队队列等。</t>
  </si>
  <si>
    <t>WMS、TMS、车辆管理系统</t>
  </si>
  <si>
    <t>预约车辆清单、预约/到达时间、队列序号、预计等候时长、叫号状态</t>
  </si>
  <si>
    <t>智能叫号服务</t>
  </si>
  <si>
    <t>支持按预约优先级、车辆类型自动或手动叫号，减少人工干预。</t>
  </si>
  <si>
    <t>预约优先级、车辆类型、队列/叫号状态、叫号时间、通知状态</t>
  </si>
  <si>
    <t>对接；二开：人\天单价1300</t>
  </si>
  <si>
    <t>紧急插队机制</t>
  </si>
  <si>
    <t>支持授权人员（调度主管、仓储收发管理员）对紧急生产物料、异常处理等场景设置插队任务；记录插队原因、审批人、插队时间；插队车辆自动置于队列最前，并通知后续车辆等待时间延长。</t>
  </si>
  <si>
    <t>WMS、ERP、BPM、iSungrow（钉钉）/短信平台</t>
  </si>
  <si>
    <t>紧急插队任务、车辆/物料信息、插队原因、审批人/审批状态、队列变更、通知记录</t>
  </si>
  <si>
    <t>等候状态提醒</t>
  </si>
  <si>
    <t>通过 APP/短信推送预计等候时长，避免司机长时间等待。</t>
  </si>
  <si>
    <t>排队序号、预计等候时长、叫号状态、司机联系方式、推送状态</t>
  </si>
  <si>
    <t>1.4.3.1.3  车辆入园管理</t>
  </si>
  <si>
    <t>车辆入园管理</t>
  </si>
  <si>
    <t>入园效率提升</t>
  </si>
  <si>
    <t>通过黑白名单管理车辆权限与预约机制，实现无感通行；业务保留对司机手机信息安全的拍照贴标。</t>
  </si>
  <si>
    <t>车辆管理系统、道闸系统（红门）、达实门禁一卡通系统</t>
  </si>
  <si>
    <t>车辆黑白名单、预约状态、车牌/司机信息、入园核验结果、手机贴标照片、通行记录</t>
  </si>
  <si>
    <t>电子手续自动化</t>
  </si>
  <si>
    <t>系统自动办理电子登记、电子证件审核、电子卸货牌/装货牌发放，消除手工登记流程。</t>
  </si>
  <si>
    <t>BPM、车辆管理系统、道闸系统（红门）</t>
  </si>
  <si>
    <t>电子登记、证件信息/审核状态、电子卸货/装货牌、车辆/司机信息、办理状态</t>
  </si>
  <si>
    <t>入园信息同步</t>
  </si>
  <si>
    <t>自动将车辆信息同步至卸货位管理模块及其他系统，为后续调度提供基础。</t>
  </si>
  <si>
    <t>入园车辆/司机信息、预约状态、入园时间、装卸货位、调度状态</t>
  </si>
  <si>
    <t>1.4.3.1.4  车辆停靠引导</t>
  </si>
  <si>
    <t>车辆停靠引导</t>
  </si>
  <si>
    <t>园内路线引导可视</t>
  </si>
  <si>
    <t>提供车辆入园后的园内导航指引、最优月台分配。</t>
  </si>
  <si>
    <t>车辆管理系统、WMS、地图/GIS服务</t>
  </si>
  <si>
    <t>园区地图、道路/路线、车辆位置、月台位置/状态、最优月台分配结果</t>
  </si>
  <si>
    <t>月台指引功能</t>
  </si>
  <si>
    <t>车辆通过道闸后，系统自动推送最优行驶路线至司机端，引导车辆准确到达指定月台（存在多月台装卸货情形）。</t>
  </si>
  <si>
    <t>道闸系统（红门）、车辆管理系统、WMS</t>
  </si>
  <si>
    <t>道闸通行状态、车辆信息、最优路线、指定月台、推送/到达状态</t>
  </si>
  <si>
    <t>智能调度信息发布</t>
  </si>
  <si>
    <t>自动推送卸货位/装货位状态、车辆调度信息至司机端。</t>
  </si>
  <si>
    <t>卸/装货位状态、车辆调度任务、司机联系方式、推送状态</t>
  </si>
  <si>
    <t>1.4.3.1.5  月台可视化管理</t>
  </si>
  <si>
    <t>月台可视化管理</t>
  </si>
  <si>
    <t>卸货位状态实时监控</t>
  </si>
  <si>
    <t>实时显示各卸货位空满状态、占用时长、使用效率。</t>
  </si>
  <si>
    <t>WMS、车辆管理系统</t>
  </si>
  <si>
    <t>卸货位/装货位状态、占用起止时间、占用时长、使用率、实时状态数据</t>
  </si>
  <si>
    <t>月台空满警告</t>
  </si>
  <si>
    <t>当月台长时间被占用（超过设定阈值）或出现异常占用时，系统自动向调度人员、仓储管理人员推送警告信息，支持人工介入处理。</t>
  </si>
  <si>
    <t>WMS、车辆管理系统、iSungrow（钉钉）/短信平台</t>
  </si>
  <si>
    <t>月台状态、占用时长、异常占用标识、告警阈值、告警/处置记录</t>
  </si>
  <si>
    <t>智能分配与预锁定</t>
  </si>
  <si>
    <t>根据车辆类型、货物特性自动分配卸货位，支持预分配/锁定功能。</t>
  </si>
  <si>
    <t>WMS、TMS、SRM</t>
  </si>
  <si>
    <t>车辆类型、货物特性、预约时间、月台状态、预分配/锁定状态</t>
  </si>
  <si>
    <t>物料在途信息跟踪
（供应商来料）</t>
  </si>
  <si>
    <t>关联 SRM 送货单，实时获取车内物料类型、数量、状态，准确掌握物料在途情况。</t>
  </si>
  <si>
    <t>SRM</t>
  </si>
  <si>
    <t>送货单、供应商、物料类型/数量、在途/到达状态、车辆信息</t>
  </si>
  <si>
    <t>发货单关联（发货车辆）</t>
  </si>
  <si>
    <t>关联发货订单，实时获取待装货物信息，支持装车作业有序调度。</t>
  </si>
  <si>
    <t>ERP、WMS、TMS</t>
  </si>
  <si>
    <t>发货订单、订单明细、待装货物/数量、装车状态、车辆信息</t>
  </si>
  <si>
    <t>月台效率分析</t>
  </si>
  <si>
    <t>自动生成卸货位使用率、作业时长等数据，为装卸效率优化提供依据。</t>
  </si>
  <si>
    <t>WMS、TMS、数据湖/BI平台</t>
  </si>
  <si>
    <t>月台作业状态、占用时长、车辆到离场/装卸时间、月台使用率、效率分析指标</t>
  </si>
  <si>
    <t>1.4.3.1.6  车辆出园管理</t>
  </si>
  <si>
    <t>车辆出园管理</t>
  </si>
  <si>
    <t>出园检查</t>
  </si>
  <si>
    <t>仓库端检查拍照，门岗处复核。</t>
  </si>
  <si>
    <t>WMS、道闸系统（红门）、视频监控平台</t>
  </si>
  <si>
    <t>出库/装车确认、车辆/司机信息、检查照片、门岗复核结果、出园放行状态</t>
  </si>
  <si>
    <t>电子出门条联动</t>
  </si>
  <si>
    <t>依托电子出门条自动联动 EPO 系统，业务上保留车辆检查流程。</t>
  </si>
  <si>
    <t>EPO系统、WMS、道闸系统（红门）</t>
  </si>
  <si>
    <t>电子出门条、发货/放行单、车辆/货物信息、审批状态、出门证/门岗核验、放行结果</t>
  </si>
  <si>
    <t>违规记录闭环管理</t>
  </si>
  <si>
    <t>系统与车辆违规记录打通，实现：违规记录生成→推送司机/供应商→限期整改→未整改纳入黑名单→黑名单限制预约 的闭环管理。</t>
  </si>
  <si>
    <t>车辆管理系统、SRM、iSungrow（钉钉）/短信平台</t>
  </si>
  <si>
    <t>车辆违规记录、司机/供应商、整改期限/结果、黑名单状态、预约限制状态、通知记录</t>
  </si>
  <si>
    <t>出园信息自动推送</t>
  </si>
  <si>
    <t>自动推送车辆出园信息至调度系统及其他系统、园区管理人员。</t>
  </si>
  <si>
    <t>TMS、WMS、iSungrow（钉钉）/短信平台</t>
  </si>
  <si>
    <t>出园时间/结果、车辆/司机、订单/调度任务、收发货完成状态、推送记录</t>
  </si>
  <si>
    <t>物流数据自动归档</t>
  </si>
  <si>
    <t>完成车辆出园后，系统自动归档车辆入园、停靠、卸货全流程数据。</t>
  </si>
  <si>
    <t>WMS、TMS、数据湖</t>
  </si>
  <si>
    <t>预约、入园、排队叫号、月台、装卸、出园、评价等全流程记录及操作日志</t>
  </si>
  <si>
    <t>1.4.3.1.7  评价反馈</t>
  </si>
  <si>
    <t>评价反馈</t>
  </si>
  <si>
    <t>送货/提货即时评价</t>
  </si>
  <si>
    <t>送货或提货结束后，供应商/司机端弹窗进行本次服务评价，提供投诉渠道，快速收集单次作业问题线索。</t>
  </si>
  <si>
    <t>SRM、iSungrow（钉钉）/短信平台</t>
  </si>
  <si>
    <t>服务评价、评分、投诉/反馈内容、订单/车辆/供应商/司机标识、处理状态</t>
  </si>
  <si>
    <t>仓储收货/发货异常登记</t>
  </si>
  <si>
    <t>收货端或发货端增加异常反馈，如司机不配合、货物破损等。</t>
  </si>
  <si>
    <t>WMS、ERP、EPO系统</t>
  </si>
  <si>
    <t>收/发货异常、订单/物料/车辆、破损照片、责任人、处理结果</t>
  </si>
  <si>
    <t>供应商满意度调查</t>
  </si>
  <si>
    <t>支持管理员不定期下发服务调查问卷，由供应商对仓库阶段性服务质量多维度评分并电子留存，用于长期服务水平评估。</t>
  </si>
  <si>
    <t>供应商、问卷/评价指标、评分、意见、调查时间、电子留档</t>
  </si>
  <si>
    <t>1.4.3.1.9  园区车辆调度管理（货车，涉及园区内部及跨园区转运）</t>
  </si>
  <si>
    <t>园区车辆调度管理</t>
  </si>
  <si>
    <t>调度申请</t>
  </si>
  <si>
    <t>用车部门在线提交用车申请，系统按业务规则自动匹配可用车辆或由调度人指派；车辆资源涉及外部供方（安徽交运、力之辉等）及自有车辆。自有车辆优先执行内部固定任务，空余才执行临时任务，固定任务需简化流程操作。</t>
  </si>
  <si>
    <t>TMS、ERP、BPM、车辆管理系统</t>
  </si>
  <si>
    <t>用车申请、用车部门、货物重量/体积/类型、车辆资源、承运商、调度/指派结果</t>
  </si>
  <si>
    <t>需求提交区分</t>
  </si>
  <si>
    <t>调度业务人员提交需求时可直接指定自有车辆和包月车辆；非调度业务人员（外部门）提供简易入口（填写预估重量、体积、类型），由调度人后台转为正式订单（支持依据距离、空闲状态做派单推荐）。</t>
  </si>
  <si>
    <t>TMS、ERP、BPM</t>
  </si>
  <si>
    <t>用车需求类型、重量/体积/货物类型、起讫点、车辆空闲状态、派单推荐/正式订单</t>
  </si>
  <si>
    <t>实时派车详情</t>
  </si>
  <si>
    <t>提供车辆预计到达时间、实时位置、路线导航信息；新订单需加声音或消息推送提醒，部分需求可提前一天预估。</t>
  </si>
  <si>
    <t>TMS、车辆管理系统（GPS）、地图/GIS服务、iSungrow（钉钉）/短信平台</t>
  </si>
  <si>
    <t>派车订单、车辆实时位置、预计到达时间、路线、司机/车辆、提醒/推送状态</t>
  </si>
  <si>
    <t>调度流程节点</t>
  </si>
  <si>
    <t>含需求申请→需求接收→订单装车→订单卸货→订单收货→订单查看；订单存在起始点、途径点、目的地；各关键节点联动开具出门证。</t>
  </si>
  <si>
    <t>TMS、WMS、EPO系统、BPM</t>
  </si>
  <si>
    <t>调度订单、起始/途径/目的地、装车/卸货/收货节点、节点照片/签收、电子出门证、审批/放行状态</t>
  </si>
  <si>
    <t>接单/超时规则</t>
  </si>
  <si>
    <t>当天任务10分钟内司机未接单、接单后2小时需求人未上传装车照片，通知外部物流公司调度人并记录异常数据。</t>
  </si>
  <si>
    <t>TMS、外部承运商系统、iSungrow（钉钉）/短信平台</t>
  </si>
  <si>
    <t>任务/订单、司机接单状态/时间、装车照片/上传时间、超时预警、承运商/调度联系人、异常记录</t>
  </si>
  <si>
    <t>异常流程处理机制</t>
  </si>
  <si>
    <t>支持调度取消、接单未响应等异常流程；超时未接单、超时未装车、超时未卸货等场景，系统自动升级通知相关人员并记录异常数据。</t>
  </si>
  <si>
    <t>TMS、BPM、iSungrow（钉钉）/短信平台</t>
  </si>
  <si>
    <t>取消/改派/接单/装卸超时状态、异常原因、升级通知/处理记录、调度订单</t>
  </si>
  <si>
    <t>调度效率分析</t>
  </si>
  <si>
    <t>自动生成调度效率报告（接单时长、订单装货时间、订单完成时间、平均等待时长、车辆周转率、订单准时完成率等），持续优化调度策略。</t>
  </si>
  <si>
    <t>TMS、WMS、数据湖/BI平台</t>
  </si>
  <si>
    <t>订单/车辆、接单/装车/卸货/完成时间、等待时长、周转率、准时率、效率指标</t>
  </si>
  <si>
    <t>调度费用分析</t>
  </si>
  <si>
    <t>依据按趟/按月/按年租赁等固定费用，结合实际驳运次数，按成本中心（多成本中心均摊）汇总车辆调度费用；租赁货车且驾驶员为内部员工时只记录设备租赁费用。</t>
  </si>
  <si>
    <t>TMS、ERP、费控系统</t>
  </si>
  <si>
    <t>调度订单、车辆租赁方式/单价、驳运次数、费用、成本中心、分摊结果</t>
  </si>
  <si>
    <t>覆盖范围</t>
  </si>
  <si>
    <t>园区间车间调度覆盖集团12个园区（产业园、智源、物流园、储能南区、总部南区、总部北区、堆场、蓝点、仁洁、零碳等），需在项目一期实施上线。</t>
  </si>
  <si>
    <t>TMS、MDM、地图/GIS平台</t>
  </si>
  <si>
    <t>园区主数据、园区/车间/站点、车辆/调度任务、路线/区域信息、上线范围</t>
  </si>
  <si>
    <t>二开（元）：</t>
  </si>
  <si>
    <t>标品（元）：</t>
  </si>
  <si>
    <t>1.4.3.2.1  消防设施状态监测（检测准确率不低于95%）</t>
  </si>
  <si>
    <t>消防水系统</t>
  </si>
  <si>
    <t>水压/水位/水泵监测</t>
  </si>
  <si>
    <t>消防泵、稳压泵出水管后水压监测；消防水池、高位水箱水位监测；水泵启停/故障状态监测记录。</t>
  </si>
  <si>
    <t>消防水系统监控设备/消防主机（待现场确认）</t>
  </si>
  <si>
    <t>消防泵/稳压泵状态、出水压力、水池/水箱水位、启停/故障告警、监测时间</t>
  </si>
  <si>
    <t>末端与报警阀监测</t>
  </si>
  <si>
    <t>消防系统末端压力监测；湿式/干式报警阀动作信号及前后压力监测（含系统侧与供水侧压力差事件提醒）；关键管路阀门启闭状态监测。</t>
  </si>
  <si>
    <t>末端压力、报警阀动作及前后压力、压力差告警、关键阀门启闭状态、监测时间</t>
  </si>
  <si>
    <t>火灾报警监测</t>
  </si>
  <si>
    <t>火灾探测信息联网</t>
  </si>
  <si>
    <t>烟感、温感、手报联网监测；吸气式烟感、红外对射、感温光纤、可燃气体/氧气/粉尘探测等特有场所监测；红外热成像、视频火灾监控等新型报警器监测。</t>
  </si>
  <si>
    <t>火灾自动报警系统、视频监控平台</t>
  </si>
  <si>
    <t>探测器报警/故障、报警类型/位置/时间、探测器状态、热成像/视频火灾告警及关联视频索引</t>
  </si>
  <si>
    <t>消防防排烟系统</t>
  </si>
  <si>
    <t>排烟/防烟设备监测</t>
  </si>
  <si>
    <t>排烟风机/补风机启闭状态、远程启动、故障监测；排烟口/阀/窗动作及故障监测；加压送风机/送风口动作及故障监测；电动挡烟垂壁、空调防火阀动作及故障监测；排烟排风主机流量和风向监测。</t>
  </si>
  <si>
    <t>防排烟控制系统、消防主机/联动控制器</t>
  </si>
  <si>
    <t>风机/阀/窗/送风口启停及故障状态、远程启动指令、风量/风向、联动事件及时间</t>
  </si>
  <si>
    <t>电气火灾监控</t>
  </si>
  <si>
    <t>电气参数监测</t>
  </si>
  <si>
    <t>在线电压、剩余电流、电缆温度监测及记录；异常现场报警，现场人员确认断电。</t>
  </si>
  <si>
    <t>电气火灾监控系统</t>
  </si>
  <si>
    <t>电压、剩余电流、电缆温度、阈值/异常告警、确认及处置记录</t>
  </si>
  <si>
    <t>建筑设施监控</t>
  </si>
  <si>
    <t>防火/机房监测</t>
  </si>
  <si>
    <t>防火门、防火卷帘状态监测；关键机房防水浸监测；关键机房排水泵启闭信号及液位监测。</t>
  </si>
  <si>
    <t>消防主机、排水泵控制系统（待现场确认）</t>
  </si>
  <si>
    <t>防火门/卷帘状态、水浸告警、排水泵启停/故障、液位、事件时间</t>
  </si>
  <si>
    <t>消防专用电源监控</t>
  </si>
  <si>
    <t>电源监测</t>
  </si>
  <si>
    <t>消防主/备用电源监测；应急照明主/备电源监测。</t>
  </si>
  <si>
    <t>消防电源监控系统</t>
  </si>
  <si>
    <t>消防主/备用电源状态、电压/故障、应急照明主/备电源状态、告警时间</t>
  </si>
  <si>
    <t>应急照明和疏散系统</t>
  </si>
  <si>
    <t>状态监控</t>
  </si>
  <si>
    <t>应急照明状态监控；疏散指示系统监控。</t>
  </si>
  <si>
    <t>应急照明及疏散指示系统</t>
  </si>
  <si>
    <t>应急照明工作/故障状态、疏散指示状态、设备位置、告警及维护记录</t>
  </si>
  <si>
    <t>气体灭火系统</t>
  </si>
  <si>
    <t>灭火系统监测</t>
  </si>
  <si>
    <t>系统压力监测；气体灭火主机联网监测。</t>
  </si>
  <si>
    <t>气体灭火控制系统/气灭主机</t>
  </si>
  <si>
    <t>系统压力、气灭主机报警/故障/启动状态、设备位置、联动事件时间</t>
  </si>
  <si>
    <t>消火栓/灭火器</t>
  </si>
  <si>
    <t>状态监测</t>
  </si>
  <si>
    <t>室内外消火栓箱监测（人工录入）；灭火器状态监测（人工录入）。</t>
  </si>
  <si>
    <t>无（人工录入；预留移动巡检接入）</t>
  </si>
  <si>
    <t>消火栓箱/灭火器位置、巡检状态、检查时间、责任人、异常及整改记录</t>
  </si>
  <si>
    <t>1.4.3.2.2  火灾监测预警功能</t>
  </si>
  <si>
    <t>火灾多维感知预警</t>
  </si>
  <si>
    <t>多类型报警</t>
  </si>
  <si>
    <t>传统报警器（烟感、温感、吸气式烟感、红外对射、感温光纤）+ 新型报警器（热成像、电缆测温、可燃气体、粉尘）+ AI视频分析识别烟雾/火焰；联动监控自动调取覆盖视频，空间标记弹窗、文字地址播报通知指定人员确认。</t>
  </si>
  <si>
    <t>火警/故障告警、报警设备/区域/位置、关联传感器状态、关联视频索引、事件确认/处置状态</t>
  </si>
  <si>
    <t>报价不含AI视频分析</t>
  </si>
  <si>
    <t>智能预警机制</t>
  </si>
  <si>
    <t>分级预警与推送</t>
  </si>
  <si>
    <t>多级预警阈值实现分级预警；单一火情报警后联动附近多传感器与视频降低误报率；管理员确认后通过短信、微信、钉钉推送至现场/处置/相关人员；基于历史数据趋势分析识别高风险区域。</t>
  </si>
  <si>
    <t>视频监控平台、iSungrow（钉钉）/短信平台</t>
  </si>
  <si>
    <t>预警规则/阈值、告警等级、关联传感器/视频信息、风险趋势、通知对象及推送/确认记录</t>
  </si>
  <si>
    <t>1.4.3.2.3  应急处置与联动控制功能</t>
  </si>
  <si>
    <t>应急联动控制</t>
  </si>
  <si>
    <t>自动联动</t>
  </si>
  <si>
    <t>火情确认后对未启动的灭火系统、应急广播/疏散指示系统进行报警或自动启动；危险源电/液/气联动切断；通风排烟系统联动；增加模拟演练的应急联动控制功能。</t>
  </si>
  <si>
    <t>消防主机、应急广播/疏散指示系统、达实门禁一卡通系统、防排烟控制系统</t>
  </si>
  <si>
    <t>火情确认结果、联动策略/指令、灭火/广播/疏散/门禁/排烟设备状态、危险源切断状态、演练记录</t>
  </si>
  <si>
    <t>应急指挥调度</t>
  </si>
  <si>
    <t>预案与资源调度</t>
  </si>
  <si>
    <t>预设多场景火灾应急预案一键启动；自动调动最近救援力量、设备、物资；通过预设疏散引导员指挥疏散并协助清点；处置责任人、部门责任人、园区/集团安全管理人多方信息协同。</t>
  </si>
  <si>
    <t>EHS、iSungrow（钉钉）</t>
  </si>
  <si>
    <t>应急预案、事件等级/位置、救援人员/设备/物资、疏散引导员、任务调度/处置进度、通知记录</t>
  </si>
  <si>
    <t>1.4.3.2.4  日常管理和巡检功能</t>
  </si>
  <si>
    <t>消防设备全生命周期管理</t>
  </si>
  <si>
    <t>电子档案与SOP</t>
  </si>
  <si>
    <t>建立设备电子档案（采购、安装、维修、更换全过程）；设备故障自动诊断与告警；维保记录电子化；建立操作/维保/巡检电子化SOP。</t>
  </si>
  <si>
    <t>EAM、EHS、iSungrow（钉钉）</t>
  </si>
  <si>
    <t>消防设备台账、采购/安装/维修/更换记录、故障告警、维保/巡检SOP、责任人及执行记录</t>
  </si>
  <si>
    <t>维保管理</t>
  </si>
  <si>
    <t>维保计划与评价</t>
  </si>
  <si>
    <t>自动生成维保计划到期提醒并分发；维保过程全程记录、支持照片上传与关键参数填写；建立维保质量标准并对维保单位评价。</t>
  </si>
  <si>
    <t>EAM、iSungrow（钉钉）</t>
  </si>
  <si>
    <t>维保计划/到期时间、设备信息、任务分派、照片/关键参数、维保结果、维保单位评价</t>
  </si>
  <si>
    <t>消防巡检管理</t>
  </si>
  <si>
    <t>巡检任务闭环</t>
  </si>
  <si>
    <t>巡检分为每日防火巡查、季度防火检查、节前安全大检查、突击检查；任务自动分发属地责任人、钉钉提醒、延迟提醒；图片与关键参数上传确认到位；自动生成巡检报告并评估。</t>
  </si>
  <si>
    <t>巡检计划/任务、责任人、签到/图片/关键参数、延迟提醒、巡检结果、报告及评估数据</t>
  </si>
  <si>
    <t>火灾隐患整改管理</t>
  </si>
  <si>
    <t>隐患闭环</t>
  </si>
  <si>
    <t>一键上报EHS隐患随手拍，抓取全链路数据形成报表；整改延迟前三天风险预警；不能按期完成需三方确认后延期；自动抓取生成消防类隐患整改记录并动态评估风险。</t>
  </si>
  <si>
    <t>EHS、iSungrow（钉钉）、BPM</t>
  </si>
  <si>
    <t>隐患上报、现场照片、整改任务/责任人/期限、风险预警、延期审批、整改闭环及风险评估记录</t>
  </si>
  <si>
    <t>人员培训与演练</t>
  </si>
  <si>
    <t>培训演练</t>
  </si>
  <si>
    <t>支持培训与演练计划制定及提醒；在线学习、测试、记录效果；模拟/实战演练消息推送、数据记录、生成演练报告。</t>
  </si>
  <si>
    <t>iSungrow（钉钉）</t>
  </si>
  <si>
    <t>培训/演练计划、参与人员、课程/试题/成绩、通知记录、演练过程数据、评估报告</t>
  </si>
  <si>
    <t>智慧消防空间与设施定位</t>
  </si>
  <si>
    <t>四级空间建模</t>
  </si>
  <si>
    <t>建立园区/建筑/楼层/区域四级空间模块（轻量化建模）；自动抓取EHS 5S责任区数据；消防资源位置编码与空间维护；消防资源电子地图（网页/手机端）。</t>
  </si>
  <si>
    <t>EHS、MDM/空间数据</t>
  </si>
  <si>
    <t>园区/建筑/楼层/区域、5S责任区、消防资源编码/位置、电子地图图层、空间维护记录</t>
  </si>
  <si>
    <t>园区消防数据智能分析</t>
  </si>
  <si>
    <t>风险模型与考核</t>
  </si>
  <si>
    <t>基于消防数据的风险评估模型；AI算法隐患预测预警；定期自动生成分析报告；多维度输出人员消防管理目标评价。</t>
  </si>
  <si>
    <t>数据湖、EHS</t>
  </si>
  <si>
    <t>火警/预警/故障/隐患/巡检/维保数据、风险评分、趋势分析、人员考核指标、分析报告</t>
  </si>
  <si>
    <t>基于消防的数据湖做预测、预警分析</t>
  </si>
  <si>
    <t>用户权限管理</t>
  </si>
  <si>
    <t>角色与审计</t>
  </si>
  <si>
    <t>预设多角色；精细化权限分配；关键操作日志审计；支持园区/楼栋楼层多级管理架构。</t>
  </si>
  <si>
    <t>统一身份认证/SSO、MDM</t>
  </si>
  <si>
    <t>组织/园区/楼栋/楼层层级、用户/角色/权限、权限变更、登录及关键操作审计日志</t>
  </si>
  <si>
    <t>系统集成与数据互联</t>
  </si>
  <si>
    <t>系统对接</t>
  </si>
  <si>
    <t>对接监控系统（视频与设施地址关联、故障报警关联视频弹窗）、门禁系统（火情区域疏散门禁全开）、企业钉钉、钉钉EHS管理平台；预留扩展园区接口及消防/应急管理部门监管平台接口。</t>
  </si>
  <si>
    <t>视频监控平台、达实门禁一卡通系统、iSungrow（钉钉）、钉钉EHS管理平台、消防/应急监管平台（预留）</t>
  </si>
  <si>
    <t>消防设施地址/状态、视频及告警、门禁疏散控制状态、EHS隐患/任务、通知记录、监管报送数据</t>
  </si>
  <si>
    <t>集团-园区消防安全一张图(2.5D)</t>
  </si>
  <si>
    <t>态势可视化</t>
  </si>
  <si>
    <t>支持园区→建筑→楼层逐级穿透；集团一张图呈现园区数量、设备覆盖、火警/预警/故障/隐患总量及处置进展、安全评估排名；园区一张图动态展示各类事件实时分布与处置状态，支持按类型/严重程度/区域筛选与视频联动。</t>
  </si>
  <si>
    <t>视频监控平台、消防主机、EHS、数据湖/BI</t>
  </si>
  <si>
    <t>园区/建筑/楼层空间数据、设备覆盖/在线率、火警/预警/故障/隐患、处置进展、安全评分/排名、关联视频</t>
  </si>
  <si>
    <t>其他功能需求</t>
  </si>
  <si>
    <t>充电与知识推送</t>
  </si>
  <si>
    <t>电动汽车充电桩监控及报警；电动自行车/叉车/AGV充电区管理（充电、视频、热成像）；安全知识按需推送；消防安全排行榜。</t>
  </si>
  <si>
    <t>充电桩监控系统、视频监控平台、iSungrow（钉钉）/短信平台</t>
  </si>
  <si>
    <t>充电桩运行/告警、充电区视频/热成像告警、安全知识内容/推送记录、消防安全排行数据</t>
  </si>
  <si>
    <t>1.4.3.3.2.1  系统设计（软件建设）</t>
  </si>
  <si>
    <t>平台基础服务</t>
  </si>
  <si>
    <t>统一底座</t>
  </si>
  <si>
    <t>统一操作系统、数据库、中间件正版授权与部署；平台核心服务支持集群部署、负载均衡。</t>
  </si>
  <si>
    <t>统一门户与可视化</t>
  </si>
  <si>
    <t>多端与地图引擎</t>
  </si>
  <si>
    <t>浏览器端、桌面客户端、移动端（iSungrow联动）；2.5D地图加载集成CAD/BIM图纸，设备与区域精准映射与图层管理；全局态势驾驶舱展示设备状态、实时告警、人流车流、KPI等。</t>
  </si>
  <si>
    <t>iSungrow（钉钉）、视频监控平台、达实门禁一卡通系统、消防系统、MDM/空间数据</t>
  </si>
  <si>
    <t>CAD/BIM/地图及设备点位、设备状态、视频/门禁/消防告警、人流车流、KPI、用户/组织及多端访问数据</t>
  </si>
  <si>
    <t>2.5D地图</t>
  </si>
  <si>
    <t>视频管理服务</t>
  </si>
  <si>
    <t>视频流与存储</t>
  </si>
  <si>
    <t>视频流媒体服务（直播、转码、分发）；录像存储管理（计划/事件录制、存储策略、循环覆盖）；视频智能运维（在线监测、质量诊断、存储健康度检查）。</t>
  </si>
  <si>
    <t>视频监控平台</t>
  </si>
  <si>
    <t>摄像机/通道、实时视频流、录像计划/片段/存储状态、转码分发状态、设备在线/质量/存储健康度告警</t>
  </si>
  <si>
    <t>1.4.3.3.2.2  智能分析与应用功能软件</t>
  </si>
  <si>
    <t>AI算法仓与应用</t>
  </si>
  <si>
    <t>算法授权</t>
  </si>
  <si>
    <t>行为分析（安全帽/反光衣/工服检测、区域入侵、越界、人员聚集、徘徊、离岗睡岗、攀爬等）；事件检测（烟火识别、烟雾检测、物品遗留/移取、人员倒地、交通违章等）；实时视频/图片分析及历史录像智能检索（以图搜图、特征检索、轨迹寻踪）；部分告警工单自动闭环。</t>
  </si>
  <si>
    <t>视频监控平台、EHS</t>
  </si>
  <si>
    <t>实时视频/图片、算法模型及场景参数、人员/车辆/行为特征、AI告警、历史录像索引、工单/处置结果</t>
  </si>
  <si>
    <t>报价不含算法，对接和订阅，做告警推送</t>
  </si>
  <si>
    <t>告警与事件中心</t>
  </si>
  <si>
    <t>告警归一化</t>
  </si>
  <si>
    <t>统一告警接入引擎多源归一化；智能告警规则引擎（分级、过滤、压缩、关联）；可视化告警处置工作流引擎（工单创建、派发、反馈、闭环）。</t>
  </si>
  <si>
    <t>视频监控平台、EHS、iSungrow（钉钉）</t>
  </si>
  <si>
    <t>多源告警事件、告警等级/规则/关联关系、工单、派发对象、处置反馈、闭环状态、通知记录</t>
  </si>
  <si>
    <t>业务管理模块</t>
  </si>
  <si>
    <t>巡检/告警/配置</t>
  </si>
  <si>
    <t>AI摄像头及告警数据看板；告警列表记录与详情查看；AI告警场景配置（关联算法、告警场景参数）；报警联动（自动弹出现场图像视频复核、声音监听、对讲）；2.5D电子地图配置与反控操作。</t>
  </si>
  <si>
    <t>摄像机/算法配置、AI告警、现场图像/视频/音频、电子地图图层及点位、反控操作记录</t>
  </si>
  <si>
    <t>系统间联动 · 核心安防与AI物联感知</t>
  </si>
  <si>
    <t>生产与研发全场景AI行为识别</t>
  </si>
  <si>
    <t>产线/作业区识别</t>
  </si>
  <si>
    <t>产线与测试区（火焰烟雾、抽烟、绝缘鞋、非授权入侵、防护口罩）；高危机械与特种作业区（安全带安全帽、机械臂危险区、铅衣、吊装警戒线/晕倒）；仓储与危化品区（火焰烟雾、抽烟、手机、PPE）；通用厂区与机房（火焰烟雾、抽烟）。</t>
  </si>
  <si>
    <t>产线/测试区/仓储区视频、识别场景、人员PPE/行为结果、区域入侵/烟火等告警、事件处置记录</t>
  </si>
  <si>
    <t>高风险与重点区域IoT深度监测</t>
  </si>
  <si>
    <t>物联联动</t>
  </si>
  <si>
    <t>危化品区域气体探测与泄漏报警+人员滞留超限预警；受限空间人员定位与有害气体联动报警；动火作业实时监控与'人证匹配'验证；职业健康环境监测（噪声、粉尘暴露时长）。需预留硬件接口。</t>
  </si>
  <si>
    <t>气体检测设备、人员定位系统、EHS</t>
  </si>
  <si>
    <t>气体浓度/泄漏告警、人员位置/滞留时长、受限空间状态、动火作业人员证件比对、噪声/粉尘暴露数据</t>
  </si>
  <si>
    <t>5S与现场规范智能监测</t>
  </si>
  <si>
    <t>现场秩序识别</t>
  </si>
  <si>
    <t>摄像头识别消防通道占用等隐患；识别物料占道、超线摆放、地面垃圾等违反5S行为。</t>
  </si>
  <si>
    <t>消防通道/物料/5S现场视频、违规类型/位置/时间、抓拍证据、整改任务及闭环记录</t>
  </si>
  <si>
    <t>厂区车辆与特种设备安全管控</t>
  </si>
  <si>
    <t>车辆管控</t>
  </si>
  <si>
    <t>厂区道路反光马甲/防砸鞋/安全带识别；特种车辆（叉车、堆高车、托盘车）AI人脸授权管理与非授权驾驶告警抓拍；叉车限速预警与'人车分流'区域入侵报警。</t>
  </si>
  <si>
    <t>车辆管理系统、视频监控平台、达实门禁一卡通系统</t>
  </si>
  <si>
    <t>特种车辆/驾驶员、授权人脸/资质、车辆位置/速度、PPE识别、区域入侵、抓拍/告警及处置记录</t>
  </si>
  <si>
    <t>智能预警与矩阵式信息通知 / 跨系统联动</t>
  </si>
  <si>
    <t>矩阵式自动化通知分发</t>
  </si>
  <si>
    <t>分级分类通知</t>
  </si>
  <si>
    <t>多渠道提醒（弹窗、短信、语音电话、钉钉）；按人员组织架构分级分类精准推送；相关方（承包商）违规专属通知链路（需与EHS危险作业模块打通获取责任人）。</t>
  </si>
  <si>
    <t>iSungrow（钉钉）、EHS、短信/语音通知服务</t>
  </si>
  <si>
    <t>告警事件/等级、组织/人员/相关方、责任人、通知策略、钉钉/短信/语音发送及签收记录</t>
  </si>
  <si>
    <t>EHS管理平台深度联动</t>
  </si>
  <si>
    <t>两票作业监管</t>
  </si>
  <si>
    <t>与EHS危险作业模块打通，调用现场摄像头对动火等作业人员进行姓名/人脸/身份证比对；业务画面一键调用与历史违规追溯，形成作业评价闭环。</t>
  </si>
  <si>
    <t>EHS、视频监控平台</t>
  </si>
  <si>
    <t>危险作业票、作业区域/时间、作业人员姓名/人脸/身份证、现场视频、违规记录、作业评价及闭环数据</t>
  </si>
  <si>
    <t>消防与生产系统联动控制</t>
  </si>
  <si>
    <t>门禁疏散/演练</t>
  </si>
  <si>
    <t>火警确认下自动解锁疏散通道门禁并记录疏散路径与时间节点；消防及安防演练数字化管理，AI监控自动清点楼内未撤离人数、识别被困人员并生成演练评估报告。</t>
  </si>
  <si>
    <t>消防系统、达实门禁一卡通系统、视频监控平台</t>
  </si>
  <si>
    <t>火警确认、疏散门禁控制指令/状态、疏散路径/时间、人员清点/被困识别、演练过程及评估报告</t>
  </si>
  <si>
    <t>相关方信用与黑名单联动</t>
  </si>
  <si>
    <t>禁入机制</t>
  </si>
  <si>
    <t>严重违规记录与相关方管理流程、EHS、门禁、制造体系打通，触发严重违规自动全集团黑名单禁入，门禁同步失效。</t>
  </si>
  <si>
    <t>EHS、达实门禁一卡通系统、人力资源系统/MDM</t>
  </si>
  <si>
    <t>严重违规记录、相关方/人员档案、黑名单状态、生效范围、门禁权限变更、禁入执行记录</t>
  </si>
  <si>
    <t>数据资产、日常管理与可视化 / 系统集成</t>
  </si>
  <si>
    <t>安防应急地图（员工端与管理端）</t>
  </si>
  <si>
    <t>应急资源可视化</t>
  </si>
  <si>
    <t>地图精准标绘AED、急救药箱、微型消防站等应急物资及应急联系人；员工端一键拨打应急电话；'一键报警'按钮获取员工大致位置并自动推送应急负责人。</t>
  </si>
  <si>
    <t>MDM/空间数据、视频监控平台、EHS</t>
  </si>
  <si>
    <t>AED/药箱/微型消防站位置、应急联系人、员工大致位置、一键报警事件、推送及处置记录</t>
  </si>
  <si>
    <t>数据管理与台账分析</t>
  </si>
  <si>
    <t>数据沉淀与报表</t>
  </si>
  <si>
    <t>保留至少一年高清报警记录及图片/视频片段；多维度（事业部、区域、人员类型、相关方、违规类型）筛选查询与带图导出；内置AI分析自动生成隐患趋势、违规排名等图表。</t>
  </si>
  <si>
    <t>数据湖/BI、EHS</t>
  </si>
  <si>
    <t>报警记录、图片/视频片段、组织/区域/人员/相关方/违规类型、处置状态、隐患趋势及排名指标</t>
  </si>
  <si>
    <t>系统集成与外部数据开放</t>
  </si>
  <si>
    <t>集团数据贯通</t>
  </si>
  <si>
    <t>提供标准化数据开放API接口，向集团EHS管理平台、ESG报告系统稳定输出安防及健康安全标准化指标数据。</t>
  </si>
  <si>
    <t>EHS、ESG报告系统、数据湖</t>
  </si>
  <si>
    <t>安防事件、职业健康/安全指标、标准化指标口径、统计周期、报送状态及接口调用日志</t>
  </si>
  <si>
    <t>1.4.3.3  硬件建设（含重点部位硬件更新补充）</t>
  </si>
  <si>
    <t>智能视频监控硬件</t>
  </si>
  <si>
    <t>摄像机配备</t>
  </si>
  <si>
    <t>出清单/设计及深化图并调试接入，原则上尽可能利旧；含枪机、智能球机、全景、热成像双光谱、防爆型、AI边缘计算结构化摄像机；配套防雷器、防水箱、立杆、支架、补光灯。</t>
  </si>
  <si>
    <t>周界入侵报警硬件</t>
  </si>
  <si>
    <t>周界探测</t>
  </si>
  <si>
    <t>脉冲电子围栏系统或振动光纤探测系统等，出设计深化图并调试接入；辅助现场声光报警器。</t>
  </si>
  <si>
    <t>物联网传感设备</t>
  </si>
  <si>
    <t>传感器接入</t>
  </si>
  <si>
    <t>温湿度、水浸、烟雾探测器等环境传感器；特定气体泄漏、压力、流量等专用探测器，出设计深化图并调试接入；实现所有硬件、传感器、第三方平台接入智慧园区平台。</t>
  </si>
  <si>
    <t>1.4.3.4.1  员工入住模块</t>
  </si>
  <si>
    <t>入住申请流程</t>
  </si>
  <si>
    <t>在职/待入职申请</t>
  </si>
  <si>
    <t>在职人员经宿舍服务平台提交住宿申请并由后勤审核安排房间；待入职人员由HR代申请；申请信息同步至BPM入职系统；退宿后无法再次申请（二次申请提醒）；嵌入租房补贴申请选项按满两年标准核算。</t>
  </si>
  <si>
    <t>人力资源系统、BPM、iSungrow（钉钉）</t>
  </si>
  <si>
    <t>员工/待入职人员、部门/职级、住宿申请/审批、入职状态、房间分配、退宿记录、租房补贴申请及核算周期</t>
  </si>
  <si>
    <t>房务管理</t>
  </si>
  <si>
    <t>房源可视化与智能分寝</t>
  </si>
  <si>
    <t>按'园区→楼栋→楼层→房间'层级展示状态（空房/已住/维修中/待入住）；同步展示房型实拍图、面积、朝向、租金、配置；结合个性化标签、部门、职级智能分寝并排除维修房间。</t>
  </si>
  <si>
    <t>人力资源系统/MDM</t>
  </si>
  <si>
    <t>园区/楼栋/楼层/房间、房型/租金/配置/图片、房间状态、入住人员、部门/职级/个性化标签、维修状态</t>
  </si>
  <si>
    <t>入住温馨提示</t>
  </si>
  <si>
    <t>二维码与推送</t>
  </si>
  <si>
    <t>分配后自动触发提醒，生成入园二维码门岗审核；已入职员工钉钉卡片推送、待入职员工短信链接推送入住指南长图。</t>
  </si>
  <si>
    <t>iSungrow（钉钉）/短信平台、门岗核验系统</t>
  </si>
  <si>
    <t>入住分配结果、入园二维码、员工联系方式/入职状态、入住指南、推送及门岗核验记录</t>
  </si>
  <si>
    <t>1.4.3.4.2  住宿管理模块</t>
  </si>
  <si>
    <t>入住/调寝管理</t>
  </si>
  <si>
    <t>入住办理与调寝</t>
  </si>
  <si>
    <t>本人凭身份证核验后线上签订材料存档；个性化标签录入用于智能推荐；调寝流程含原/新宿管审核、生成调寝通知单，调寝后24小时内工卡权限切换、水电表数据切换；每人因个人原因仅限调寝1次。</t>
  </si>
  <si>
    <t>BPM、达实门禁一卡通系统、智能水电表系统</t>
  </si>
  <si>
    <t>身份证核验、入住/调寝申请与审批、住宿材料/签字、房间/人员变更、工卡权限变更、水电表归属及读数切换</t>
  </si>
  <si>
    <t>维修管理</t>
  </si>
  <si>
    <t>工单分级</t>
  </si>
  <si>
    <t>员工端按故障等级提交（紧急故障需上传现场照片标记紧急工单）；维修端展示工单信息、派单、反馈进度；修复后员工线上确认结果；工单自动存档可按园区/房间/时间查询。</t>
  </si>
  <si>
    <t>维修工单、故障等级/照片、房间/报修人、派单/处理进度、维修结果、员工确认及归档信息</t>
  </si>
  <si>
    <t>出入授权</t>
  </si>
  <si>
    <t>门禁权限</t>
  </si>
  <si>
    <t>刷卡方式配置宿舍门、楼栋门禁权限；退宿后自动权限失效；宿舍一楼大堂设刷卡/刷脸闸机区分权限身份。</t>
  </si>
  <si>
    <t>达实门禁一卡通系统</t>
  </si>
  <si>
    <t>人员/工卡/人脸、宿舍门/楼栋/闸机权限、权限生效/失效时间、出入记录</t>
  </si>
  <si>
    <t>同住人员信息</t>
  </si>
  <si>
    <t>信息展示</t>
  </si>
  <si>
    <t>支持查看同住人员工号、姓名、兴趣爱好、生活习惯标签（需本人设置允许展示）；离职/调寝后24小时内更新。</t>
  </si>
  <si>
    <t>人力资源系统</t>
  </si>
  <si>
    <t>同住人员工号/姓名、入住/离职/调寝状态、兴趣爱好/生活习惯标签、展示授权状态</t>
  </si>
  <si>
    <t>员工自助</t>
  </si>
  <si>
    <t>时间查询与提醒</t>
  </si>
  <si>
    <t>查询入住起始日期、住宿总时长、免费总时长、剩余免费天数；两年免费到期前30天钉钉推送到期提醒（含缓冲期规则）；知识库Q&amp;A。</t>
  </si>
  <si>
    <t>人力资源系统、iSungrow（钉钉）</t>
  </si>
  <si>
    <t>入住起止时间、免费/自费住宿天数、缓冲期规则、到期日期、提醒对象及推送记录、知识库内容</t>
  </si>
  <si>
    <t>1.4.3.4.3  水电费模块</t>
  </si>
  <si>
    <t>智能水电表联动</t>
  </si>
  <si>
    <t>计费与结算</t>
  </si>
  <si>
    <t>链接园区智能水电表自动获取实时度数；单价管理员可调整并公示；按实际入住天数分摊；每月1日自动生成上月水电费结算表可导出。</t>
  </si>
  <si>
    <t>EMS、智能水电表系统</t>
  </si>
  <si>
    <t>房间水/电表读数、抄表时间、单价/公示版本、入住天数、分摊规则、月度结算单及费用明细</t>
  </si>
  <si>
    <t>员工端用量查询</t>
  </si>
  <si>
    <t>实时查看</t>
  </si>
  <si>
    <t>员工可查看当日、入住期间的水电用量及对应费用。</t>
  </si>
  <si>
    <t>当日及累计水/电用量、抄表时间、单价、费用、入住期间统计数据</t>
  </si>
  <si>
    <t>1.4.3.4.4  员工退宿模块</t>
  </si>
  <si>
    <t>离职/正常退宿</t>
  </si>
  <si>
    <t>退宿闭环</t>
  </si>
  <si>
    <t>关联离职流程自动触发退宿提醒；员工截止日期前联系宿管验收；验收通过标记已退宿并生成退宿确认单线上签字；不通过需缴纳赔偿费（拒缴从工资扣除）；退宿后自动清除门禁权限并注销账户。</t>
  </si>
  <si>
    <t>人力资源系统、BPM、达实门禁一卡通系统、薪酬系统（如有）</t>
  </si>
  <si>
    <t>离职/退宿申请与审批、验收结果/签字、房间及损坏记录、赔偿费用/扣款、门禁权限注销、账户状态</t>
  </si>
  <si>
    <t>1.4.3.4.5  统计模块</t>
  </si>
  <si>
    <t>续住费用统计</t>
  </si>
  <si>
    <t>超期续住计费</t>
  </si>
  <si>
    <t>管理员设置免费/自费续住天数与续住单价（单人间50、双人间25、四人间12元/天/位）；自动筛选超期人员计算续租费用并生成明细表。</t>
  </si>
  <si>
    <t>人力资源系统、薪酬/费控系统（如有）</t>
  </si>
  <si>
    <t>免费/自费续住规则、房型/单价、住宿时长、超期人员、续住费用及明细</t>
  </si>
  <si>
    <t>租房补贴发放时间段统计</t>
  </si>
  <si>
    <t>补贴核算</t>
  </si>
  <si>
    <t>按住宿时长+租房补贴时长累计满两年标准核算，生成应发放补贴时间段并导出明细表。</t>
  </si>
  <si>
    <t>入住周期、租房补贴周期、两年累计时长、应发补贴时间段、人员及核算明细</t>
  </si>
  <si>
    <t>宿舍档案统计</t>
  </si>
  <si>
    <t>人员档案</t>
  </si>
  <si>
    <t>当前入住人员房间档案（工号、姓名、入住日期、标签）；以往入住人员（入住周期、退宿原因、是否损坏记录）。</t>
  </si>
  <si>
    <t>当前/历史入住人员、工号/姓名、房间、入住/退宿日期、标签、退宿原因、损坏记录</t>
  </si>
  <si>
    <t>首页数据看板</t>
  </si>
  <si>
    <t>核心数据</t>
  </si>
  <si>
    <t>展示各园区房源概况、入住率、空置率、水电用量、工单数据等，支持点击下钻查看明细。</t>
  </si>
  <si>
    <t>EMS、iSungrow（钉钉）、数据湖/BI</t>
  </si>
  <si>
    <t>园区房源/入住/空置数据、水电用量/费用、维修工单、统计口径及下钻明细</t>
  </si>
  <si>
    <t>1.4.3.5.1 - 1.4.3.5.6  外协人员基础管理</t>
  </si>
  <si>
    <t>人员信息管理模块</t>
  </si>
  <si>
    <t>信息录入与审核</t>
  </si>
  <si>
    <t>批量/单个录入外协人员信息，上传证件扫描件数字化存储；多级审核流程；信息查询修改、归档与注销；黑名单与EHS、门禁、人力系统打通实现全集团禁入。</t>
  </si>
  <si>
    <t>EHS、达实门禁一卡通系统、人力资源系统、BPM</t>
  </si>
  <si>
    <t>外协单位/人员、证件扫描件、岗位/合同、审核/归档/注销、黑名单、EHS安全状态、门禁权限及审批记录</t>
  </si>
  <si>
    <t>准入管理模块</t>
  </si>
  <si>
    <t>资质与准入</t>
  </si>
  <si>
    <t>按岗位设置资质审核项并自动识别有效期提醒；标准化培训课程体系与笔试实操考核；准入审批生成电子准入凭证同步相关模块。</t>
  </si>
  <si>
    <t>EHS、BPM、达实门禁一卡通系统</t>
  </si>
  <si>
    <t>岗位准入标准、资质证书/有效期、培训/考试成绩、准入申请/审批、电子准入凭证、门禁授权状态</t>
  </si>
  <si>
    <t>考勤管理模块</t>
  </si>
  <si>
    <t>打卡与统计</t>
  </si>
  <si>
    <t>支持指纹、手机定位等多种打卡方式与范围限制；自动统计出勤、加班、迟到早退；请假补卡审批联动。</t>
  </si>
  <si>
    <t>iSungrow（钉钉）、人力资源系统、BPM</t>
  </si>
  <si>
    <t>打卡位置/时间/方式、出勤/加班/迟到早退、请假/补卡申请及审批、人员/班次信息</t>
  </si>
  <si>
    <t>行为管理模块</t>
  </si>
  <si>
    <t>违规与评估</t>
  </si>
  <si>
    <t>建立违规分类体系及处罚标准并关联单位/个人档案；360度定期行为评估生成评估报告。</t>
  </si>
  <si>
    <t>EHS、人力资源系统</t>
  </si>
  <si>
    <t>违规分类/处罚标准、违规记录、单位/个人档案、评估维度/评分、评估报告</t>
  </si>
  <si>
    <t>安全管理模块</t>
  </si>
  <si>
    <t>培训/检查/事故</t>
  </si>
  <si>
    <t>安全培训记录与未达标限制进入；安全检查隐患整改闭环；事故记录与分析形成案例库。</t>
  </si>
  <si>
    <t>EHS、达实门禁一卡通系统</t>
  </si>
  <si>
    <t>安全培训/考试、检查任务/隐患/整改、事故记录/分析、准入限制及门禁限制状态</t>
  </si>
  <si>
    <t>服务质量管理模块</t>
  </si>
  <si>
    <t>评价与结算</t>
  </si>
  <si>
    <t>针对物业/食堂/施工分别设置评价指标；内外部多渠道匿名评价汇总；综合得分反馈改进；按得分/考勤/处罚周期性计算结算金额。</t>
  </si>
  <si>
    <t>人力资源系统、ERP/费控系统</t>
  </si>
  <si>
    <t>服务评价指标/评分、考勤、处罚、服务单位/人员、结算周期、应结算金额及明细</t>
  </si>
  <si>
    <t>1.4.3.5.7  费用智能化测算系统</t>
  </si>
  <si>
    <t>数据接入与自动生成</t>
  </si>
  <si>
    <t>多源数据整合</t>
  </si>
  <si>
    <t>自动同步钉钉考勤原始数据；自动生成考勤终表、花名册、配套服务明细、费用汇总表；对接门禁记录、物资代采明细、考核评分统一归集。</t>
  </si>
  <si>
    <t>iSungrow（钉钉）、达实门禁一卡通系统、ERP/采购系统、EHS</t>
  </si>
  <si>
    <t>钉钉原始考勤、门禁记录、花名册、配套服务/物资代采明细、考核评分、考勤终表及费用汇总</t>
  </si>
  <si>
    <t>智能计算引擎</t>
  </si>
  <si>
    <t>规则自动化</t>
  </si>
  <si>
    <t>内置出勤天数、超龄识别扣款、迟到早退判定、配套服务时长折算等规则自动判定扣款；扣款明细自动输出汇总；基于源头数据保障可追溯可复核。</t>
  </si>
  <si>
    <t>iSungrow（钉钉）、人力资源系统、ERP/费控系统</t>
  </si>
  <si>
    <t>原始考勤、年龄/人员信息、服务时长、扣款规则/明细、费用汇总及追溯标识</t>
  </si>
  <si>
    <t>流程协作模块</t>
  </si>
  <si>
    <t>线上审批闭环</t>
  </si>
  <si>
    <t>保洁/保安/维修等配套服务线上申请审批同步结算表；物业服务考核线上化形成'考核-扣款-结算'闭环。</t>
  </si>
  <si>
    <t>BPM、ERP/费控系统</t>
  </si>
  <si>
    <t>配套服务申请/审批、物业考核评分、扣款、结算单、审批及归档状态</t>
  </si>
  <si>
    <t>审批视图与看板</t>
  </si>
  <si>
    <t>领导看板</t>
  </si>
  <si>
    <t>费用总览、环比分析、异常波动提示、考核结果关联；所有费用报表支持导出、打印与归档。</t>
  </si>
  <si>
    <t>ERP/费控系统、数据湖/BI</t>
  </si>
  <si>
    <t>费用总额/明细、环比指标、异常波动、考核结果、报表导出/打印/归档记录</t>
  </si>
  <si>
    <t>1.4.3.5.8  物业工作一体化数字平台</t>
  </si>
  <si>
    <t>智能巡检与工单闭环</t>
  </si>
  <si>
    <t>移动化巡检</t>
  </si>
  <si>
    <t>钉钉推送巡检任务打卡拍照记录；一键生成工单全程留痕闭环；AI辅助派单与路径优化；数据看板展示完成率、响应/解决时长、高频问题热力图。</t>
  </si>
  <si>
    <t>巡检任务/签到/照片、工单、派单/处理时间、完成率、响应/解决时长、高频问题、推送记录</t>
  </si>
  <si>
    <t>可视化工作计划与进度</t>
  </si>
  <si>
    <t>计划管理</t>
  </si>
  <si>
    <t>模板化计划复用；甘特图/看板视图展示进度与责任人；智能提醒与逾期预警。</t>
  </si>
  <si>
    <t>工作计划/模板、任务/责任人、进度、甘特/看板状态、提醒/逾期预警记录</t>
  </si>
  <si>
    <t>数字化培训与知识库</t>
  </si>
  <si>
    <t>培训沉淀</t>
  </si>
  <si>
    <t>在线培训（课程发布、任务推送、签到考试）；学习进度与考核记录；SOP/操作手册/案例库/视频集中管理检索。</t>
  </si>
  <si>
    <t>培训课程/资料、培训任务、签到/考试、学习进度/成绩、SOP/案例/视频及检索记录</t>
  </si>
  <si>
    <t>数据看板与决策支持</t>
  </si>
  <si>
    <t>运营总览</t>
  </si>
  <si>
    <t>整合巡检/工单/计划/培训数据形成物业总览看板；多维统计分析；预测性维护建议；月度报告自动生成。</t>
  </si>
  <si>
    <t>数据湖/BI</t>
  </si>
  <si>
    <t>巡检/工单/计划/培训数据、完成率/时长、高频问题、运营指标、预测维护建议、月度报告</t>
  </si>
  <si>
    <t>1.4.3.5.9 - 1.4.3.5.11  外包人员、调度与多渠道服务</t>
  </si>
  <si>
    <t>外包人员与服务质量管理</t>
  </si>
  <si>
    <t>信息与评价联动</t>
  </si>
  <si>
    <t>物业/保洁/绿化/维修等外包人员统一录入与资质合同管理到期提醒；差异化评价指标、多渠道评价自动汇总、结算联动、服务响应/解决率监管纳入考核。</t>
  </si>
  <si>
    <t>人力资源系统、ERP/费控系统、EHS</t>
  </si>
  <si>
    <t>外包人员/单位、资质/合同/到期提醒、服务评价、考勤/处罚、结算、响应/解决率及考核数据</t>
  </si>
  <si>
    <t>智慧调度与资源优化</t>
  </si>
  <si>
    <t>动态排班</t>
  </si>
  <si>
    <t>结合历史工单/巡检/实时请求算法优化排班与工作路线；预留物业机器人（扫地/巡检机器人）对接接口。</t>
  </si>
  <si>
    <t>物业机器人系统（预留）、iSungrow（钉钉）</t>
  </si>
  <si>
    <t>历史工单/巡检、实时服务请求、人员技能/班次/位置、排班/路线、机器人任务及执行状态</t>
  </si>
  <si>
    <t>多渠道统一服务请求入口</t>
  </si>
  <si>
    <t>全渠道接入</t>
  </si>
  <si>
    <r>
      <rPr>
        <sz val="10"/>
        <rFont val="宋体"/>
        <charset val="134"/>
      </rPr>
      <t>钉钉/企业微信/PC门户/现场扫码多渠道提交服务请求</t>
    </r>
    <r>
      <rPr>
        <sz val="10"/>
        <color rgb="FFFF0000"/>
        <rFont val="宋体"/>
        <charset val="134"/>
      </rPr>
      <t>；智能表单引导；语音转工单。</t>
    </r>
  </si>
  <si>
    <t>iSungrow（钉钉）、企业微信、语音转文字服务</t>
  </si>
  <si>
    <t>服务请求、渠道来源、用户/位置、智能表单、语音转写、工单、受理状态</t>
  </si>
  <si>
    <t>智能派单与调度</t>
  </si>
  <si>
    <t>自动派单</t>
  </si>
  <si>
    <t>基于NLP匹配服务类别与技能；结合人员忙闲、地理位置、用户要求自动派发，支持人工坐席接管辅助。</t>
  </si>
  <si>
    <t>iSungrow（钉钉）、人力资源系统/MDM</t>
  </si>
  <si>
    <t>服务类别/技能、人员忙闲/位置、用户要求、派单建议/结果、人工接管、调度日志</t>
  </si>
  <si>
    <t>服务过程透明化与满意度</t>
  </si>
  <si>
    <t>过程留痕与评价</t>
  </si>
  <si>
    <t>进度实时可查、关键节点钉钉推送、服务轨迹留痕；一键评价、差评自动触发回访、评价关联绩效考核；客服数据分析看板（服务量监控、热点问题预警、SLA趋势分析）。</t>
  </si>
  <si>
    <t>iSungrow（钉钉）、数据湖/BI、人力资源系统</t>
  </si>
  <si>
    <t>服务进度/轨迹、关键节点通知、评价/差评/回访、绩效关联、服务量/热点/SLA趋势</t>
  </si>
  <si>
    <t>平台通用能力、数据范围与系统集成</t>
  </si>
  <si>
    <t>1.4.3.6  报表管理模块</t>
  </si>
  <si>
    <t>报表管理</t>
  </si>
  <si>
    <t>园区运营总览驾驶舱</t>
  </si>
  <si>
    <t>园区总览地图（告警、能耗、安防点位）；当日关键KPI（总能耗、产值、安全运行天数、出入人数）每日更新；实时告警滚动，能源/安防/环境核心指标每秒更新。不少于20张定制报表。</t>
  </si>
  <si>
    <t>EMS、视频监控平台、消防系统、达实门禁一卡通系统、EHS、数据湖、MDM/空间数据</t>
  </si>
  <si>
    <t>园区地图/点位、能耗、安防/消防告警、设备状态、出入人数、产值、安全运行天数、环境指标及实时KPI</t>
  </si>
  <si>
    <t>2D可视化
二开：人\天单价1300</t>
  </si>
  <si>
    <t>安防态势一张图</t>
  </si>
  <si>
    <t>电子地图集成视频、门禁、报警点位；实时告警事件统计与处置状态；人员热力图；消防设备在线率与报警历史。不少于10张定制报表，每小时更新。</t>
  </si>
  <si>
    <t>视频监控平台、达实门禁一卡通系统、消防系统、EHS、MDM/空间数据</t>
  </si>
  <si>
    <t>电子地图/点位、视频、门禁通行、报警事件/处置状态、人员热力、消防设备在线率/报警历史</t>
  </si>
  <si>
    <t>通行记录分析报表</t>
  </si>
  <si>
    <t>按人员、部门、门禁点统计进出记录，生成考勤辅助报表、重点区域访问日志。不少于10张，每分钟更新。</t>
  </si>
  <si>
    <t>达实门禁一卡通系统、人力资源系统/MDM</t>
  </si>
  <si>
    <t>人员/部门/门禁点、进出记录、考勤辅助数据、重点区域访问日志、统计周期</t>
  </si>
  <si>
    <t>设施健康度看板</t>
  </si>
  <si>
    <t>关键设备在线率、故障率、平均修复时间；预防性维护计划完成率。不少于10张，每分钟更新。</t>
  </si>
  <si>
    <t>EAM、EMS、消防/安防设备系统</t>
  </si>
  <si>
    <t>设备台账、在线/故障状态、故障率、维修工单/修复时间、预防性维护计划/完成率</t>
  </si>
  <si>
    <t>能耗报表</t>
  </si>
  <si>
    <t>总能耗、产品及工序单耗、设备单耗等报表（能耗数据从EMS系统获取），每分钟更新。</t>
  </si>
  <si>
    <t>EMS</t>
  </si>
  <si>
    <t>总能耗、产品/工序/设备能耗、抄表时间、统计口径、能耗报表数据</t>
  </si>
  <si>
    <t>移动端与自定义报表</t>
  </si>
  <si>
    <t>支持移动端报表查询；其他报表可自定义快速开发，所有报表可查可导；提供工位级/楼栋级/园区级三级看板。</t>
  </si>
  <si>
    <t>iSungrow（钉钉）、数据湖/BI、MDM/空间数据</t>
  </si>
  <si>
    <t>报表/看板定义、移动端查询/导出记录、工位/楼栋/园区层级、指标及下钻明细</t>
  </si>
  <si>
    <t>1.4.3.7  系统管理模块</t>
  </si>
  <si>
    <t>系统管理</t>
  </si>
  <si>
    <t>基于角色的访问控制模型（RBAC），多种用户角色分配操作权限，支持角色及权限调整、密码重置修改。</t>
  </si>
  <si>
    <t>日志管理</t>
  </si>
  <si>
    <t>记录所有用户操作日志，支持多条件查询，定期归档日志数据。</t>
  </si>
  <si>
    <t>1.4.3.8  移动及多屏应用</t>
  </si>
  <si>
    <t>移动多屏</t>
  </si>
  <si>
    <t>多终端支持</t>
  </si>
  <si>
    <t>支持PC、手机、PDA、PAD、电视机等多种操作系统与展示载体；手持终端实现条码扫码、信息录入、设备/工单管理、审批等。</t>
  </si>
  <si>
    <t>消息智能推送</t>
  </si>
  <si>
    <t>报表移动端查看；任务提醒、工单派发、审批待办、逾期预警等钉钉实时推送；具备钉钉、邮件推送功能按策略推送指定人员。</t>
  </si>
  <si>
    <t>1.4.4  系统数据范围（数字大脑）</t>
  </si>
  <si>
    <t>数据范围</t>
  </si>
  <si>
    <t>主数据与空间数据</t>
  </si>
  <si>
    <t>园区主数据（多园区维护）、地理空间数据（二维矢量/倾斜摄影/BIM轻量化模型）、资产主数据、人员主数据。</t>
  </si>
  <si>
    <t>二维；
二开：人\天单价1300</t>
  </si>
  <si>
    <t>运行与业务数据</t>
  </si>
  <si>
    <t>环境状态数据、安防与消防数据、设备运行数据、能源消耗数据、事件与工单数据、操作日志/访问记录等。</t>
  </si>
  <si>
    <t>主数据治理</t>
  </si>
  <si>
    <t>遵循联想/最终使用方主数据管理标准；无法从外围系统获取的数据供应商提供整理方法和模板并指导导入。</t>
  </si>
  <si>
    <t>1.4.5  系统集成范围（关键目标之一，经 ESB 集成）</t>
  </si>
  <si>
    <t>系统集成</t>
  </si>
  <si>
    <t>内部系统对接</t>
  </si>
  <si>
    <t>iSungrow（钉钉）、BPM、轻应用、MDM、PS/WTS、EAM、WMS、TMS、EMS、ERP、EHS、SRM、费控系统、数据湖。其中EAM/WMS/TMS/SRM如不涉及标准功能改动则不涉及额外对接费用。</t>
  </si>
  <si>
    <t>前面报价已含</t>
  </si>
  <si>
    <t>第三方平台对接</t>
  </si>
  <si>
    <t>视频监控平台、道闸系统（红门）、达实门禁一卡通系统、车辆管理系统等，涉及第三方对接会产生额外费用。</t>
  </si>
  <si>
    <t>要求类别</t>
  </si>
  <si>
    <t>要求要点</t>
  </si>
  <si>
    <t>具体指标 / 说明</t>
  </si>
  <si>
    <t>响应情况</t>
  </si>
  <si>
    <t>响应说明</t>
  </si>
  <si>
    <t>稳定性</t>
  </si>
  <si>
    <t>高可用架构</t>
  </si>
  <si>
    <t>采用成熟稳定先进的数据库、网络通讯协议、中间件与高可用架构；提供及时准确监控警报与自动化警报处理机制。</t>
  </si>
  <si>
    <t>满足</t>
  </si>
  <si>
    <t>可用性指标</t>
  </si>
  <si>
    <t>7×24小时运行，年可用率&gt;99.9%；全年系统软件故障应小于5小时。</t>
  </si>
  <si>
    <t>高集成性</t>
  </si>
  <si>
    <t>全场景集成</t>
  </si>
  <si>
    <t>与所有内部、外部、第三方系统实现主动、被动、实时、定时集成交互，满足所有业务、数据、应用及蓝图需求。</t>
  </si>
  <si>
    <t>兼容性</t>
  </si>
  <si>
    <t>B/S架构与浏览器</t>
  </si>
  <si>
    <t>B/S架构免安装免维护；客户端支持中文Windows/Linux/Unix；支持IE11+、Edge120+、谷歌120+、火狐120+，普通使用无需额外安装控件。</t>
  </si>
  <si>
    <t>基础组件对接</t>
  </si>
  <si>
    <t>无缝对接指定基础技术组件及中间件（AI模型、缓存、消息队列、数据库），遵循接口规范与技术标准。</t>
  </si>
  <si>
    <t>实用性</t>
  </si>
  <si>
    <t>交互与查询</t>
  </si>
  <si>
    <t>访问页面响应无延迟；数据内嵌可视化；结构化管理与层级查看；多策略查询统计分析（所有字段可作筛选条件）；Office/WPS在线预览编辑；界面遵循品牌设计规范。</t>
  </si>
  <si>
    <t>先进性</t>
  </si>
  <si>
    <t>国际化</t>
  </si>
  <si>
    <t>完善的无代码侵入性国际化（多语言、多货币、多时区）支持能力。</t>
  </si>
  <si>
    <t>二次开发与源码</t>
  </si>
  <si>
    <t>完善易操作的可视化二次开发平台；源码交付含PC端和移动端二次开发代码、核心源码、底层依赖包源码，其中二次开发代码必须交付。</t>
  </si>
  <si>
    <t>接口与API</t>
  </si>
  <si>
    <t>可视化接口管理平台，接口可配置可灵活调度、完整接口日志；支持Restful API且新增字段立即体现；支持增量/全量同步；主动调用第三方HTTP接口推送增量更新；记录推送状态失败可重发。</t>
  </si>
  <si>
    <t>日志与稽核</t>
  </si>
  <si>
    <t>可视化日志管理平台（系统/应用/接口的访问、执行、操作、调用、错误、增删改查），重要数据字段级增删改日志；使用情况综合分析可导出；回收站功能可按时间段恢复删除的重要数据。</t>
  </si>
  <si>
    <t>性能要求</t>
  </si>
  <si>
    <t>数据量</t>
  </si>
  <si>
    <t>支持管理至少5PB业务数据量，且性能指标不出现显著衰减。</t>
  </si>
  <si>
    <t>响应时间</t>
  </si>
  <si>
    <t>普通页面≤2秒；关键事务操作≤3秒；API接口95%响应≤500毫秒。</t>
  </si>
  <si>
    <t>并发能力</t>
  </si>
  <si>
    <t>至少支持5000个用户同时在线；高峰1000用户同时执行关键操作，事务成功率≥99%。</t>
  </si>
  <si>
    <t>资源占用</t>
  </si>
  <si>
    <t>日常平均CPU&lt;40%，忙时&lt;75%；内存占用率&lt;50%，最大并发时&lt;75%。</t>
  </si>
  <si>
    <t>可扩展性</t>
  </si>
  <si>
    <t>统一架构</t>
  </si>
  <si>
    <t>统一数据库、统一业务模型架构；支持模块灵活裁剪扩展与用户数量灵活扩展，已有模块不受影响。</t>
  </si>
  <si>
    <t>可视化配置</t>
  </si>
  <si>
    <t>支持业务模型可视化定义（无需二次开发），通过配置扩展模型、属性、工作流模板、审批流、权限、菜单、表单排版、值列表、编码规则等。</t>
  </si>
  <si>
    <t>账号与权限管理</t>
  </si>
  <si>
    <t>账号集成</t>
  </si>
  <si>
    <t>通过HR/iPaaS/SSO接口创建/修改/禁用组织部门与人员；可配置二次验证登录；以最终使用方SSO为IDP的单点登录集成；访问白名单（指定域名/IP）。</t>
  </si>
  <si>
    <t>通过 HR/iPaaS/SSO 接口与最终使用方身份源集成，支持组织、部门和人员的全量/增量同步及账号创建、修改、禁用；支持以最终使用方 SSO 为 IDP 的单点登录、可配置二次认证，并通过域名/IP 白名单限制访问。</t>
  </si>
  <si>
    <t>细粒度权限</t>
  </si>
  <si>
    <t>基于组织、角色、用户、项目、数据类型/状态、工作流状态等多维综合权限；字段级显示/隐藏/编辑；权限可代理/转移/复制；灵活审批流配置。</t>
  </si>
  <si>
    <t>采用“组织—角色—用户—项目—数据状态”多维权限模型，支持字段级可见/编辑控制、数据权限与工作流状态联动；权限可按授权流程进行代理、转移和复制，所有授权、变更及审批过程保留可审计记录。</t>
  </si>
  <si>
    <t>安全与合规要求 — 对应 SOW 2.2.3</t>
  </si>
  <si>
    <t>类别</t>
  </si>
  <si>
    <t>要点</t>
  </si>
  <si>
    <t>具体要求</t>
  </si>
  <si>
    <t>2.2.3.1  安全要求</t>
  </si>
  <si>
    <t>安全要求</t>
  </si>
  <si>
    <t>安全资质</t>
  </si>
  <si>
    <t>安全资质：提供产品对应国内及国际安全资质（网络安全等级保护备案、ISO27001/27018、SOC1/2/3、CSA STAR等），须在有效期内。</t>
  </si>
  <si>
    <t>口令策略</t>
  </si>
  <si>
    <t>口令策略：支持口令复杂度和定期更换自定义策略（≥8位、含大小写字母/数字/特殊字符不低于三种、90天更换、历史密码不重复）。</t>
  </si>
  <si>
    <t>支持在管理端配置口令复杂度、最小长度、历史密码不可重复及强制定期更换策略；系统可按不少于 8 位、大小写字母/数字/特殊字符中至少三类、90 天到期的规则执行，并保留策略调整审计记录。</t>
  </si>
  <si>
    <t>安全登录</t>
  </si>
  <si>
    <t>安全登录：登录失败处理（失败3次锁定10分钟、超时30分钟自动退出）；提供账号口令以外认证方式（短信/图形验证码）。</t>
  </si>
  <si>
    <t>支持连续登录失败锁定、会话超时自动退出和验证码/短信等辅助认证方式；可配置失败 3 次锁定 10 分钟、无操作 30 分钟自动退出，并记录登录失败、锁定和解锁日志。</t>
  </si>
  <si>
    <t>服务账户采用证书认证，禁止明文存储凭据，禁止共享账户或默认密码。</t>
  </si>
  <si>
    <t>服务账户采用证书、密钥或令牌等非明文凭据进行认证；凭据通过受控配置/密钥管理机制保存和轮换，禁止共享账户、默认口令及在代码、日志或配置文件中明文存储敏感凭据。</t>
  </si>
  <si>
    <t>用户账号权限</t>
  </si>
  <si>
    <t>用户账号权限：支持多权限账号（用户、超级/系统/审计/安全管理员），满足最小化原则。</t>
  </si>
  <si>
    <t>网络安全</t>
  </si>
  <si>
    <t>网络安全：IP及端口访问控制默认拒绝所有流量、仅开放必需端口；WAF、IPS防护，具备防范DoS/DDoS能力。</t>
  </si>
  <si>
    <t>API鉴权</t>
  </si>
  <si>
    <t>API鉴权：API接口安全传输，调用前鉴别鉴权，支持调用日志记录。</t>
  </si>
  <si>
    <t>日志审计</t>
  </si>
  <si>
    <t>日志审计：针对全员重要操作审计（用户操作、系统事件、网络流量），日志至少保存180天。</t>
  </si>
  <si>
    <t>提供SSL/TLS加密证书，确保所有信息传输加密进行。</t>
  </si>
  <si>
    <t>系统全链路采用 HTTPS/TLS 加密传输，部署由合规机构签发且在有效期内的 SSL/TLS 证书；证书到期前预警并按变更流程续期，禁止通过明文 HTTP 传输业务及身份认证信息。</t>
  </si>
  <si>
    <t>产品要求</t>
  </si>
  <si>
    <t>产品要求：产品为现有资源并做品控保证；开源产品提供后续运维方案；第三方控件/框架/字体获正版授权，出具承诺函。</t>
  </si>
  <si>
    <t>资产清单</t>
  </si>
  <si>
    <t>资产清单：软硬件产品配套资产信息（硬件型号、服务端口、网络协议、中间件版本、API等）。</t>
  </si>
  <si>
    <t>供应商说明</t>
  </si>
  <si>
    <t>供应商说明：说明是否有历史漏洞及相应修复案例与经验。</t>
  </si>
  <si>
    <t>安全证明</t>
  </si>
  <si>
    <t>安全证明：提供开发安全能力证明（认证、会话控制、加密等在编码阶段实现）。</t>
  </si>
  <si>
    <t>安全测试</t>
  </si>
  <si>
    <t>安全测试：提供安全自测报告及开源组件列表；按《漏洞管理办法》测试修复复测，维保期内对新漏洞负责。</t>
  </si>
  <si>
    <t>数据分类分级</t>
  </si>
  <si>
    <t>数据分类分级：按《数据安全分类分级流程》标签化管理并实施差异化安全访问控制策略。</t>
  </si>
  <si>
    <t>数据脱敏</t>
  </si>
  <si>
    <t>数据脱敏：非生产环境避免使用未处理真实敏感数据，同步前进行脱敏/漂白处理。</t>
  </si>
  <si>
    <t>建立生产与非生产环境数据隔离机制；测试、培训及演示环境优先使用模拟数据，确需使用生产数据时按字段和场景执行脱敏/去标识化处理，并保留审批与操作记录。</t>
  </si>
  <si>
    <t>存储加密</t>
  </si>
  <si>
    <t>存储加密：敏感信息持久化存储及跨网络传输采用强加密算法。</t>
  </si>
  <si>
    <t>对敏感信息持久化存储实施字段级或存储介质加密，对跨网络传输实施 TLS 加密；密钥与数据分离管理，按权限控制访问并建立密钥轮换、备份和审计机制。</t>
  </si>
  <si>
    <t>数据销毁</t>
  </si>
  <si>
    <t>数据销毁：项目交付或服务终止后提供数据销毁证明。</t>
  </si>
  <si>
    <t>2.2.3.2  合规要求（全程国内部署，不涉及数据跨境）</t>
  </si>
  <si>
    <t>合规要求</t>
  </si>
  <si>
    <t>系统全部部署节点在国内，</t>
  </si>
  <si>
    <t>系统全部部署节点在国内，符合等保要求；所有数据国内存储处理，严禁向境外传输存储。</t>
  </si>
  <si>
    <t>项目部署在中国境内的机房或云资源，业务数据、备份和日志均在境内存储与处理；实施阶段提供部署架构、数据流向和资源地域说明，并按要求配合等保建设及测评。</t>
  </si>
  <si>
    <t>终端软件符合国内个人信息</t>
  </si>
  <si>
    <t>终端软件符合国内个人信息保护、数据安全法规，杜绝违规收集使用个人信息。</t>
  </si>
  <si>
    <t>终端仅在业务必要范围内收集个人信息，落实告知、同意、最小必要、权限控制和安全存储要求；上线前完成隐私合规自查，并按适用法规及时调整终端功能与隐私告知。</t>
  </si>
  <si>
    <t>管理员账号仅允许国内登录</t>
  </si>
  <si>
    <t>管理员账号仅允许国内登录，留存不少于6个月登录日志。</t>
  </si>
  <si>
    <t>管理员登录通过境内网络访问控制、IP/地域白名单等策略进行限制；管理员登录、登出、失败、锁定及关键操作日志统一留存，保存期限不少于 6 个月并支持审计查询。</t>
  </si>
  <si>
    <t>梳理国内数据全生命周期</t>
  </si>
  <si>
    <t>梳理国内数据全生命周期（采集、存储、使用、传输、共享、销毁）流转，存储周期符合法规不超必要期限。</t>
  </si>
  <si>
    <t>建立数据采集、传输、存储、使用、共享、归档和销毁全生命周期台账，明确数据分类分级、责任主体、访问权限、留存期限及销毁方式；定期复核数据流向和最小留存要求。</t>
  </si>
  <si>
    <t>开展PIA</t>
  </si>
  <si>
    <t>开展PIA（个人信息保护影响评估），制定可行缓解措施。</t>
  </si>
  <si>
    <t>在涉及个人信息处理的功能上线、重大变更和高风险处理活动前开展 PIA，形成评估报告、风险清单和缓解措施；对整改事项跟踪闭环并在变更后复评。</t>
  </si>
  <si>
    <t>开展SRA</t>
  </si>
  <si>
    <t>开展SRA（信息安全评估），建立健全数据安全管理制度及应急预案。</t>
  </si>
  <si>
    <t>按信息安全管理要求开展 SRA，覆盖架构、账号权限、接口、数据、漏洞及运维等风险；形成整改计划、应急预案和演练记录，并对重大风险整改进行复核。</t>
  </si>
  <si>
    <t>撰写国内适配的隐私政策、</t>
  </si>
  <si>
    <t>撰写国内适配的隐私政策、用户协议、Cookie相关文本（中文为主）。</t>
  </si>
  <si>
    <t>提供中文隐私政策、用户协议及 Cookie/SDK 相关告知文本，明确处理目的、范围、保存期限、共享对象和用户权利；在终端显著位置展示并保留版本、生效及用户确认记录。</t>
  </si>
  <si>
    <t>所有合规文件符合国内现行</t>
  </si>
  <si>
    <t>所有合规文件符合国内现行法规，具备可追溯性与可审计性，法规更新时及时修订。</t>
  </si>
  <si>
    <t>建立法规与合规文件版本管理机制，记录适用法规、修订依据、审核/发布/生效信息；法规或业务变更时及时评估影响、修订文件并保留全程可追溯与可审计记录。</t>
  </si>
  <si>
    <t>硬件场景需求汇总 — 对应 SOW 附录五</t>
  </si>
  <si>
    <t>项目范围</t>
  </si>
  <si>
    <t>系统</t>
  </si>
  <si>
    <t>设施设备</t>
  </si>
  <si>
    <t>涉及硬件类型 / 数量</t>
  </si>
  <si>
    <t>智慧消防系统</t>
  </si>
  <si>
    <t>消防水池 / 水箱</t>
  </si>
  <si>
    <t>水位仪传感器（水池7个、水箱6个，含电动力）、出水管流量传感器12个</t>
  </si>
  <si>
    <t>消防泵/喷淋泵 / 稳压泵</t>
  </si>
  <si>
    <t>电气监控28个；稳压泵电气监控+启停状态/次数监测28个（各含电动力4个）</t>
  </si>
  <si>
    <t>隔膜气压罐 / 配电柜 / 控制柜</t>
  </si>
  <si>
    <t>隔膜罐14个、配电柜电气监控9个、控制柜电气监控+远程手自动变更28个</t>
  </si>
  <si>
    <t>消防测试栓 / 末端测试</t>
  </si>
  <si>
    <t>压力传感器：屋面测试栓30、末端测试200</t>
  </si>
  <si>
    <t>进水阀 / 关键管路 / 报警阀</t>
  </si>
  <si>
    <t>流量计+压力传感器13个；50个阀门启闭状态/压力/流量监测；69个报警阀+69个水力警铃</t>
  </si>
  <si>
    <t>消防主机 / 消防水炮主机</t>
  </si>
  <si>
    <t>主机信号传输22；水炮电磁阀启动信号2</t>
  </si>
  <si>
    <t>全淹没气灭</t>
  </si>
  <si>
    <t>环境检测 / 电磁阀泄压口</t>
  </si>
  <si>
    <t>氧浓度监测接入33个；压力传感器/电磁阀启动监测100个</t>
  </si>
  <si>
    <t>排烟系统 / 防火卷帘</t>
  </si>
  <si>
    <t>排烟风机 / 电动挡烟垂壁</t>
  </si>
  <si>
    <t>排烟风速计量（含风向）110；释放状态监测</t>
  </si>
  <si>
    <t>排水系统</t>
  </si>
  <si>
    <t>雨水截止阀 / 排水泵 / 机房</t>
  </si>
  <si>
    <t>自动灭火联动截止阀关闭；启闭监测24个（6消防泵房）；防水浸监测10个</t>
  </si>
  <si>
    <t>可燃气体</t>
  </si>
  <si>
    <t>可燃气体报警主机 / 管路</t>
  </si>
  <si>
    <t>报警主机接入8个；燃气/压缩空气管道联动电磁阀2个</t>
  </si>
  <si>
    <t>在线监测</t>
  </si>
  <si>
    <t>在线电压、剩余电流、电缆温度检测 400+</t>
  </si>
  <si>
    <t>视频监控系统</t>
  </si>
  <si>
    <t>自动报警/安全出口/光伏/充电区/灶台</t>
  </si>
  <si>
    <t>自动报警联动摄像头1000+、安全出口150+、屋面光伏摄像头60+、电动自行车40+、叉车8、AGV15、电动汽车60+、厨房灶台15+</t>
  </si>
  <si>
    <t>关键岗位通讯设备</t>
  </si>
  <si>
    <t>手持设备</t>
  </si>
  <si>
    <t>关键岗位设备点检、救援联动、保修维修用（12-15台）</t>
  </si>
  <si>
    <t>智慧安防系统</t>
  </si>
  <si>
    <t>周界防护</t>
  </si>
  <si>
    <t>震动光纤 / 周界监控 / 红外对射</t>
  </si>
  <si>
    <t>光纤接收器等（4000米周长）；算法+震动光纤报警（40台摄像机）；红外对射报警11</t>
  </si>
  <si>
    <t>全面监控</t>
  </si>
  <si>
    <t>屋面鹰眼 / 车道相机 / 无人机</t>
  </si>
  <si>
    <t>鹰眼相机3-4台；车道违停逆行算法相机20台；无人机1台按轨道轮训</t>
  </si>
  <si>
    <t>巡更系统</t>
  </si>
  <si>
    <t>巡更点</t>
  </si>
  <si>
    <t>使用NFC等设备进行巡更管理 40+</t>
  </si>
  <si>
    <t>注：以上为附录五硬件场景需求表要点汇总，具体点位数量与利旧原则以现场勘察及深化设计为准。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</si>
</sst>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i/>
      <sz val="9"/>
      <color rgb="FF595959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BF2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85" zoomScaleNormal="85" workbookViewId="0">
      <selection activeCell="E28" sqref="E28"/>
    </sheetView>
  </sheetViews>
  <sheetFormatPr defaultColWidth="9" defaultRowHeight="12" outlineLevelCol="6"/>
  <cols>
    <col min="1" max="1" width="5" style="31" customWidth="1"/>
    <col min="2" max="2" width="16.1574074074074" style="31" customWidth="1"/>
    <col min="3" max="3" width="105.194444444444" style="31" customWidth="1"/>
    <col min="4" max="5" width="16.1574074074074" style="31" customWidth="1"/>
    <col min="6" max="16384" width="9" style="31"/>
  </cols>
  <sheetData>
    <row r="1" ht="30" customHeight="1" spans="1:7">
      <c r="A1" s="2" t="s">
        <v>0</v>
      </c>
      <c r="B1" s="3"/>
      <c r="C1" s="3"/>
      <c r="D1" s="3"/>
      <c r="E1" s="3"/>
    </row>
    <row r="3" ht="24" spans="1:7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>
      <c r="A4" s="8">
        <v>1</v>
      </c>
      <c r="B4" s="7" t="s">
        <v>8</v>
      </c>
      <c r="C4" s="9" t="s">
        <v>9</v>
      </c>
      <c r="D4" s="8" t="s">
        <v>10</v>
      </c>
      <c r="E4" s="8" t="s">
        <v>11</v>
      </c>
    </row>
    <row r="5" ht="24" spans="1:7">
      <c r="A5" s="32">
        <v>2</v>
      </c>
      <c r="B5" s="33" t="s">
        <v>12</v>
      </c>
      <c r="C5" s="34" t="s">
        <v>13</v>
      </c>
      <c r="D5" s="32" t="s">
        <v>14</v>
      </c>
      <c r="E5" s="32">
        <f>智慧物流功能清单!K49</f>
        <v>330100</v>
      </c>
      <c r="F5" s="8">
        <f>智慧物流功能清单!D53</f>
        <v>35000</v>
      </c>
      <c r="G5" s="8">
        <f>智慧物流功能清单!D52</f>
        <v>295100</v>
      </c>
    </row>
    <row r="6" spans="1:7">
      <c r="A6" s="8">
        <v>3</v>
      </c>
      <c r="B6" s="7" t="s">
        <v>15</v>
      </c>
      <c r="C6" s="9" t="s">
        <v>16</v>
      </c>
      <c r="D6" s="8" t="s">
        <v>17</v>
      </c>
      <c r="E6" s="8">
        <f>智慧消防功能清单!K32</f>
        <v>313500</v>
      </c>
      <c r="F6" s="8">
        <f>智慧消防功能清单!D35</f>
        <v>99000</v>
      </c>
      <c r="G6" s="8">
        <f>智慧消防功能清单!D34</f>
        <v>214500</v>
      </c>
    </row>
    <row r="7" spans="1:7">
      <c r="A7" s="11">
        <v>4</v>
      </c>
      <c r="B7" s="10" t="s">
        <v>18</v>
      </c>
      <c r="C7" s="12" t="s">
        <v>19</v>
      </c>
      <c r="D7" s="11" t="s">
        <v>20</v>
      </c>
      <c r="E7" s="11">
        <f>智慧安防功能清单!K29</f>
        <v>218200</v>
      </c>
      <c r="F7" s="8">
        <f>智慧安防功能清单!D32</f>
        <v>83000</v>
      </c>
      <c r="G7" s="8">
        <f>智慧安防功能清单!D31</f>
        <v>135200</v>
      </c>
    </row>
    <row r="8" spans="1:7">
      <c r="A8" s="8">
        <v>5</v>
      </c>
      <c r="B8" s="7" t="s">
        <v>21</v>
      </c>
      <c r="C8" s="9" t="s">
        <v>22</v>
      </c>
      <c r="D8" s="8" t="s">
        <v>23</v>
      </c>
      <c r="E8" s="8">
        <f>宿舍管理功能清单!K23</f>
        <v>130700</v>
      </c>
      <c r="F8" s="8">
        <f>宿舍管理功能清单!D26</f>
        <v>54000</v>
      </c>
      <c r="G8" s="8">
        <f>宿舍管理功能清单!D25</f>
        <v>76700</v>
      </c>
    </row>
    <row r="9" spans="1:7">
      <c r="A9" s="11">
        <v>6</v>
      </c>
      <c r="B9" s="10" t="s">
        <v>24</v>
      </c>
      <c r="C9" s="12" t="s">
        <v>25</v>
      </c>
      <c r="D9" s="11" t="s">
        <v>26</v>
      </c>
      <c r="E9" s="11">
        <f>外协系统功能清单!K26</f>
        <v>310700</v>
      </c>
      <c r="F9" s="8">
        <f>外协系统功能清单!D29</f>
        <v>0</v>
      </c>
      <c r="G9" s="8">
        <f>外协系统功能清单!D28</f>
        <v>310700</v>
      </c>
    </row>
    <row r="10" spans="1:7">
      <c r="A10" s="8">
        <v>7</v>
      </c>
      <c r="B10" s="7" t="s">
        <v>27</v>
      </c>
      <c r="C10" s="9" t="s">
        <v>28</v>
      </c>
      <c r="D10" s="8" t="s">
        <v>29</v>
      </c>
      <c r="E10" s="8">
        <f>平台通用与集成!K23</f>
        <v>93100</v>
      </c>
      <c r="F10" s="8">
        <f>平台通用与集成!D26</f>
        <v>32000</v>
      </c>
      <c r="G10" s="8">
        <f>平台通用与集成!D25</f>
        <v>61100</v>
      </c>
    </row>
    <row r="11" spans="1:7">
      <c r="A11" s="11">
        <v>8</v>
      </c>
      <c r="B11" s="10" t="s">
        <v>30</v>
      </c>
      <c r="C11" s="12" t="s">
        <v>31</v>
      </c>
      <c r="D11" s="11" t="s">
        <v>30</v>
      </c>
      <c r="E11" s="11" t="s">
        <v>11</v>
      </c>
      <c r="F11" s="8"/>
      <c r="G11" s="8"/>
    </row>
    <row r="12" spans="1:7">
      <c r="A12" s="8">
        <v>9</v>
      </c>
      <c r="B12" s="7" t="s">
        <v>32</v>
      </c>
      <c r="C12" s="9" t="s">
        <v>33</v>
      </c>
      <c r="D12" s="8" t="s">
        <v>34</v>
      </c>
      <c r="E12" s="8" t="s">
        <v>11</v>
      </c>
      <c r="F12" s="8"/>
      <c r="G12" s="8"/>
    </row>
    <row r="13" spans="1:7">
      <c r="A13" s="11">
        <v>10</v>
      </c>
      <c r="B13" s="10" t="s">
        <v>35</v>
      </c>
      <c r="C13" s="12" t="s">
        <v>36</v>
      </c>
      <c r="D13" s="11" t="s">
        <v>37</v>
      </c>
      <c r="E13" s="11" t="s">
        <v>11</v>
      </c>
      <c r="F13" s="8"/>
      <c r="G13" s="8"/>
    </row>
    <row r="14" spans="1:7">
      <c r="A14" s="8" t="s">
        <v>38</v>
      </c>
      <c r="B14" s="35" t="s">
        <v>39</v>
      </c>
      <c r="C14" s="36"/>
      <c r="D14" s="8"/>
      <c r="E14" s="7">
        <f>SUM(E4:E13)</f>
        <v>1396300</v>
      </c>
      <c r="F14" s="31">
        <f>SUM(F5:F10)</f>
        <v>303000</v>
      </c>
      <c r="G14" s="31">
        <f>SUM(G5:G10)</f>
        <v>1093300</v>
      </c>
    </row>
  </sheetData>
  <mergeCells count="2">
    <mergeCell ref="A1:D1"/>
    <mergeCell ref="B14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zoomScale="70" zoomScaleNormal="70" workbookViewId="0">
      <pane ySplit="2" topLeftCell="A43" activePane="bottomLeft" state="frozen"/>
      <selection/>
      <selection pane="bottomLeft" activeCell="D53" sqref="D52:D53"/>
    </sheetView>
  </sheetViews>
  <sheetFormatPr defaultColWidth="9" defaultRowHeight="14.4"/>
  <cols>
    <col min="1" max="1" width="4.61111111111111" customWidth="1"/>
    <col min="2" max="2" width="18" customWidth="1"/>
    <col min="3" max="3" width="16.8240740740741" customWidth="1"/>
    <col min="4" max="4" width="128.25" customWidth="1"/>
    <col min="5" max="5" width="9.42592592592593" style="14" customWidth="1"/>
    <col min="6" max="7" width="19.8055555555556" style="14" customWidth="1"/>
    <col min="8" max="9" width="7.87037037037037" style="14" customWidth="1"/>
    <col min="10" max="11" width="16.1574074074074" style="14" customWidth="1"/>
    <col min="12" max="12" width="14.9537037037037" style="14" customWidth="1"/>
  </cols>
  <sheetData>
    <row r="1" spans="1:12">
      <c r="A1" s="2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spans="1:12">
      <c r="A2" s="5" t="s">
        <v>1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</row>
    <row r="3" spans="1:12">
      <c r="A3" s="15" t="s">
        <v>52</v>
      </c>
      <c r="B3" s="16"/>
      <c r="C3" s="16"/>
      <c r="D3" s="16"/>
      <c r="E3" s="24"/>
      <c r="F3" s="27"/>
      <c r="G3" s="27"/>
      <c r="H3" s="27"/>
      <c r="I3" s="27"/>
      <c r="J3" s="27"/>
      <c r="K3" s="27"/>
      <c r="L3" s="27"/>
    </row>
    <row r="4" ht="58" customHeight="1" spans="1:12">
      <c r="A4" s="8">
        <v>1</v>
      </c>
      <c r="B4" s="8" t="s">
        <v>53</v>
      </c>
      <c r="C4" s="8" t="s">
        <v>54</v>
      </c>
      <c r="D4" s="9" t="s">
        <v>55</v>
      </c>
      <c r="E4" s="8" t="s">
        <v>6</v>
      </c>
      <c r="F4" s="18" t="s">
        <v>56</v>
      </c>
      <c r="G4" s="18" t="s">
        <v>57</v>
      </c>
      <c r="H4" s="8">
        <v>1</v>
      </c>
      <c r="I4" s="8" t="s">
        <v>58</v>
      </c>
      <c r="J4" s="8">
        <v>5000</v>
      </c>
      <c r="K4" s="8">
        <f>H4*J4</f>
        <v>5000</v>
      </c>
      <c r="L4" s="8"/>
    </row>
    <row r="5" ht="48" spans="1:12">
      <c r="A5" s="11">
        <v>2</v>
      </c>
      <c r="B5" s="11" t="s">
        <v>53</v>
      </c>
      <c r="C5" s="11" t="s">
        <v>59</v>
      </c>
      <c r="D5" s="12" t="s">
        <v>60</v>
      </c>
      <c r="E5" s="11" t="s">
        <v>7</v>
      </c>
      <c r="F5" s="11" t="s">
        <v>61</v>
      </c>
      <c r="G5" s="11" t="s">
        <v>62</v>
      </c>
      <c r="H5" s="11">
        <v>1300</v>
      </c>
      <c r="I5" s="11" t="s">
        <v>58</v>
      </c>
      <c r="J5" s="11">
        <v>7</v>
      </c>
      <c r="K5" s="11">
        <f t="shared" ref="K4:K8" si="0">H5*J5</f>
        <v>9100</v>
      </c>
      <c r="L5" s="11" t="s">
        <v>63</v>
      </c>
    </row>
    <row r="6" ht="48" spans="1:12">
      <c r="A6" s="8">
        <v>3</v>
      </c>
      <c r="B6" s="8" t="s">
        <v>53</v>
      </c>
      <c r="C6" s="8" t="s">
        <v>64</v>
      </c>
      <c r="D6" s="9" t="s">
        <v>65</v>
      </c>
      <c r="E6" s="8" t="s">
        <v>7</v>
      </c>
      <c r="F6" s="18" t="s">
        <v>66</v>
      </c>
      <c r="G6" s="18" t="s">
        <v>67</v>
      </c>
      <c r="H6" s="11">
        <v>1300</v>
      </c>
      <c r="I6" s="8" t="s">
        <v>58</v>
      </c>
      <c r="J6" s="11">
        <v>7</v>
      </c>
      <c r="K6" s="8">
        <f t="shared" si="0"/>
        <v>9100</v>
      </c>
      <c r="L6" s="11" t="s">
        <v>63</v>
      </c>
    </row>
    <row r="7" ht="36" spans="1:12">
      <c r="A7" s="11">
        <v>4</v>
      </c>
      <c r="B7" s="11" t="s">
        <v>53</v>
      </c>
      <c r="C7" s="11" t="s">
        <v>68</v>
      </c>
      <c r="D7" s="12" t="s">
        <v>69</v>
      </c>
      <c r="E7" s="11" t="s">
        <v>6</v>
      </c>
      <c r="F7" s="11" t="s">
        <v>70</v>
      </c>
      <c r="G7" s="11" t="s">
        <v>71</v>
      </c>
      <c r="H7" s="11">
        <v>1</v>
      </c>
      <c r="I7" s="11" t="s">
        <v>58</v>
      </c>
      <c r="J7" s="11">
        <v>3000</v>
      </c>
      <c r="K7" s="11">
        <f t="shared" si="0"/>
        <v>3000</v>
      </c>
      <c r="L7" s="11"/>
    </row>
    <row r="8" ht="36" spans="1:12">
      <c r="A8" s="8">
        <v>5</v>
      </c>
      <c r="B8" s="8" t="s">
        <v>53</v>
      </c>
      <c r="C8" s="8" t="s">
        <v>72</v>
      </c>
      <c r="D8" s="9" t="s">
        <v>73</v>
      </c>
      <c r="E8" s="8" t="s">
        <v>6</v>
      </c>
      <c r="F8" s="18" t="s">
        <v>74</v>
      </c>
      <c r="G8" s="18" t="s">
        <v>75</v>
      </c>
      <c r="H8" s="8">
        <v>1</v>
      </c>
      <c r="I8" s="8" t="s">
        <v>58</v>
      </c>
      <c r="J8" s="8">
        <v>2000</v>
      </c>
      <c r="K8" s="8">
        <f t="shared" si="0"/>
        <v>2000</v>
      </c>
      <c r="L8" s="8"/>
    </row>
    <row r="9" spans="1:12">
      <c r="A9" s="15" t="s">
        <v>76</v>
      </c>
      <c r="B9" s="16"/>
      <c r="C9" s="16"/>
      <c r="D9" s="16"/>
      <c r="E9" s="24"/>
      <c r="F9" s="27"/>
      <c r="G9" s="27"/>
      <c r="H9" s="27"/>
      <c r="I9" s="27"/>
      <c r="J9" s="27"/>
      <c r="K9" s="27"/>
      <c r="L9" s="27"/>
    </row>
    <row r="10" ht="48" spans="1:12">
      <c r="A10" s="8">
        <v>6</v>
      </c>
      <c r="B10" s="8" t="s">
        <v>77</v>
      </c>
      <c r="C10" s="8" t="s">
        <v>78</v>
      </c>
      <c r="D10" s="9" t="s">
        <v>79</v>
      </c>
      <c r="E10" s="8" t="s">
        <v>6</v>
      </c>
      <c r="F10" s="18" t="s">
        <v>80</v>
      </c>
      <c r="G10" s="18" t="s">
        <v>81</v>
      </c>
      <c r="H10" s="8">
        <v>1</v>
      </c>
      <c r="I10" s="8" t="s">
        <v>58</v>
      </c>
      <c r="J10" s="8">
        <v>3000</v>
      </c>
      <c r="K10" s="8">
        <f t="shared" ref="K10:K13" si="1">H10*J10</f>
        <v>3000</v>
      </c>
      <c r="L10" s="8"/>
    </row>
    <row r="11" ht="36" spans="1:12">
      <c r="A11" s="11">
        <v>7</v>
      </c>
      <c r="B11" s="11" t="s">
        <v>77</v>
      </c>
      <c r="C11" s="11" t="s">
        <v>82</v>
      </c>
      <c r="D11" s="12" t="s">
        <v>83</v>
      </c>
      <c r="E11" s="11" t="s">
        <v>7</v>
      </c>
      <c r="F11" s="11" t="s">
        <v>66</v>
      </c>
      <c r="G11" s="11" t="s">
        <v>84</v>
      </c>
      <c r="H11" s="11">
        <v>1300</v>
      </c>
      <c r="I11" s="11" t="s">
        <v>58</v>
      </c>
      <c r="J11" s="11">
        <v>3</v>
      </c>
      <c r="K11" s="11">
        <f t="shared" si="1"/>
        <v>3900</v>
      </c>
      <c r="L11" s="11" t="s">
        <v>85</v>
      </c>
    </row>
    <row r="12" ht="48" spans="1:12">
      <c r="A12" s="8">
        <v>8</v>
      </c>
      <c r="B12" s="8" t="s">
        <v>77</v>
      </c>
      <c r="C12" s="8" t="s">
        <v>86</v>
      </c>
      <c r="D12" s="9" t="s">
        <v>87</v>
      </c>
      <c r="E12" s="8" t="s">
        <v>7</v>
      </c>
      <c r="F12" s="18" t="s">
        <v>88</v>
      </c>
      <c r="G12" s="18" t="s">
        <v>89</v>
      </c>
      <c r="H12" s="11">
        <v>1300</v>
      </c>
      <c r="I12" s="8" t="s">
        <v>58</v>
      </c>
      <c r="J12" s="11">
        <v>7</v>
      </c>
      <c r="K12" s="8">
        <f t="shared" si="1"/>
        <v>9100</v>
      </c>
      <c r="L12" s="11" t="s">
        <v>63</v>
      </c>
    </row>
    <row r="13" ht="36" spans="1:12">
      <c r="A13" s="11">
        <v>9</v>
      </c>
      <c r="B13" s="11" t="s">
        <v>77</v>
      </c>
      <c r="C13" s="11" t="s">
        <v>90</v>
      </c>
      <c r="D13" s="12" t="s">
        <v>91</v>
      </c>
      <c r="E13" s="11" t="s">
        <v>6</v>
      </c>
      <c r="F13" s="11" t="s">
        <v>74</v>
      </c>
      <c r="G13" s="11" t="s">
        <v>92</v>
      </c>
      <c r="H13" s="11">
        <v>1</v>
      </c>
      <c r="I13" s="11" t="s">
        <v>58</v>
      </c>
      <c r="J13" s="11">
        <v>2000</v>
      </c>
      <c r="K13" s="11">
        <f t="shared" si="1"/>
        <v>2000</v>
      </c>
      <c r="L13" s="11"/>
    </row>
    <row r="14" spans="1:12">
      <c r="A14" s="15" t="s">
        <v>93</v>
      </c>
      <c r="B14" s="16"/>
      <c r="C14" s="16"/>
      <c r="D14" s="16"/>
      <c r="E14" s="24"/>
      <c r="F14" s="27"/>
      <c r="G14" s="27"/>
      <c r="H14" s="27"/>
      <c r="I14" s="27"/>
      <c r="J14" s="27"/>
      <c r="K14" s="27"/>
      <c r="L14" s="27"/>
    </row>
    <row r="15" ht="48" spans="1:12">
      <c r="A15" s="8">
        <v>10</v>
      </c>
      <c r="B15" s="8" t="s">
        <v>94</v>
      </c>
      <c r="C15" s="8" t="s">
        <v>95</v>
      </c>
      <c r="D15" s="9" t="s">
        <v>96</v>
      </c>
      <c r="E15" s="8" t="s">
        <v>7</v>
      </c>
      <c r="F15" s="18" t="s">
        <v>97</v>
      </c>
      <c r="G15" s="18" t="s">
        <v>98</v>
      </c>
      <c r="H15" s="11">
        <v>1300</v>
      </c>
      <c r="I15" s="8" t="s">
        <v>58</v>
      </c>
      <c r="J15" s="8">
        <v>4</v>
      </c>
      <c r="K15" s="8">
        <f t="shared" ref="K15:K17" si="2">H15*J15</f>
        <v>5200</v>
      </c>
      <c r="L15" s="11" t="s">
        <v>63</v>
      </c>
    </row>
    <row r="16" ht="48" spans="1:12">
      <c r="A16" s="11">
        <v>11</v>
      </c>
      <c r="B16" s="11" t="s">
        <v>94</v>
      </c>
      <c r="C16" s="11" t="s">
        <v>99</v>
      </c>
      <c r="D16" s="12" t="s">
        <v>100</v>
      </c>
      <c r="E16" s="11" t="s">
        <v>7</v>
      </c>
      <c r="F16" s="11" t="s">
        <v>101</v>
      </c>
      <c r="G16" s="11" t="s">
        <v>102</v>
      </c>
      <c r="H16" s="11">
        <v>1300</v>
      </c>
      <c r="I16" s="11" t="s">
        <v>58</v>
      </c>
      <c r="J16" s="11">
        <v>10</v>
      </c>
      <c r="K16" s="11">
        <f t="shared" si="2"/>
        <v>13000</v>
      </c>
      <c r="L16" s="11" t="s">
        <v>63</v>
      </c>
    </row>
    <row r="17" ht="36" spans="1:12">
      <c r="A17" s="8">
        <v>12</v>
      </c>
      <c r="B17" s="8" t="s">
        <v>94</v>
      </c>
      <c r="C17" s="8" t="s">
        <v>103</v>
      </c>
      <c r="D17" s="9" t="s">
        <v>104</v>
      </c>
      <c r="E17" s="8" t="s">
        <v>7</v>
      </c>
      <c r="F17" s="18" t="s">
        <v>80</v>
      </c>
      <c r="G17" s="18" t="s">
        <v>105</v>
      </c>
      <c r="H17" s="11">
        <v>1300</v>
      </c>
      <c r="I17" s="8" t="s">
        <v>58</v>
      </c>
      <c r="J17" s="8">
        <v>4</v>
      </c>
      <c r="K17" s="8">
        <f t="shared" si="2"/>
        <v>5200</v>
      </c>
      <c r="L17" s="11" t="s">
        <v>63</v>
      </c>
    </row>
    <row r="18" spans="1:12">
      <c r="A18" s="15" t="s">
        <v>106</v>
      </c>
      <c r="B18" s="16"/>
      <c r="C18" s="16"/>
      <c r="D18" s="16"/>
      <c r="E18" s="24"/>
      <c r="F18" s="27"/>
      <c r="G18" s="27"/>
      <c r="H18" s="27"/>
      <c r="I18" s="27"/>
      <c r="J18" s="27"/>
      <c r="K18" s="27"/>
      <c r="L18" s="27"/>
    </row>
    <row r="19" ht="48" spans="1:12">
      <c r="A19" s="8">
        <v>13</v>
      </c>
      <c r="B19" s="8" t="s">
        <v>107</v>
      </c>
      <c r="C19" s="8" t="s">
        <v>108</v>
      </c>
      <c r="D19" s="9" t="s">
        <v>109</v>
      </c>
      <c r="E19" s="8" t="s">
        <v>7</v>
      </c>
      <c r="F19" s="18" t="s">
        <v>110</v>
      </c>
      <c r="G19" s="18" t="s">
        <v>111</v>
      </c>
      <c r="H19" s="11">
        <v>1300</v>
      </c>
      <c r="I19" s="8" t="s">
        <v>58</v>
      </c>
      <c r="J19" s="8">
        <v>8</v>
      </c>
      <c r="K19" s="8">
        <f t="shared" ref="K19:K21" si="3">H19*J19</f>
        <v>10400</v>
      </c>
      <c r="L19" s="11" t="s">
        <v>63</v>
      </c>
    </row>
    <row r="20" ht="36" spans="1:12">
      <c r="A20" s="11">
        <v>14</v>
      </c>
      <c r="B20" s="11" t="s">
        <v>107</v>
      </c>
      <c r="C20" s="11" t="s">
        <v>112</v>
      </c>
      <c r="D20" s="12" t="s">
        <v>113</v>
      </c>
      <c r="E20" s="11" t="s">
        <v>6</v>
      </c>
      <c r="F20" s="11" t="s">
        <v>114</v>
      </c>
      <c r="G20" s="11" t="s">
        <v>115</v>
      </c>
      <c r="H20" s="11">
        <v>1</v>
      </c>
      <c r="I20" s="11" t="s">
        <v>58</v>
      </c>
      <c r="J20" s="11">
        <v>5000</v>
      </c>
      <c r="K20" s="11">
        <f t="shared" si="3"/>
        <v>5000</v>
      </c>
      <c r="L20" s="11"/>
    </row>
    <row r="21" ht="36" spans="1:12">
      <c r="A21" s="8">
        <v>15</v>
      </c>
      <c r="B21" s="8" t="s">
        <v>107</v>
      </c>
      <c r="C21" s="8" t="s">
        <v>116</v>
      </c>
      <c r="D21" s="9" t="s">
        <v>117</v>
      </c>
      <c r="E21" s="8" t="s">
        <v>7</v>
      </c>
      <c r="F21" s="18" t="s">
        <v>66</v>
      </c>
      <c r="G21" s="18" t="s">
        <v>118</v>
      </c>
      <c r="H21" s="11">
        <v>1300</v>
      </c>
      <c r="I21" s="8" t="s">
        <v>58</v>
      </c>
      <c r="J21" s="8">
        <v>4</v>
      </c>
      <c r="K21" s="8">
        <f t="shared" si="3"/>
        <v>5200</v>
      </c>
      <c r="L21" s="11" t="s">
        <v>63</v>
      </c>
    </row>
    <row r="22" spans="1:12">
      <c r="A22" s="15" t="s">
        <v>119</v>
      </c>
      <c r="B22" s="16"/>
      <c r="C22" s="16"/>
      <c r="D22" s="16"/>
      <c r="E22" s="24"/>
      <c r="F22" s="27"/>
      <c r="G22" s="27"/>
      <c r="H22" s="27"/>
      <c r="I22" s="27"/>
      <c r="J22" s="27"/>
      <c r="K22" s="27"/>
      <c r="L22" s="27"/>
    </row>
    <row r="23" ht="48" spans="1:12">
      <c r="A23" s="8">
        <v>16</v>
      </c>
      <c r="B23" s="8" t="s">
        <v>120</v>
      </c>
      <c r="C23" s="8" t="s">
        <v>121</v>
      </c>
      <c r="D23" s="9" t="s">
        <v>122</v>
      </c>
      <c r="E23" s="8" t="s">
        <v>6</v>
      </c>
      <c r="F23" s="18" t="s">
        <v>123</v>
      </c>
      <c r="G23" s="18" t="s">
        <v>124</v>
      </c>
      <c r="H23" s="8">
        <v>1</v>
      </c>
      <c r="I23" s="8" t="s">
        <v>58</v>
      </c>
      <c r="J23" s="8">
        <v>8000</v>
      </c>
      <c r="K23" s="8">
        <f t="shared" ref="K23:K28" si="4">H23*J23</f>
        <v>8000</v>
      </c>
      <c r="L23" s="8"/>
    </row>
    <row r="24" ht="36" spans="1:12">
      <c r="A24" s="11">
        <v>17</v>
      </c>
      <c r="B24" s="11" t="s">
        <v>120</v>
      </c>
      <c r="C24" s="11" t="s">
        <v>125</v>
      </c>
      <c r="D24" s="12" t="s">
        <v>126</v>
      </c>
      <c r="E24" s="11" t="s">
        <v>6</v>
      </c>
      <c r="F24" s="11" t="s">
        <v>127</v>
      </c>
      <c r="G24" s="11" t="s">
        <v>128</v>
      </c>
      <c r="H24" s="11">
        <v>1</v>
      </c>
      <c r="I24" s="11" t="s">
        <v>58</v>
      </c>
      <c r="J24" s="11">
        <v>7000</v>
      </c>
      <c r="K24" s="11">
        <f t="shared" si="4"/>
        <v>7000</v>
      </c>
      <c r="L24" s="11"/>
    </row>
    <row r="25" ht="36" spans="1:12">
      <c r="A25" s="8">
        <v>18</v>
      </c>
      <c r="B25" s="8" t="s">
        <v>120</v>
      </c>
      <c r="C25" s="8" t="s">
        <v>129</v>
      </c>
      <c r="D25" s="9" t="s">
        <v>130</v>
      </c>
      <c r="E25" s="8" t="s">
        <v>7</v>
      </c>
      <c r="F25" s="18" t="s">
        <v>131</v>
      </c>
      <c r="G25" s="18" t="s">
        <v>132</v>
      </c>
      <c r="H25" s="8">
        <v>1300</v>
      </c>
      <c r="I25" s="8" t="s">
        <v>58</v>
      </c>
      <c r="J25" s="8">
        <v>9</v>
      </c>
      <c r="K25" s="8">
        <f t="shared" si="4"/>
        <v>11700</v>
      </c>
      <c r="L25" s="11" t="s">
        <v>63</v>
      </c>
    </row>
    <row r="26" ht="36" spans="1:12">
      <c r="A26" s="11">
        <v>19</v>
      </c>
      <c r="B26" s="11" t="s">
        <v>120</v>
      </c>
      <c r="C26" s="11" t="s">
        <v>133</v>
      </c>
      <c r="D26" s="12" t="s">
        <v>134</v>
      </c>
      <c r="E26" s="11" t="s">
        <v>7</v>
      </c>
      <c r="F26" s="11" t="s">
        <v>135</v>
      </c>
      <c r="G26" s="11" t="s">
        <v>136</v>
      </c>
      <c r="H26" s="8">
        <v>1300</v>
      </c>
      <c r="I26" s="11" t="s">
        <v>58</v>
      </c>
      <c r="J26" s="11">
        <v>9</v>
      </c>
      <c r="K26" s="11">
        <f t="shared" si="4"/>
        <v>11700</v>
      </c>
      <c r="L26" s="11" t="s">
        <v>63</v>
      </c>
    </row>
    <row r="27" ht="36" spans="1:12">
      <c r="A27" s="8">
        <v>20</v>
      </c>
      <c r="B27" s="8" t="s">
        <v>120</v>
      </c>
      <c r="C27" s="8" t="s">
        <v>137</v>
      </c>
      <c r="D27" s="9" t="s">
        <v>138</v>
      </c>
      <c r="E27" s="8" t="s">
        <v>7</v>
      </c>
      <c r="F27" s="18" t="s">
        <v>139</v>
      </c>
      <c r="G27" s="18" t="s">
        <v>140</v>
      </c>
      <c r="H27" s="8">
        <v>1300</v>
      </c>
      <c r="I27" s="8" t="s">
        <v>58</v>
      </c>
      <c r="J27" s="8">
        <v>6</v>
      </c>
      <c r="K27" s="8">
        <f t="shared" si="4"/>
        <v>7800</v>
      </c>
      <c r="L27" s="11" t="s">
        <v>63</v>
      </c>
    </row>
    <row r="28" ht="48" spans="1:12">
      <c r="A28" s="11">
        <v>21</v>
      </c>
      <c r="B28" s="11" t="s">
        <v>120</v>
      </c>
      <c r="C28" s="11" t="s">
        <v>141</v>
      </c>
      <c r="D28" s="12" t="s">
        <v>142</v>
      </c>
      <c r="E28" s="11" t="s">
        <v>7</v>
      </c>
      <c r="F28" s="11" t="s">
        <v>143</v>
      </c>
      <c r="G28" s="11" t="s">
        <v>144</v>
      </c>
      <c r="H28" s="8">
        <v>1300</v>
      </c>
      <c r="I28" s="11" t="s">
        <v>58</v>
      </c>
      <c r="J28" s="11">
        <v>7</v>
      </c>
      <c r="K28" s="11">
        <f t="shared" si="4"/>
        <v>9100</v>
      </c>
      <c r="L28" s="11" t="s">
        <v>63</v>
      </c>
    </row>
    <row r="29" spans="1:12">
      <c r="A29" s="15" t="s">
        <v>145</v>
      </c>
      <c r="B29" s="16"/>
      <c r="C29" s="16"/>
      <c r="D29" s="16"/>
      <c r="E29" s="24"/>
      <c r="F29" s="27"/>
      <c r="G29" s="27"/>
      <c r="H29" s="27"/>
      <c r="I29" s="27"/>
      <c r="J29" s="27"/>
      <c r="K29" s="27"/>
      <c r="L29" s="27"/>
    </row>
    <row r="30" ht="48" spans="1:12">
      <c r="A30" s="8">
        <v>22</v>
      </c>
      <c r="B30" s="8" t="s">
        <v>146</v>
      </c>
      <c r="C30" s="8" t="s">
        <v>147</v>
      </c>
      <c r="D30" s="9" t="s">
        <v>148</v>
      </c>
      <c r="E30" s="8" t="s">
        <v>7</v>
      </c>
      <c r="F30" s="18" t="s">
        <v>149</v>
      </c>
      <c r="G30" s="18" t="s">
        <v>150</v>
      </c>
      <c r="H30" s="8">
        <v>1300</v>
      </c>
      <c r="I30" s="8" t="s">
        <v>58</v>
      </c>
      <c r="J30" s="8">
        <v>4</v>
      </c>
      <c r="K30" s="8">
        <f t="shared" ref="K30:K34" si="5">H30*J30</f>
        <v>5200</v>
      </c>
      <c r="L30" s="11" t="s">
        <v>63</v>
      </c>
    </row>
    <row r="31" ht="48" spans="1:12">
      <c r="A31" s="11">
        <v>23</v>
      </c>
      <c r="B31" s="11" t="s">
        <v>146</v>
      </c>
      <c r="C31" s="11" t="s">
        <v>151</v>
      </c>
      <c r="D31" s="12" t="s">
        <v>152</v>
      </c>
      <c r="E31" s="11" t="s">
        <v>7</v>
      </c>
      <c r="F31" s="11" t="s">
        <v>153</v>
      </c>
      <c r="G31" s="11" t="s">
        <v>154</v>
      </c>
      <c r="H31" s="8">
        <v>1300</v>
      </c>
      <c r="I31" s="11" t="s">
        <v>58</v>
      </c>
      <c r="J31" s="8">
        <v>4</v>
      </c>
      <c r="K31" s="11">
        <f t="shared" si="5"/>
        <v>5200</v>
      </c>
      <c r="L31" s="11" t="s">
        <v>63</v>
      </c>
    </row>
    <row r="32" ht="48" spans="1:12">
      <c r="A32" s="8">
        <v>24</v>
      </c>
      <c r="B32" s="8" t="s">
        <v>146</v>
      </c>
      <c r="C32" s="8" t="s">
        <v>155</v>
      </c>
      <c r="D32" s="9" t="s">
        <v>156</v>
      </c>
      <c r="E32" s="8" t="s">
        <v>7</v>
      </c>
      <c r="F32" s="18" t="s">
        <v>157</v>
      </c>
      <c r="G32" s="18" t="s">
        <v>158</v>
      </c>
      <c r="H32" s="8">
        <v>1300</v>
      </c>
      <c r="I32" s="8" t="s">
        <v>58</v>
      </c>
      <c r="J32" s="8">
        <v>4</v>
      </c>
      <c r="K32" s="8">
        <f t="shared" si="5"/>
        <v>5200</v>
      </c>
      <c r="L32" s="11" t="s">
        <v>63</v>
      </c>
    </row>
    <row r="33" ht="48" spans="1:12">
      <c r="A33" s="11">
        <v>25</v>
      </c>
      <c r="B33" s="11" t="s">
        <v>146</v>
      </c>
      <c r="C33" s="11" t="s">
        <v>159</v>
      </c>
      <c r="D33" s="12" t="s">
        <v>160</v>
      </c>
      <c r="E33" s="11" t="s">
        <v>7</v>
      </c>
      <c r="F33" s="11" t="s">
        <v>161</v>
      </c>
      <c r="G33" s="11" t="s">
        <v>162</v>
      </c>
      <c r="H33" s="8">
        <v>1300</v>
      </c>
      <c r="I33" s="11" t="s">
        <v>58</v>
      </c>
      <c r="J33" s="8">
        <v>3</v>
      </c>
      <c r="K33" s="11">
        <f t="shared" si="5"/>
        <v>3900</v>
      </c>
      <c r="L33" s="11" t="s">
        <v>63</v>
      </c>
    </row>
    <row r="34" ht="48" spans="1:12">
      <c r="A34" s="8">
        <v>26</v>
      </c>
      <c r="B34" s="8" t="s">
        <v>146</v>
      </c>
      <c r="C34" s="8" t="s">
        <v>163</v>
      </c>
      <c r="D34" s="9" t="s">
        <v>164</v>
      </c>
      <c r="E34" s="8" t="s">
        <v>7</v>
      </c>
      <c r="F34" s="18" t="s">
        <v>165</v>
      </c>
      <c r="G34" s="18" t="s">
        <v>166</v>
      </c>
      <c r="H34" s="8">
        <v>1300</v>
      </c>
      <c r="I34" s="8" t="s">
        <v>58</v>
      </c>
      <c r="J34" s="8">
        <v>3</v>
      </c>
      <c r="K34" s="8">
        <f t="shared" si="5"/>
        <v>3900</v>
      </c>
      <c r="L34" s="11" t="s">
        <v>63</v>
      </c>
    </row>
    <row r="35" spans="1:12">
      <c r="A35" s="15" t="s">
        <v>167</v>
      </c>
      <c r="B35" s="16"/>
      <c r="C35" s="16"/>
      <c r="D35" s="16"/>
      <c r="E35" s="24"/>
      <c r="F35" s="27"/>
      <c r="G35" s="27"/>
      <c r="H35" s="27"/>
      <c r="I35" s="27"/>
      <c r="J35" s="27"/>
      <c r="K35" s="27"/>
      <c r="L35" s="27"/>
    </row>
    <row r="36" ht="48" spans="1:12">
      <c r="A36" s="8">
        <v>27</v>
      </c>
      <c r="B36" s="8" t="s">
        <v>168</v>
      </c>
      <c r="C36" s="8" t="s">
        <v>169</v>
      </c>
      <c r="D36" s="9" t="s">
        <v>170</v>
      </c>
      <c r="E36" s="8" t="s">
        <v>7</v>
      </c>
      <c r="F36" s="18" t="s">
        <v>171</v>
      </c>
      <c r="G36" s="18" t="s">
        <v>172</v>
      </c>
      <c r="H36" s="8">
        <v>1300</v>
      </c>
      <c r="I36" s="8" t="s">
        <v>58</v>
      </c>
      <c r="J36" s="8">
        <v>3</v>
      </c>
      <c r="K36" s="8">
        <f t="shared" ref="K36:K38" si="6">H36*J36</f>
        <v>3900</v>
      </c>
      <c r="L36" s="11" t="s">
        <v>63</v>
      </c>
    </row>
    <row r="37" ht="36" spans="1:12">
      <c r="A37" s="11">
        <v>28</v>
      </c>
      <c r="B37" s="11" t="s">
        <v>168</v>
      </c>
      <c r="C37" s="11" t="s">
        <v>173</v>
      </c>
      <c r="D37" s="12" t="s">
        <v>174</v>
      </c>
      <c r="E37" s="11" t="s">
        <v>7</v>
      </c>
      <c r="F37" s="11" t="s">
        <v>175</v>
      </c>
      <c r="G37" s="11" t="s">
        <v>176</v>
      </c>
      <c r="H37" s="8">
        <v>1300</v>
      </c>
      <c r="I37" s="8" t="s">
        <v>58</v>
      </c>
      <c r="J37" s="8">
        <v>3</v>
      </c>
      <c r="K37" s="8">
        <f t="shared" si="6"/>
        <v>3900</v>
      </c>
      <c r="L37" s="11" t="s">
        <v>63</v>
      </c>
    </row>
    <row r="38" ht="36" spans="1:12">
      <c r="A38" s="8">
        <v>29</v>
      </c>
      <c r="B38" s="8" t="s">
        <v>168</v>
      </c>
      <c r="C38" s="8" t="s">
        <v>177</v>
      </c>
      <c r="D38" s="9" t="s">
        <v>178</v>
      </c>
      <c r="E38" s="8" t="s">
        <v>7</v>
      </c>
      <c r="F38" s="18" t="s">
        <v>171</v>
      </c>
      <c r="G38" s="18" t="s">
        <v>179</v>
      </c>
      <c r="H38" s="8">
        <v>1300</v>
      </c>
      <c r="I38" s="8" t="s">
        <v>58</v>
      </c>
      <c r="J38" s="8">
        <v>3</v>
      </c>
      <c r="K38" s="8">
        <f t="shared" si="6"/>
        <v>3900</v>
      </c>
      <c r="L38" s="11" t="s">
        <v>63</v>
      </c>
    </row>
    <row r="39" spans="1:12">
      <c r="A39" s="15" t="s">
        <v>180</v>
      </c>
      <c r="B39" s="16"/>
      <c r="C39" s="16"/>
      <c r="D39" s="16"/>
      <c r="E39" s="24"/>
      <c r="F39" s="27"/>
      <c r="G39" s="27"/>
      <c r="H39" s="27"/>
      <c r="I39" s="27"/>
      <c r="J39" s="27"/>
      <c r="K39" s="27"/>
      <c r="L39" s="27"/>
    </row>
    <row r="40" ht="48" spans="1:12">
      <c r="A40" s="8">
        <v>30</v>
      </c>
      <c r="B40" s="8" t="s">
        <v>181</v>
      </c>
      <c r="C40" s="8" t="s">
        <v>182</v>
      </c>
      <c r="D40" s="9" t="s">
        <v>183</v>
      </c>
      <c r="E40" s="8" t="s">
        <v>7</v>
      </c>
      <c r="F40" s="18" t="s">
        <v>184</v>
      </c>
      <c r="G40" s="18" t="s">
        <v>185</v>
      </c>
      <c r="H40" s="8">
        <v>1300</v>
      </c>
      <c r="I40" s="8" t="s">
        <v>58</v>
      </c>
      <c r="J40" s="8">
        <v>9</v>
      </c>
      <c r="K40" s="8">
        <f t="shared" ref="K40:K48" si="7">H40*J40</f>
        <v>11700</v>
      </c>
      <c r="L40" s="11" t="s">
        <v>63</v>
      </c>
    </row>
    <row r="41" ht="48" spans="1:12">
      <c r="A41" s="11">
        <v>31</v>
      </c>
      <c r="B41" s="11" t="s">
        <v>181</v>
      </c>
      <c r="C41" s="11" t="s">
        <v>186</v>
      </c>
      <c r="D41" s="12" t="s">
        <v>187</v>
      </c>
      <c r="E41" s="11" t="s">
        <v>7</v>
      </c>
      <c r="F41" s="11" t="s">
        <v>188</v>
      </c>
      <c r="G41" s="11" t="s">
        <v>189</v>
      </c>
      <c r="H41" s="8">
        <v>1300</v>
      </c>
      <c r="I41" s="11" t="s">
        <v>58</v>
      </c>
      <c r="J41" s="8">
        <v>8</v>
      </c>
      <c r="K41" s="11">
        <f t="shared" si="7"/>
        <v>10400</v>
      </c>
      <c r="L41" s="11" t="s">
        <v>63</v>
      </c>
    </row>
    <row r="42" ht="48" spans="1:12">
      <c r="A42" s="8">
        <v>32</v>
      </c>
      <c r="B42" s="8" t="s">
        <v>181</v>
      </c>
      <c r="C42" s="8" t="s">
        <v>190</v>
      </c>
      <c r="D42" s="9" t="s">
        <v>191</v>
      </c>
      <c r="E42" s="8" t="s">
        <v>7</v>
      </c>
      <c r="F42" s="18" t="s">
        <v>192</v>
      </c>
      <c r="G42" s="18" t="s">
        <v>193</v>
      </c>
      <c r="H42" s="8">
        <v>1300</v>
      </c>
      <c r="I42" s="8" t="s">
        <v>58</v>
      </c>
      <c r="J42" s="8">
        <v>6</v>
      </c>
      <c r="K42" s="8">
        <f t="shared" si="7"/>
        <v>7800</v>
      </c>
      <c r="L42" s="11" t="s">
        <v>63</v>
      </c>
    </row>
    <row r="43" ht="60" spans="1:12">
      <c r="A43" s="11">
        <v>33</v>
      </c>
      <c r="B43" s="11" t="s">
        <v>181</v>
      </c>
      <c r="C43" s="11" t="s">
        <v>194</v>
      </c>
      <c r="D43" s="12" t="s">
        <v>195</v>
      </c>
      <c r="E43" s="11" t="s">
        <v>7</v>
      </c>
      <c r="F43" s="11" t="s">
        <v>196</v>
      </c>
      <c r="G43" s="11" t="s">
        <v>197</v>
      </c>
      <c r="H43" s="8">
        <v>1300</v>
      </c>
      <c r="I43" s="11" t="s">
        <v>58</v>
      </c>
      <c r="J43" s="8">
        <v>9</v>
      </c>
      <c r="K43" s="11">
        <f t="shared" si="7"/>
        <v>11700</v>
      </c>
      <c r="L43" s="11" t="s">
        <v>63</v>
      </c>
    </row>
    <row r="44" ht="60" spans="1:12">
      <c r="A44" s="8">
        <v>34</v>
      </c>
      <c r="B44" s="8" t="s">
        <v>181</v>
      </c>
      <c r="C44" s="8" t="s">
        <v>198</v>
      </c>
      <c r="D44" s="9" t="s">
        <v>199</v>
      </c>
      <c r="E44" s="8" t="s">
        <v>7</v>
      </c>
      <c r="F44" s="18" t="s">
        <v>200</v>
      </c>
      <c r="G44" s="18" t="s">
        <v>201</v>
      </c>
      <c r="H44" s="8">
        <v>1300</v>
      </c>
      <c r="I44" s="8" t="s">
        <v>58</v>
      </c>
      <c r="J44" s="8">
        <v>4</v>
      </c>
      <c r="K44" s="8">
        <f t="shared" si="7"/>
        <v>5200</v>
      </c>
      <c r="L44" s="11" t="s">
        <v>63</v>
      </c>
    </row>
    <row r="45" ht="48" spans="1:12">
      <c r="A45" s="11">
        <v>35</v>
      </c>
      <c r="B45" s="11" t="s">
        <v>181</v>
      </c>
      <c r="C45" s="11" t="s">
        <v>202</v>
      </c>
      <c r="D45" s="12" t="s">
        <v>203</v>
      </c>
      <c r="E45" s="11" t="s">
        <v>7</v>
      </c>
      <c r="F45" s="11" t="s">
        <v>204</v>
      </c>
      <c r="G45" s="11" t="s">
        <v>205</v>
      </c>
      <c r="H45" s="8">
        <v>1300</v>
      </c>
      <c r="I45" s="11" t="s">
        <v>58</v>
      </c>
      <c r="J45" s="8">
        <v>6</v>
      </c>
      <c r="K45" s="11">
        <f t="shared" si="7"/>
        <v>7800</v>
      </c>
      <c r="L45" s="11" t="s">
        <v>63</v>
      </c>
    </row>
    <row r="46" ht="48" spans="1:12">
      <c r="A46" s="8">
        <v>36</v>
      </c>
      <c r="B46" s="8" t="s">
        <v>181</v>
      </c>
      <c r="C46" s="8" t="s">
        <v>206</v>
      </c>
      <c r="D46" s="9" t="s">
        <v>207</v>
      </c>
      <c r="E46" s="8" t="s">
        <v>7</v>
      </c>
      <c r="F46" s="18" t="s">
        <v>208</v>
      </c>
      <c r="G46" s="18" t="s">
        <v>209</v>
      </c>
      <c r="H46" s="8">
        <v>1300</v>
      </c>
      <c r="I46" s="8" t="s">
        <v>58</v>
      </c>
      <c r="J46" s="8">
        <v>7</v>
      </c>
      <c r="K46" s="8">
        <f t="shared" si="7"/>
        <v>9100</v>
      </c>
      <c r="L46" s="11" t="s">
        <v>63</v>
      </c>
    </row>
    <row r="47" ht="48" spans="1:12">
      <c r="A47" s="11">
        <v>37</v>
      </c>
      <c r="B47" s="11" t="s">
        <v>181</v>
      </c>
      <c r="C47" s="11" t="s">
        <v>210</v>
      </c>
      <c r="D47" s="12" t="s">
        <v>211</v>
      </c>
      <c r="E47" s="11" t="s">
        <v>7</v>
      </c>
      <c r="F47" s="11" t="s">
        <v>212</v>
      </c>
      <c r="G47" s="11" t="s">
        <v>213</v>
      </c>
      <c r="H47" s="8">
        <v>1300</v>
      </c>
      <c r="I47" s="11" t="s">
        <v>58</v>
      </c>
      <c r="J47" s="11">
        <v>6</v>
      </c>
      <c r="K47" s="11">
        <f t="shared" si="7"/>
        <v>7800</v>
      </c>
      <c r="L47" s="11" t="s">
        <v>63</v>
      </c>
    </row>
    <row r="48" ht="48" spans="1:12">
      <c r="A48" s="8">
        <v>38</v>
      </c>
      <c r="B48" s="8" t="s">
        <v>181</v>
      </c>
      <c r="C48" s="8" t="s">
        <v>214</v>
      </c>
      <c r="D48" s="9" t="s">
        <v>215</v>
      </c>
      <c r="E48" s="8" t="s">
        <v>7</v>
      </c>
      <c r="F48" s="18" t="s">
        <v>216</v>
      </c>
      <c r="G48" s="18" t="s">
        <v>217</v>
      </c>
      <c r="H48" s="8">
        <v>1300</v>
      </c>
      <c r="I48" s="8" t="s">
        <v>58</v>
      </c>
      <c r="J48" s="8">
        <v>60</v>
      </c>
      <c r="K48" s="8">
        <f t="shared" si="7"/>
        <v>78000</v>
      </c>
      <c r="L48" s="11" t="s">
        <v>63</v>
      </c>
    </row>
    <row r="49" spans="1:12">
      <c r="A49" s="23" t="s">
        <v>38</v>
      </c>
      <c r="B49" s="25"/>
      <c r="C49" s="25"/>
      <c r="D49" s="24" t="s">
        <v>39</v>
      </c>
      <c r="E49" s="25"/>
      <c r="F49" s="26"/>
      <c r="G49" s="27"/>
      <c r="H49" s="27"/>
      <c r="I49" s="27"/>
      <c r="J49" s="27"/>
      <c r="K49" s="27">
        <f>SUM(K3:K48)</f>
        <v>330100</v>
      </c>
      <c r="L49" s="27"/>
    </row>
    <row r="52" spans="1:12">
      <c r="C52" s="28" t="s">
        <v>218</v>
      </c>
      <c r="D52" s="29">
        <v>295100</v>
      </c>
    </row>
    <row r="53" spans="1:12">
      <c r="C53" s="28" t="s">
        <v>219</v>
      </c>
      <c r="D53" s="29">
        <v>35000</v>
      </c>
    </row>
  </sheetData>
  <autoFilter xmlns:etc="http://www.wps.cn/officeDocument/2017/etCustomData" ref="A1:L49" etc:filterBottomFollowUsedRange="0">
    <extLst/>
  </autoFilter>
  <mergeCells count="9">
    <mergeCell ref="A1:L1"/>
    <mergeCell ref="A3:F3"/>
    <mergeCell ref="A9:F9"/>
    <mergeCell ref="A14:F14"/>
    <mergeCell ref="A18:F18"/>
    <mergeCell ref="A22:F22"/>
    <mergeCell ref="A29:F29"/>
    <mergeCell ref="A35:F35"/>
    <mergeCell ref="A39:F3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zoomScale="70" zoomScaleNormal="70" topLeftCell="B1" workbookViewId="0">
      <pane ySplit="2" topLeftCell="A29" activePane="bottomLeft" state="frozen"/>
      <selection/>
      <selection pane="bottomLeft" activeCell="C59" sqref="C59"/>
    </sheetView>
  </sheetViews>
  <sheetFormatPr defaultColWidth="9" defaultRowHeight="14.4"/>
  <cols>
    <col min="1" max="1" width="4.61111111111111" customWidth="1"/>
    <col min="2" max="2" width="18" style="14" customWidth="1"/>
    <col min="3" max="3" width="18.0740740740741" style="14" customWidth="1"/>
    <col min="4" max="4" width="135.222222222222" customWidth="1"/>
    <col min="5" max="5" width="11.2685185185185" style="14" customWidth="1"/>
    <col min="6" max="7" width="16.2407407407407" style="14" customWidth="1"/>
    <col min="8" max="9" width="9.0462962962963" style="14" customWidth="1"/>
    <col min="10" max="11" width="16.2407407407407" style="14" customWidth="1"/>
    <col min="12" max="12" width="9.36111111111111" style="14" customWidth="1"/>
  </cols>
  <sheetData>
    <row r="1" spans="1:12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spans="1:12">
      <c r="A2" s="5" t="s">
        <v>1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</row>
    <row r="3" spans="1:12">
      <c r="A3" s="15" t="s">
        <v>220</v>
      </c>
      <c r="B3" s="24"/>
      <c r="C3" s="24"/>
      <c r="D3" s="16"/>
      <c r="E3" s="16"/>
      <c r="F3" s="16"/>
      <c r="G3" s="17"/>
      <c r="H3" s="17"/>
      <c r="I3" s="17"/>
      <c r="J3" s="17"/>
      <c r="K3" s="17"/>
      <c r="L3" s="17"/>
    </row>
    <row r="4" ht="60" spans="1:12">
      <c r="A4" s="8">
        <v>1</v>
      </c>
      <c r="B4" s="8" t="s">
        <v>221</v>
      </c>
      <c r="C4" s="8" t="s">
        <v>222</v>
      </c>
      <c r="D4" s="9" t="s">
        <v>223</v>
      </c>
      <c r="E4" s="8" t="s">
        <v>6</v>
      </c>
      <c r="F4" s="18" t="s">
        <v>224</v>
      </c>
      <c r="G4" s="18" t="s">
        <v>225</v>
      </c>
      <c r="H4" s="8">
        <v>1</v>
      </c>
      <c r="I4" s="8" t="s">
        <v>58</v>
      </c>
      <c r="J4" s="8">
        <v>7000</v>
      </c>
      <c r="K4" s="8">
        <f t="shared" ref="K4:K13" si="0">H4*J4</f>
        <v>7000</v>
      </c>
      <c r="L4" s="8"/>
    </row>
    <row r="5" ht="60" spans="1:12">
      <c r="A5" s="11">
        <v>2</v>
      </c>
      <c r="B5" s="11" t="s">
        <v>221</v>
      </c>
      <c r="C5" s="11" t="s">
        <v>226</v>
      </c>
      <c r="D5" s="12" t="s">
        <v>227</v>
      </c>
      <c r="E5" s="11" t="s">
        <v>6</v>
      </c>
      <c r="F5" s="11" t="s">
        <v>224</v>
      </c>
      <c r="G5" s="11" t="s">
        <v>228</v>
      </c>
      <c r="H5" s="11">
        <v>1</v>
      </c>
      <c r="I5" s="11" t="s">
        <v>58</v>
      </c>
      <c r="J5" s="11">
        <v>7000</v>
      </c>
      <c r="K5" s="11">
        <f t="shared" si="0"/>
        <v>7000</v>
      </c>
      <c r="L5" s="11"/>
    </row>
    <row r="6" ht="72" spans="1:12">
      <c r="A6" s="8">
        <v>3</v>
      </c>
      <c r="B6" s="8" t="s">
        <v>229</v>
      </c>
      <c r="C6" s="8" t="s">
        <v>230</v>
      </c>
      <c r="D6" s="9" t="s">
        <v>231</v>
      </c>
      <c r="E6" s="8" t="s">
        <v>6</v>
      </c>
      <c r="F6" s="18" t="s">
        <v>232</v>
      </c>
      <c r="G6" s="18" t="s">
        <v>233</v>
      </c>
      <c r="H6" s="8">
        <v>1</v>
      </c>
      <c r="I6" s="8" t="s">
        <v>58</v>
      </c>
      <c r="J6" s="8">
        <v>8000</v>
      </c>
      <c r="K6" s="8">
        <f t="shared" si="0"/>
        <v>8000</v>
      </c>
      <c r="L6" s="8"/>
    </row>
    <row r="7" ht="60" spans="1:12">
      <c r="A7" s="11">
        <v>4</v>
      </c>
      <c r="B7" s="11" t="s">
        <v>234</v>
      </c>
      <c r="C7" s="11" t="s">
        <v>235</v>
      </c>
      <c r="D7" s="12" t="s">
        <v>236</v>
      </c>
      <c r="E7" s="11" t="s">
        <v>6</v>
      </c>
      <c r="F7" s="11" t="s">
        <v>237</v>
      </c>
      <c r="G7" s="11" t="s">
        <v>238</v>
      </c>
      <c r="H7" s="11">
        <v>1</v>
      </c>
      <c r="I7" s="11" t="s">
        <v>58</v>
      </c>
      <c r="J7" s="11">
        <v>7000</v>
      </c>
      <c r="K7" s="11">
        <f t="shared" si="0"/>
        <v>7000</v>
      </c>
      <c r="L7" s="11"/>
    </row>
    <row r="8" ht="48" spans="1:12">
      <c r="A8" s="8">
        <v>5</v>
      </c>
      <c r="B8" s="8" t="s">
        <v>239</v>
      </c>
      <c r="C8" s="8" t="s">
        <v>240</v>
      </c>
      <c r="D8" s="9" t="s">
        <v>241</v>
      </c>
      <c r="E8" s="8" t="s">
        <v>6</v>
      </c>
      <c r="F8" s="18" t="s">
        <v>242</v>
      </c>
      <c r="G8" s="18" t="s">
        <v>243</v>
      </c>
      <c r="H8" s="8">
        <v>1</v>
      </c>
      <c r="I8" s="8" t="s">
        <v>58</v>
      </c>
      <c r="J8" s="8">
        <v>7000</v>
      </c>
      <c r="K8" s="8">
        <f t="shared" si="0"/>
        <v>7000</v>
      </c>
      <c r="L8" s="8"/>
    </row>
    <row r="9" ht="48" spans="1:12">
      <c r="A9" s="11">
        <v>6</v>
      </c>
      <c r="B9" s="11" t="s">
        <v>244</v>
      </c>
      <c r="C9" s="11" t="s">
        <v>245</v>
      </c>
      <c r="D9" s="12" t="s">
        <v>246</v>
      </c>
      <c r="E9" s="11" t="s">
        <v>6</v>
      </c>
      <c r="F9" s="11" t="s">
        <v>247</v>
      </c>
      <c r="G9" s="11" t="s">
        <v>248</v>
      </c>
      <c r="H9" s="11">
        <v>1</v>
      </c>
      <c r="I9" s="11" t="s">
        <v>58</v>
      </c>
      <c r="J9" s="11">
        <v>8000</v>
      </c>
      <c r="K9" s="11">
        <f t="shared" si="0"/>
        <v>8000</v>
      </c>
      <c r="L9" s="11"/>
    </row>
    <row r="10" ht="60" spans="1:12">
      <c r="A10" s="8">
        <v>7</v>
      </c>
      <c r="B10" s="8" t="s">
        <v>249</v>
      </c>
      <c r="C10" s="8" t="s">
        <v>250</v>
      </c>
      <c r="D10" s="9" t="s">
        <v>251</v>
      </c>
      <c r="E10" s="8" t="s">
        <v>6</v>
      </c>
      <c r="F10" s="18" t="s">
        <v>252</v>
      </c>
      <c r="G10" s="18" t="s">
        <v>253</v>
      </c>
      <c r="H10" s="8">
        <v>1</v>
      </c>
      <c r="I10" s="8" t="s">
        <v>58</v>
      </c>
      <c r="J10" s="8">
        <v>7000</v>
      </c>
      <c r="K10" s="8">
        <f t="shared" si="0"/>
        <v>7000</v>
      </c>
      <c r="L10" s="8"/>
    </row>
    <row r="11" ht="48" spans="1:12">
      <c r="A11" s="11">
        <v>8</v>
      </c>
      <c r="B11" s="11" t="s">
        <v>254</v>
      </c>
      <c r="C11" s="11" t="s">
        <v>255</v>
      </c>
      <c r="D11" s="12" t="s">
        <v>256</v>
      </c>
      <c r="E11" s="11" t="s">
        <v>6</v>
      </c>
      <c r="F11" s="11" t="s">
        <v>257</v>
      </c>
      <c r="G11" s="11" t="s">
        <v>258</v>
      </c>
      <c r="H11" s="11">
        <v>1</v>
      </c>
      <c r="I11" s="11" t="s">
        <v>58</v>
      </c>
      <c r="J11" s="11">
        <v>10000</v>
      </c>
      <c r="K11" s="11">
        <f t="shared" si="0"/>
        <v>10000</v>
      </c>
      <c r="L11" s="11"/>
    </row>
    <row r="12" ht="48" spans="1:12">
      <c r="A12" s="8">
        <v>9</v>
      </c>
      <c r="B12" s="8" t="s">
        <v>259</v>
      </c>
      <c r="C12" s="8" t="s">
        <v>260</v>
      </c>
      <c r="D12" s="9" t="s">
        <v>261</v>
      </c>
      <c r="E12" s="8" t="s">
        <v>6</v>
      </c>
      <c r="F12" s="18" t="s">
        <v>262</v>
      </c>
      <c r="G12" s="18" t="s">
        <v>263</v>
      </c>
      <c r="H12" s="8">
        <v>1</v>
      </c>
      <c r="I12" s="8" t="s">
        <v>58</v>
      </c>
      <c r="J12" s="8">
        <v>8000</v>
      </c>
      <c r="K12" s="8">
        <f t="shared" si="0"/>
        <v>8000</v>
      </c>
      <c r="L12" s="8"/>
    </row>
    <row r="13" ht="48" spans="1:12">
      <c r="A13" s="11">
        <v>10</v>
      </c>
      <c r="B13" s="11" t="s">
        <v>264</v>
      </c>
      <c r="C13" s="11" t="s">
        <v>265</v>
      </c>
      <c r="D13" s="12" t="s">
        <v>266</v>
      </c>
      <c r="E13" s="11" t="s">
        <v>7</v>
      </c>
      <c r="F13" s="11" t="s">
        <v>267</v>
      </c>
      <c r="G13" s="11" t="s">
        <v>268</v>
      </c>
      <c r="H13" s="11">
        <v>1300</v>
      </c>
      <c r="I13" s="11" t="s">
        <v>58</v>
      </c>
      <c r="J13" s="11">
        <v>5</v>
      </c>
      <c r="K13" s="11">
        <f t="shared" si="0"/>
        <v>6500</v>
      </c>
      <c r="L13" s="11" t="s">
        <v>63</v>
      </c>
    </row>
    <row r="14" spans="1:12">
      <c r="A14" s="15" t="s">
        <v>269</v>
      </c>
      <c r="B14" s="24"/>
      <c r="C14" s="24"/>
      <c r="D14" s="16"/>
      <c r="E14" s="16"/>
      <c r="F14" s="16"/>
      <c r="G14" s="17"/>
      <c r="H14" s="17"/>
      <c r="I14" s="17"/>
      <c r="J14" s="17"/>
      <c r="K14" s="17"/>
      <c r="L14" s="17"/>
    </row>
    <row r="15" ht="72" spans="1:12">
      <c r="A15" s="8">
        <v>11</v>
      </c>
      <c r="B15" s="8" t="s">
        <v>270</v>
      </c>
      <c r="C15" s="8" t="s">
        <v>271</v>
      </c>
      <c r="D15" s="9" t="s">
        <v>272</v>
      </c>
      <c r="E15" s="8" t="s">
        <v>6</v>
      </c>
      <c r="F15" s="18" t="s">
        <v>232</v>
      </c>
      <c r="G15" s="18" t="s">
        <v>273</v>
      </c>
      <c r="H15" s="8">
        <v>1</v>
      </c>
      <c r="I15" s="8" t="s">
        <v>58</v>
      </c>
      <c r="J15" s="8">
        <v>10000</v>
      </c>
      <c r="K15" s="8">
        <f t="shared" ref="K15:K19" si="1">H15*J15</f>
        <v>10000</v>
      </c>
      <c r="L15" s="8" t="s">
        <v>274</v>
      </c>
    </row>
    <row r="16" ht="72" spans="1:12">
      <c r="A16" s="11">
        <v>12</v>
      </c>
      <c r="B16" s="11" t="s">
        <v>275</v>
      </c>
      <c r="C16" s="11" t="s">
        <v>276</v>
      </c>
      <c r="D16" s="12" t="s">
        <v>277</v>
      </c>
      <c r="E16" s="11" t="s">
        <v>7</v>
      </c>
      <c r="F16" s="11" t="s">
        <v>278</v>
      </c>
      <c r="G16" s="11" t="s">
        <v>279</v>
      </c>
      <c r="H16" s="11">
        <v>1300</v>
      </c>
      <c r="I16" s="11" t="s">
        <v>58</v>
      </c>
      <c r="J16" s="11">
        <v>8</v>
      </c>
      <c r="K16" s="11">
        <f t="shared" si="1"/>
        <v>10400</v>
      </c>
      <c r="L16" s="11" t="s">
        <v>63</v>
      </c>
    </row>
    <row r="17" spans="1:13">
      <c r="A17" s="15" t="s">
        <v>280</v>
      </c>
      <c r="B17" s="24"/>
      <c r="C17" s="24"/>
      <c r="D17" s="16"/>
      <c r="E17" s="16"/>
      <c r="F17" s="16"/>
      <c r="G17" s="17"/>
      <c r="H17" s="17"/>
      <c r="I17" s="17"/>
      <c r="J17" s="17"/>
      <c r="K17" s="17"/>
      <c r="L17" s="17"/>
    </row>
    <row r="18" ht="72" spans="1:13">
      <c r="A18" s="8">
        <v>13</v>
      </c>
      <c r="B18" s="8" t="s">
        <v>281</v>
      </c>
      <c r="C18" s="8" t="s">
        <v>282</v>
      </c>
      <c r="D18" s="9" t="s">
        <v>283</v>
      </c>
      <c r="E18" s="8" t="s">
        <v>6</v>
      </c>
      <c r="F18" s="18" t="s">
        <v>284</v>
      </c>
      <c r="G18" s="18" t="s">
        <v>285</v>
      </c>
      <c r="H18" s="8">
        <v>1</v>
      </c>
      <c r="I18" s="8" t="s">
        <v>58</v>
      </c>
      <c r="J18" s="8">
        <v>10000</v>
      </c>
      <c r="K18" s="8">
        <f t="shared" si="1"/>
        <v>10000</v>
      </c>
      <c r="L18" s="8"/>
    </row>
    <row r="19" ht="72" spans="1:13">
      <c r="A19" s="11">
        <v>14</v>
      </c>
      <c r="B19" s="11" t="s">
        <v>286</v>
      </c>
      <c r="C19" s="11" t="s">
        <v>287</v>
      </c>
      <c r="D19" s="12" t="s">
        <v>288</v>
      </c>
      <c r="E19" s="11" t="s">
        <v>7</v>
      </c>
      <c r="F19" s="11" t="s">
        <v>289</v>
      </c>
      <c r="G19" s="11" t="s">
        <v>290</v>
      </c>
      <c r="H19" s="11">
        <v>1300</v>
      </c>
      <c r="I19" s="11" t="s">
        <v>58</v>
      </c>
      <c r="J19" s="11">
        <v>10</v>
      </c>
      <c r="K19" s="11">
        <f t="shared" si="1"/>
        <v>13000</v>
      </c>
      <c r="L19" s="11" t="s">
        <v>63</v>
      </c>
    </row>
    <row r="20" spans="1:13">
      <c r="A20" s="15" t="s">
        <v>291</v>
      </c>
      <c r="B20" s="24"/>
      <c r="C20" s="24"/>
      <c r="D20" s="16"/>
      <c r="E20" s="16"/>
      <c r="F20" s="16"/>
      <c r="G20" s="17"/>
      <c r="H20" s="17"/>
      <c r="I20" s="17"/>
      <c r="J20" s="11"/>
      <c r="K20" s="17"/>
      <c r="L20" s="17"/>
    </row>
    <row r="21" ht="60" spans="1:13">
      <c r="A21" s="8">
        <v>15</v>
      </c>
      <c r="B21" s="8" t="s">
        <v>292</v>
      </c>
      <c r="C21" s="8" t="s">
        <v>293</v>
      </c>
      <c r="D21" s="9" t="s">
        <v>294</v>
      </c>
      <c r="E21" s="8" t="s">
        <v>7</v>
      </c>
      <c r="F21" s="18" t="s">
        <v>295</v>
      </c>
      <c r="G21" s="18" t="s">
        <v>296</v>
      </c>
      <c r="H21" s="11">
        <v>1300</v>
      </c>
      <c r="I21" s="8" t="s">
        <v>58</v>
      </c>
      <c r="J21" s="11">
        <v>8</v>
      </c>
      <c r="K21" s="8">
        <f t="shared" ref="K21:K31" si="2">H21*J21</f>
        <v>10400</v>
      </c>
      <c r="L21" s="11" t="s">
        <v>63</v>
      </c>
    </row>
    <row r="22" ht="60" spans="1:13">
      <c r="A22" s="11">
        <v>16</v>
      </c>
      <c r="B22" s="11" t="s">
        <v>297</v>
      </c>
      <c r="C22" s="11" t="s">
        <v>298</v>
      </c>
      <c r="D22" s="12" t="s">
        <v>299</v>
      </c>
      <c r="E22" s="11" t="s">
        <v>6</v>
      </c>
      <c r="F22" s="11" t="s">
        <v>300</v>
      </c>
      <c r="G22" s="11" t="s">
        <v>301</v>
      </c>
      <c r="H22" s="11">
        <v>1</v>
      </c>
      <c r="I22" s="11" t="s">
        <v>58</v>
      </c>
      <c r="J22" s="11">
        <v>5000</v>
      </c>
      <c r="K22" s="11">
        <f t="shared" si="2"/>
        <v>5000</v>
      </c>
      <c r="L22" s="11"/>
    </row>
    <row r="23" ht="60" spans="1:13">
      <c r="A23" s="8">
        <v>17</v>
      </c>
      <c r="B23" s="8" t="s">
        <v>302</v>
      </c>
      <c r="C23" s="8" t="s">
        <v>303</v>
      </c>
      <c r="D23" s="9" t="s">
        <v>304</v>
      </c>
      <c r="E23" s="8" t="s">
        <v>7</v>
      </c>
      <c r="F23" s="18" t="s">
        <v>289</v>
      </c>
      <c r="G23" s="18" t="s">
        <v>305</v>
      </c>
      <c r="H23" s="8">
        <v>1300</v>
      </c>
      <c r="I23" s="8" t="s">
        <v>58</v>
      </c>
      <c r="J23" s="11">
        <v>6</v>
      </c>
      <c r="K23" s="8">
        <f t="shared" si="2"/>
        <v>7800</v>
      </c>
      <c r="L23" s="11" t="s">
        <v>63</v>
      </c>
    </row>
    <row r="24" ht="72" spans="1:13">
      <c r="A24" s="11">
        <v>18</v>
      </c>
      <c r="B24" s="11" t="s">
        <v>306</v>
      </c>
      <c r="C24" s="11" t="s">
        <v>307</v>
      </c>
      <c r="D24" s="12" t="s">
        <v>308</v>
      </c>
      <c r="E24" s="11" t="s">
        <v>7</v>
      </c>
      <c r="F24" s="11" t="s">
        <v>309</v>
      </c>
      <c r="G24" s="11" t="s">
        <v>310</v>
      </c>
      <c r="H24" s="8">
        <v>1300</v>
      </c>
      <c r="I24" s="11" t="s">
        <v>58</v>
      </c>
      <c r="J24" s="11">
        <v>9</v>
      </c>
      <c r="K24" s="11">
        <f t="shared" si="2"/>
        <v>11700</v>
      </c>
      <c r="L24" s="11" t="s">
        <v>63</v>
      </c>
    </row>
    <row r="25" ht="60" spans="1:13">
      <c r="A25" s="8">
        <v>19</v>
      </c>
      <c r="B25" s="8" t="s">
        <v>311</v>
      </c>
      <c r="C25" s="8" t="s">
        <v>312</v>
      </c>
      <c r="D25" s="9" t="s">
        <v>313</v>
      </c>
      <c r="E25" s="8" t="s">
        <v>7</v>
      </c>
      <c r="F25" s="18" t="s">
        <v>314</v>
      </c>
      <c r="G25" s="18" t="s">
        <v>315</v>
      </c>
      <c r="H25" s="8">
        <v>1300</v>
      </c>
      <c r="I25" s="8" t="s">
        <v>58</v>
      </c>
      <c r="J25" s="11">
        <v>9</v>
      </c>
      <c r="K25" s="8">
        <f t="shared" si="2"/>
        <v>11700</v>
      </c>
      <c r="L25" s="11" t="s">
        <v>63</v>
      </c>
    </row>
    <row r="26" ht="60" spans="1:13">
      <c r="A26" s="11">
        <v>20</v>
      </c>
      <c r="B26" s="11" t="s">
        <v>316</v>
      </c>
      <c r="C26" s="11" t="s">
        <v>317</v>
      </c>
      <c r="D26" s="12" t="s">
        <v>318</v>
      </c>
      <c r="E26" s="11" t="s">
        <v>7</v>
      </c>
      <c r="F26" s="11" t="s">
        <v>319</v>
      </c>
      <c r="G26" s="11" t="s">
        <v>320</v>
      </c>
      <c r="H26" s="8">
        <v>1300</v>
      </c>
      <c r="I26" s="11" t="s">
        <v>58</v>
      </c>
      <c r="J26" s="11">
        <v>7</v>
      </c>
      <c r="K26" s="11">
        <f t="shared" si="2"/>
        <v>9100</v>
      </c>
      <c r="L26" s="11" t="s">
        <v>63</v>
      </c>
    </row>
    <row r="27" ht="60" spans="1:13">
      <c r="A27" s="8">
        <v>21</v>
      </c>
      <c r="B27" s="8" t="s">
        <v>321</v>
      </c>
      <c r="C27" s="8" t="s">
        <v>322</v>
      </c>
      <c r="D27" s="9" t="s">
        <v>323</v>
      </c>
      <c r="E27" s="8" t="s">
        <v>7</v>
      </c>
      <c r="F27" s="18" t="s">
        <v>324</v>
      </c>
      <c r="G27" s="18" t="s">
        <v>325</v>
      </c>
      <c r="H27" s="8">
        <v>1300</v>
      </c>
      <c r="I27" s="8" t="s">
        <v>58</v>
      </c>
      <c r="J27" s="11">
        <v>62</v>
      </c>
      <c r="K27" s="8">
        <f t="shared" si="2"/>
        <v>80600</v>
      </c>
      <c r="L27" s="8" t="s">
        <v>326</v>
      </c>
      <c r="M27" s="30" t="s">
        <v>63</v>
      </c>
    </row>
    <row r="28" ht="60" spans="1:13">
      <c r="A28" s="11">
        <v>22</v>
      </c>
      <c r="B28" s="11" t="s">
        <v>327</v>
      </c>
      <c r="C28" s="11" t="s">
        <v>328</v>
      </c>
      <c r="D28" s="12" t="s">
        <v>329</v>
      </c>
      <c r="E28" s="11" t="s">
        <v>6</v>
      </c>
      <c r="F28" s="11" t="s">
        <v>330</v>
      </c>
      <c r="G28" s="11" t="s">
        <v>331</v>
      </c>
      <c r="H28" s="11">
        <v>1</v>
      </c>
      <c r="I28" s="11" t="s">
        <v>58</v>
      </c>
      <c r="J28" s="11">
        <v>5000</v>
      </c>
      <c r="K28" s="11">
        <f t="shared" si="2"/>
        <v>5000</v>
      </c>
      <c r="L28" s="11"/>
    </row>
    <row r="29" ht="84" spans="1:13">
      <c r="A29" s="8">
        <v>23</v>
      </c>
      <c r="B29" s="8" t="s">
        <v>332</v>
      </c>
      <c r="C29" s="8" t="s">
        <v>333</v>
      </c>
      <c r="D29" s="9" t="s">
        <v>334</v>
      </c>
      <c r="E29" s="8" t="s">
        <v>7</v>
      </c>
      <c r="F29" s="18" t="s">
        <v>335</v>
      </c>
      <c r="G29" s="18" t="s">
        <v>336</v>
      </c>
      <c r="H29" s="8">
        <v>1300</v>
      </c>
      <c r="I29" s="8" t="s">
        <v>58</v>
      </c>
      <c r="J29" s="11">
        <v>16</v>
      </c>
      <c r="K29" s="8">
        <f t="shared" si="2"/>
        <v>20800</v>
      </c>
      <c r="L29" s="11" t="s">
        <v>63</v>
      </c>
    </row>
    <row r="30" ht="72" spans="1:13">
      <c r="A30" s="11">
        <v>24</v>
      </c>
      <c r="B30" s="11" t="s">
        <v>337</v>
      </c>
      <c r="C30" s="11" t="s">
        <v>338</v>
      </c>
      <c r="D30" s="12" t="s">
        <v>339</v>
      </c>
      <c r="E30" s="11" t="s">
        <v>7</v>
      </c>
      <c r="F30" s="11" t="s">
        <v>340</v>
      </c>
      <c r="G30" s="11" t="s">
        <v>341</v>
      </c>
      <c r="H30" s="8">
        <v>1300</v>
      </c>
      <c r="I30" s="11" t="s">
        <v>58</v>
      </c>
      <c r="J30" s="11">
        <v>16</v>
      </c>
      <c r="K30" s="11">
        <f t="shared" si="2"/>
        <v>20800</v>
      </c>
      <c r="L30" s="11" t="s">
        <v>63</v>
      </c>
    </row>
    <row r="31" ht="72" spans="1:13">
      <c r="A31" s="8">
        <v>25</v>
      </c>
      <c r="B31" s="8" t="s">
        <v>342</v>
      </c>
      <c r="C31" s="8" t="s">
        <v>343</v>
      </c>
      <c r="D31" s="9" t="s">
        <v>344</v>
      </c>
      <c r="E31" s="8" t="s">
        <v>7</v>
      </c>
      <c r="F31" s="18" t="s">
        <v>345</v>
      </c>
      <c r="G31" s="18" t="s">
        <v>346</v>
      </c>
      <c r="H31" s="8">
        <v>1300</v>
      </c>
      <c r="I31" s="8" t="s">
        <v>58</v>
      </c>
      <c r="J31" s="8">
        <v>9</v>
      </c>
      <c r="K31" s="8">
        <f t="shared" si="2"/>
        <v>11700</v>
      </c>
      <c r="L31" s="11" t="s">
        <v>63</v>
      </c>
    </row>
    <row r="32" spans="1:13">
      <c r="A32" s="23" t="s">
        <v>38</v>
      </c>
      <c r="B32" s="25"/>
      <c r="C32" s="25"/>
      <c r="D32" s="24" t="s">
        <v>39</v>
      </c>
      <c r="E32" s="25"/>
      <c r="F32" s="26"/>
      <c r="G32" s="27"/>
      <c r="H32" s="27"/>
      <c r="I32" s="27"/>
      <c r="J32" s="27"/>
      <c r="K32" s="27">
        <f>SUM(K3:K31)</f>
        <v>313500</v>
      </c>
      <c r="L32" s="27"/>
    </row>
    <row r="34" spans="3:4">
      <c r="C34" s="28" t="s">
        <v>218</v>
      </c>
      <c r="D34" s="29">
        <v>214500</v>
      </c>
    </row>
    <row r="35" spans="3:4">
      <c r="C35" s="28" t="s">
        <v>219</v>
      </c>
      <c r="D35" s="29">
        <v>99000</v>
      </c>
    </row>
  </sheetData>
  <autoFilter xmlns:etc="http://www.wps.cn/officeDocument/2017/etCustomData" ref="A1:L44" etc:filterBottomFollowUsedRange="0">
    <extLst/>
  </autoFilter>
  <mergeCells count="4">
    <mergeCell ref="A1:L1"/>
    <mergeCell ref="A3:G3"/>
    <mergeCell ref="A14:G14"/>
    <mergeCell ref="A20:G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zoomScale="63" zoomScaleNormal="63" workbookViewId="0">
      <pane ySplit="2" topLeftCell="A19" activePane="bottomLeft" state="frozen"/>
      <selection/>
      <selection pane="bottomLeft" activeCell="C31" sqref="C31:D32"/>
    </sheetView>
  </sheetViews>
  <sheetFormatPr defaultColWidth="9" defaultRowHeight="14.4"/>
  <cols>
    <col min="1" max="1" width="4.61111111111111" style="14" customWidth="1"/>
    <col min="2" max="2" width="30.6111111111111" style="14" customWidth="1"/>
    <col min="3" max="3" width="15.1944444444444" style="14" customWidth="1"/>
    <col min="4" max="4" width="131.212962962963" customWidth="1"/>
    <col min="5" max="5" width="10.9351851851852" style="14" customWidth="1"/>
    <col min="6" max="7" width="19.1296296296296" style="14" customWidth="1"/>
    <col min="8" max="9" width="6.69444444444444" style="14" customWidth="1"/>
    <col min="10" max="11" width="14.9907407407407" style="14" customWidth="1"/>
    <col min="12" max="12" width="12.7037037037037" style="14" customWidth="1"/>
  </cols>
  <sheetData>
    <row r="1" spans="1:13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spans="1:13">
      <c r="A2" s="5" t="s">
        <v>1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</row>
    <row r="3" spans="1:13">
      <c r="A3" s="15" t="s">
        <v>347</v>
      </c>
      <c r="B3" s="24"/>
      <c r="C3" s="24"/>
      <c r="D3" s="16"/>
      <c r="E3" s="16"/>
      <c r="F3" s="17"/>
      <c r="G3" s="17"/>
      <c r="H3" s="17"/>
      <c r="I3" s="17"/>
      <c r="J3" s="17"/>
      <c r="K3" s="17"/>
      <c r="L3" s="17"/>
    </row>
    <row r="4" spans="1:13">
      <c r="A4" s="8">
        <v>1</v>
      </c>
      <c r="B4" s="8" t="s">
        <v>348</v>
      </c>
      <c r="C4" s="8" t="s">
        <v>349</v>
      </c>
      <c r="D4" s="9" t="s">
        <v>350</v>
      </c>
      <c r="E4" s="8" t="s">
        <v>6</v>
      </c>
      <c r="F4" s="8" t="s">
        <v>11</v>
      </c>
      <c r="G4" s="8" t="s">
        <v>11</v>
      </c>
      <c r="H4" s="8">
        <v>1</v>
      </c>
      <c r="I4" s="8" t="s">
        <v>58</v>
      </c>
      <c r="J4" s="8">
        <v>35000</v>
      </c>
      <c r="K4" s="8">
        <f t="shared" ref="K4:K6" si="0">H4*J4</f>
        <v>35000</v>
      </c>
      <c r="L4" s="8"/>
    </row>
    <row r="5" ht="60" spans="1:13">
      <c r="A5" s="11">
        <v>2</v>
      </c>
      <c r="B5" s="11" t="s">
        <v>351</v>
      </c>
      <c r="C5" s="11" t="s">
        <v>352</v>
      </c>
      <c r="D5" s="12" t="s">
        <v>353</v>
      </c>
      <c r="E5" s="11" t="s">
        <v>7</v>
      </c>
      <c r="F5" s="11" t="s">
        <v>354</v>
      </c>
      <c r="G5" s="11" t="s">
        <v>355</v>
      </c>
      <c r="H5" s="11">
        <v>1300</v>
      </c>
      <c r="I5" s="11" t="s">
        <v>58</v>
      </c>
      <c r="J5" s="11">
        <v>20</v>
      </c>
      <c r="K5" s="11">
        <f t="shared" si="0"/>
        <v>26000</v>
      </c>
      <c r="L5" s="11" t="s">
        <v>356</v>
      </c>
      <c r="M5" s="11" t="s">
        <v>63</v>
      </c>
    </row>
    <row r="6" ht="60" spans="1:13">
      <c r="A6" s="8">
        <v>3</v>
      </c>
      <c r="B6" s="8" t="s">
        <v>357</v>
      </c>
      <c r="C6" s="8" t="s">
        <v>358</v>
      </c>
      <c r="D6" s="9" t="s">
        <v>359</v>
      </c>
      <c r="E6" s="8" t="s">
        <v>6</v>
      </c>
      <c r="F6" s="18" t="s">
        <v>360</v>
      </c>
      <c r="G6" s="18" t="s">
        <v>361</v>
      </c>
      <c r="H6" s="8">
        <v>1</v>
      </c>
      <c r="I6" s="8" t="s">
        <v>58</v>
      </c>
      <c r="J6" s="8">
        <v>10000</v>
      </c>
      <c r="K6" s="8">
        <f t="shared" si="0"/>
        <v>10000</v>
      </c>
      <c r="L6" s="8"/>
      <c r="M6" s="11"/>
    </row>
    <row r="7" spans="1:13">
      <c r="A7" s="15" t="s">
        <v>362</v>
      </c>
      <c r="B7" s="24"/>
      <c r="C7" s="24"/>
      <c r="D7" s="16"/>
      <c r="E7" s="16"/>
      <c r="F7" s="17"/>
      <c r="G7" s="17"/>
      <c r="H7" s="17"/>
      <c r="I7" s="17"/>
      <c r="J7" s="17"/>
      <c r="K7" s="17"/>
      <c r="L7" s="17"/>
    </row>
    <row r="8" ht="60" spans="1:13">
      <c r="A8" s="8">
        <v>4</v>
      </c>
      <c r="B8" s="8" t="s">
        <v>363</v>
      </c>
      <c r="C8" s="8" t="s">
        <v>364</v>
      </c>
      <c r="D8" s="9" t="s">
        <v>365</v>
      </c>
      <c r="E8" s="8" t="s">
        <v>6</v>
      </c>
      <c r="F8" s="18" t="s">
        <v>366</v>
      </c>
      <c r="G8" s="18" t="s">
        <v>367</v>
      </c>
      <c r="H8" s="8">
        <v>1</v>
      </c>
      <c r="I8" s="8" t="s">
        <v>58</v>
      </c>
      <c r="J8" s="8">
        <v>10000</v>
      </c>
      <c r="K8" s="8">
        <f t="shared" ref="K8:K10" si="1">H8*J8</f>
        <v>10000</v>
      </c>
      <c r="L8" s="8" t="s">
        <v>368</v>
      </c>
    </row>
    <row r="9" ht="60" spans="1:13">
      <c r="A9" s="11">
        <v>5</v>
      </c>
      <c r="B9" s="11" t="s">
        <v>369</v>
      </c>
      <c r="C9" s="11" t="s">
        <v>370</v>
      </c>
      <c r="D9" s="12" t="s">
        <v>371</v>
      </c>
      <c r="E9" s="11" t="s">
        <v>6</v>
      </c>
      <c r="F9" s="11" t="s">
        <v>372</v>
      </c>
      <c r="G9" s="11" t="s">
        <v>373</v>
      </c>
      <c r="H9" s="11">
        <v>1</v>
      </c>
      <c r="I9" s="11" t="s">
        <v>58</v>
      </c>
      <c r="J9" s="11">
        <v>8000</v>
      </c>
      <c r="K9" s="11">
        <f t="shared" si="1"/>
        <v>8000</v>
      </c>
      <c r="L9" s="11"/>
    </row>
    <row r="10" ht="60" spans="1:13">
      <c r="A10" s="8">
        <v>6</v>
      </c>
      <c r="B10" s="8" t="s">
        <v>374</v>
      </c>
      <c r="C10" s="8" t="s">
        <v>375</v>
      </c>
      <c r="D10" s="9" t="s">
        <v>376</v>
      </c>
      <c r="E10" s="8" t="s">
        <v>6</v>
      </c>
      <c r="F10" s="18" t="s">
        <v>360</v>
      </c>
      <c r="G10" s="18" t="s">
        <v>377</v>
      </c>
      <c r="H10" s="8">
        <v>1</v>
      </c>
      <c r="I10" s="8" t="s">
        <v>58</v>
      </c>
      <c r="J10" s="8">
        <v>5000</v>
      </c>
      <c r="K10" s="8">
        <f t="shared" si="1"/>
        <v>5000</v>
      </c>
      <c r="L10" s="8"/>
    </row>
    <row r="11" spans="1:13">
      <c r="A11" s="15" t="s">
        <v>378</v>
      </c>
      <c r="B11" s="24"/>
      <c r="C11" s="24"/>
      <c r="D11" s="16"/>
      <c r="E11" s="16"/>
      <c r="F11" s="17"/>
      <c r="G11" s="17"/>
      <c r="H11" s="17"/>
      <c r="I11" s="17"/>
      <c r="J11" s="17"/>
      <c r="K11" s="17"/>
      <c r="L11" s="17"/>
    </row>
    <row r="12" ht="60" spans="1:13">
      <c r="A12" s="8">
        <v>7</v>
      </c>
      <c r="B12" s="8" t="s">
        <v>379</v>
      </c>
      <c r="C12" s="8" t="s">
        <v>380</v>
      </c>
      <c r="D12" s="9" t="s">
        <v>381</v>
      </c>
      <c r="E12" s="8" t="s">
        <v>7</v>
      </c>
      <c r="F12" s="18" t="s">
        <v>366</v>
      </c>
      <c r="G12" s="18" t="s">
        <v>382</v>
      </c>
      <c r="H12" s="8">
        <v>1300</v>
      </c>
      <c r="I12" s="8" t="s">
        <v>58</v>
      </c>
      <c r="J12" s="8">
        <v>8</v>
      </c>
      <c r="K12" s="8">
        <f t="shared" ref="K12:K15" si="2">H12*J12</f>
        <v>10400</v>
      </c>
      <c r="L12" s="8" t="s">
        <v>368</v>
      </c>
      <c r="M12" s="11" t="s">
        <v>63</v>
      </c>
    </row>
    <row r="13" ht="60" spans="1:13">
      <c r="A13" s="11">
        <v>8</v>
      </c>
      <c r="B13" s="11" t="s">
        <v>383</v>
      </c>
      <c r="C13" s="11" t="s">
        <v>384</v>
      </c>
      <c r="D13" s="12" t="s">
        <v>385</v>
      </c>
      <c r="E13" s="11" t="s">
        <v>7</v>
      </c>
      <c r="F13" s="11" t="s">
        <v>386</v>
      </c>
      <c r="G13" s="11" t="s">
        <v>387</v>
      </c>
      <c r="H13" s="8">
        <v>1300</v>
      </c>
      <c r="I13" s="8" t="s">
        <v>58</v>
      </c>
      <c r="J13" s="8">
        <v>8</v>
      </c>
      <c r="K13" s="11">
        <f t="shared" si="2"/>
        <v>10400</v>
      </c>
      <c r="L13" s="8" t="s">
        <v>368</v>
      </c>
      <c r="M13" s="11" t="s">
        <v>63</v>
      </c>
    </row>
    <row r="14" ht="48" spans="1:13">
      <c r="A14" s="8">
        <v>9</v>
      </c>
      <c r="B14" s="8" t="s">
        <v>388</v>
      </c>
      <c r="C14" s="8" t="s">
        <v>389</v>
      </c>
      <c r="D14" s="9" t="s">
        <v>390</v>
      </c>
      <c r="E14" s="8" t="s">
        <v>7</v>
      </c>
      <c r="F14" s="18" t="s">
        <v>366</v>
      </c>
      <c r="G14" s="18" t="s">
        <v>391</v>
      </c>
      <c r="H14" s="8">
        <v>1300</v>
      </c>
      <c r="I14" s="8" t="s">
        <v>58</v>
      </c>
      <c r="J14" s="8">
        <v>7</v>
      </c>
      <c r="K14" s="8">
        <f t="shared" si="2"/>
        <v>9100</v>
      </c>
      <c r="L14" s="8" t="s">
        <v>368</v>
      </c>
      <c r="M14" s="11" t="s">
        <v>63</v>
      </c>
    </row>
    <row r="15" ht="60" spans="1:13">
      <c r="A15" s="11">
        <v>10</v>
      </c>
      <c r="B15" s="11" t="s">
        <v>392</v>
      </c>
      <c r="C15" s="11" t="s">
        <v>393</v>
      </c>
      <c r="D15" s="12" t="s">
        <v>394</v>
      </c>
      <c r="E15" s="11" t="s">
        <v>7</v>
      </c>
      <c r="F15" s="11" t="s">
        <v>395</v>
      </c>
      <c r="G15" s="11" t="s">
        <v>396</v>
      </c>
      <c r="H15" s="8">
        <v>1300</v>
      </c>
      <c r="I15" s="11" t="s">
        <v>58</v>
      </c>
      <c r="J15" s="11">
        <v>7</v>
      </c>
      <c r="K15" s="11">
        <f t="shared" si="2"/>
        <v>9100</v>
      </c>
      <c r="L15" s="8" t="s">
        <v>368</v>
      </c>
      <c r="M15" s="11" t="s">
        <v>63</v>
      </c>
    </row>
    <row r="16" spans="1:13">
      <c r="A16" s="15" t="s">
        <v>397</v>
      </c>
      <c r="B16" s="24"/>
      <c r="C16" s="24"/>
      <c r="D16" s="16"/>
      <c r="E16" s="16"/>
      <c r="F16" s="17"/>
      <c r="G16" s="17"/>
      <c r="H16" s="17"/>
      <c r="I16" s="17"/>
      <c r="J16" s="17"/>
      <c r="K16" s="17"/>
      <c r="L16" s="17"/>
    </row>
    <row r="17" ht="60" spans="1:13">
      <c r="A17" s="8">
        <v>11</v>
      </c>
      <c r="B17" s="8" t="s">
        <v>398</v>
      </c>
      <c r="C17" s="8" t="s">
        <v>399</v>
      </c>
      <c r="D17" s="9" t="s">
        <v>400</v>
      </c>
      <c r="E17" s="8" t="s">
        <v>7</v>
      </c>
      <c r="F17" s="18" t="s">
        <v>401</v>
      </c>
      <c r="G17" s="18" t="s">
        <v>402</v>
      </c>
      <c r="H17" s="8">
        <v>1300</v>
      </c>
      <c r="I17" s="8" t="s">
        <v>58</v>
      </c>
      <c r="J17" s="11">
        <v>9</v>
      </c>
      <c r="K17" s="8">
        <f t="shared" ref="K17:K20" si="3">H17*J17</f>
        <v>11700</v>
      </c>
      <c r="L17" s="8"/>
      <c r="M17" s="11" t="s">
        <v>63</v>
      </c>
    </row>
    <row r="18" ht="60" spans="1:13">
      <c r="A18" s="11">
        <v>12</v>
      </c>
      <c r="B18" s="11" t="s">
        <v>403</v>
      </c>
      <c r="C18" s="11" t="s">
        <v>404</v>
      </c>
      <c r="D18" s="12" t="s">
        <v>405</v>
      </c>
      <c r="E18" s="11" t="s">
        <v>6</v>
      </c>
      <c r="F18" s="11" t="s">
        <v>406</v>
      </c>
      <c r="G18" s="11" t="s">
        <v>407</v>
      </c>
      <c r="H18" s="11">
        <v>1</v>
      </c>
      <c r="I18" s="11" t="s">
        <v>58</v>
      </c>
      <c r="J18" s="11">
        <v>15000</v>
      </c>
      <c r="K18" s="11">
        <f t="shared" si="3"/>
        <v>15000</v>
      </c>
      <c r="L18" s="11"/>
    </row>
    <row r="19" ht="60" spans="1:13">
      <c r="A19" s="8">
        <v>13</v>
      </c>
      <c r="B19" s="8" t="s">
        <v>408</v>
      </c>
      <c r="C19" s="8" t="s">
        <v>409</v>
      </c>
      <c r="D19" s="9" t="s">
        <v>410</v>
      </c>
      <c r="E19" s="8" t="s">
        <v>7</v>
      </c>
      <c r="F19" s="18" t="s">
        <v>411</v>
      </c>
      <c r="G19" s="18" t="s">
        <v>412</v>
      </c>
      <c r="H19" s="8">
        <v>1300</v>
      </c>
      <c r="I19" s="8" t="s">
        <v>58</v>
      </c>
      <c r="J19" s="11">
        <v>10</v>
      </c>
      <c r="K19" s="8">
        <f t="shared" si="3"/>
        <v>13000</v>
      </c>
      <c r="L19" s="8"/>
      <c r="M19" s="11" t="s">
        <v>63</v>
      </c>
    </row>
    <row r="20" ht="60" spans="1:13">
      <c r="A20" s="11">
        <v>14</v>
      </c>
      <c r="B20" s="11" t="s">
        <v>413</v>
      </c>
      <c r="C20" s="11" t="s">
        <v>414</v>
      </c>
      <c r="D20" s="12" t="s">
        <v>415</v>
      </c>
      <c r="E20" s="11" t="s">
        <v>7</v>
      </c>
      <c r="F20" s="11" t="s">
        <v>416</v>
      </c>
      <c r="G20" s="11" t="s">
        <v>417</v>
      </c>
      <c r="H20" s="8">
        <v>1300</v>
      </c>
      <c r="I20" s="11" t="s">
        <v>58</v>
      </c>
      <c r="J20" s="11">
        <v>8</v>
      </c>
      <c r="K20" s="11">
        <f t="shared" si="3"/>
        <v>10400</v>
      </c>
      <c r="L20" s="11"/>
      <c r="M20" s="11" t="s">
        <v>63</v>
      </c>
    </row>
    <row r="21" spans="1:13">
      <c r="A21" s="15" t="s">
        <v>418</v>
      </c>
      <c r="B21" s="24"/>
      <c r="C21" s="24"/>
      <c r="D21" s="16"/>
      <c r="E21" s="16"/>
      <c r="F21" s="17"/>
      <c r="G21" s="17"/>
      <c r="H21" s="17"/>
      <c r="I21" s="17"/>
      <c r="J21" s="17"/>
      <c r="K21" s="17"/>
      <c r="L21" s="17"/>
    </row>
    <row r="22" ht="60" spans="1:13">
      <c r="A22" s="8">
        <v>15</v>
      </c>
      <c r="B22" s="8" t="s">
        <v>419</v>
      </c>
      <c r="C22" s="8" t="s">
        <v>420</v>
      </c>
      <c r="D22" s="9" t="s">
        <v>421</v>
      </c>
      <c r="E22" s="8" t="s">
        <v>7</v>
      </c>
      <c r="F22" s="18" t="s">
        <v>422</v>
      </c>
      <c r="G22" s="18" t="s">
        <v>423</v>
      </c>
      <c r="H22" s="8">
        <v>1300</v>
      </c>
      <c r="I22" s="8" t="s">
        <v>58</v>
      </c>
      <c r="J22" s="8">
        <v>15</v>
      </c>
      <c r="K22" s="8">
        <f t="shared" ref="K22:K24" si="4">H22*J22</f>
        <v>19500</v>
      </c>
      <c r="L22" s="8"/>
      <c r="M22" s="11" t="s">
        <v>63</v>
      </c>
    </row>
    <row r="23" ht="60" spans="1:13">
      <c r="A23" s="11">
        <v>16</v>
      </c>
      <c r="B23" s="11" t="s">
        <v>424</v>
      </c>
      <c r="C23" s="11" t="s">
        <v>425</v>
      </c>
      <c r="D23" s="12" t="s">
        <v>426</v>
      </c>
      <c r="E23" s="11" t="s">
        <v>7</v>
      </c>
      <c r="F23" s="11" t="s">
        <v>427</v>
      </c>
      <c r="G23" s="11" t="s">
        <v>428</v>
      </c>
      <c r="H23" s="8">
        <v>1300</v>
      </c>
      <c r="I23" s="11" t="s">
        <v>58</v>
      </c>
      <c r="J23" s="11">
        <v>6</v>
      </c>
      <c r="K23" s="11">
        <f t="shared" si="4"/>
        <v>7800</v>
      </c>
      <c r="L23" s="11"/>
      <c r="M23" s="11" t="s">
        <v>63</v>
      </c>
    </row>
    <row r="24" ht="60" spans="1:13">
      <c r="A24" s="8">
        <v>17</v>
      </c>
      <c r="B24" s="8" t="s">
        <v>429</v>
      </c>
      <c r="C24" s="8" t="s">
        <v>430</v>
      </c>
      <c r="D24" s="9" t="s">
        <v>431</v>
      </c>
      <c r="E24" s="8" t="s">
        <v>7</v>
      </c>
      <c r="F24" s="18" t="s">
        <v>432</v>
      </c>
      <c r="G24" s="18" t="s">
        <v>433</v>
      </c>
      <c r="H24" s="8">
        <v>1300</v>
      </c>
      <c r="I24" s="8" t="s">
        <v>58</v>
      </c>
      <c r="J24" s="8">
        <v>6</v>
      </c>
      <c r="K24" s="8">
        <f t="shared" si="4"/>
        <v>7800</v>
      </c>
      <c r="L24" s="8"/>
      <c r="M24" s="11" t="s">
        <v>63</v>
      </c>
    </row>
    <row r="25" spans="1:13">
      <c r="A25" s="15" t="s">
        <v>434</v>
      </c>
      <c r="B25" s="24"/>
      <c r="C25" s="24"/>
      <c r="D25" s="16"/>
      <c r="E25" s="16"/>
      <c r="F25" s="17"/>
      <c r="G25" s="17"/>
      <c r="H25" s="17"/>
      <c r="I25" s="17"/>
      <c r="J25" s="17"/>
      <c r="K25" s="17"/>
      <c r="L25" s="17"/>
    </row>
    <row r="26" ht="24" spans="1:13">
      <c r="A26" s="8">
        <v>18</v>
      </c>
      <c r="B26" s="8" t="s">
        <v>435</v>
      </c>
      <c r="C26" s="8" t="s">
        <v>436</v>
      </c>
      <c r="D26" s="9" t="s">
        <v>437</v>
      </c>
      <c r="E26" s="8" t="s">
        <v>11</v>
      </c>
      <c r="F26" s="8" t="s">
        <v>11</v>
      </c>
      <c r="G26" s="8" t="s">
        <v>11</v>
      </c>
      <c r="H26" s="8" t="s">
        <v>11</v>
      </c>
      <c r="I26" s="8" t="s">
        <v>11</v>
      </c>
      <c r="J26" s="8" t="s">
        <v>11</v>
      </c>
      <c r="K26" s="8" t="s">
        <v>11</v>
      </c>
      <c r="L26" s="8"/>
    </row>
    <row r="27" spans="1:13">
      <c r="A27" s="11">
        <v>19</v>
      </c>
      <c r="B27" s="11" t="s">
        <v>438</v>
      </c>
      <c r="C27" s="11" t="s">
        <v>439</v>
      </c>
      <c r="D27" s="12" t="s">
        <v>440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1" t="s">
        <v>11</v>
      </c>
      <c r="K27" s="11" t="s">
        <v>11</v>
      </c>
      <c r="L27" s="11"/>
    </row>
    <row r="28" ht="24" spans="1:13">
      <c r="A28" s="8">
        <v>20</v>
      </c>
      <c r="B28" s="8" t="s">
        <v>441</v>
      </c>
      <c r="C28" s="8" t="s">
        <v>442</v>
      </c>
      <c r="D28" s="9" t="s">
        <v>443</v>
      </c>
      <c r="E28" s="8" t="s">
        <v>11</v>
      </c>
      <c r="F28" s="8" t="s">
        <v>11</v>
      </c>
      <c r="G28" s="8" t="s">
        <v>11</v>
      </c>
      <c r="H28" s="8" t="s">
        <v>11</v>
      </c>
      <c r="I28" s="8" t="s">
        <v>11</v>
      </c>
      <c r="J28" s="8" t="s">
        <v>11</v>
      </c>
      <c r="K28" s="8" t="s">
        <v>11</v>
      </c>
      <c r="L28" s="8"/>
    </row>
    <row r="29" spans="1:13">
      <c r="A29" s="23" t="s">
        <v>38</v>
      </c>
      <c r="B29" s="24"/>
      <c r="C29" s="24"/>
      <c r="D29" s="24" t="s">
        <v>39</v>
      </c>
      <c r="E29" s="25"/>
      <c r="F29" s="26"/>
      <c r="G29" s="27"/>
      <c r="H29" s="27"/>
      <c r="I29" s="27"/>
      <c r="J29" s="27"/>
      <c r="K29" s="27">
        <f>SUM(K3:K28)</f>
        <v>218200</v>
      </c>
      <c r="L29" s="27"/>
    </row>
    <row r="31" spans="1:13">
      <c r="C31" s="28" t="s">
        <v>218</v>
      </c>
      <c r="D31" s="29">
        <v>135200</v>
      </c>
    </row>
    <row r="32" spans="1:13">
      <c r="C32" s="28" t="s">
        <v>219</v>
      </c>
      <c r="D32" s="29">
        <v>83000</v>
      </c>
    </row>
  </sheetData>
  <autoFilter xmlns:etc="http://www.wps.cn/officeDocument/2017/etCustomData" ref="A1:L32" etc:filterBottomFollowUsedRange="0">
    <extLst/>
  </autoFilter>
  <mergeCells count="7">
    <mergeCell ref="A1:L1"/>
    <mergeCell ref="A3:F3"/>
    <mergeCell ref="A7:F7"/>
    <mergeCell ref="A11:F11"/>
    <mergeCell ref="A16:F16"/>
    <mergeCell ref="A21:F21"/>
    <mergeCell ref="A25:F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68" zoomScaleNormal="68" topLeftCell="B1" workbookViewId="0">
      <pane ySplit="2" topLeftCell="A12" activePane="bottomLeft" state="frozen"/>
      <selection/>
      <selection pane="bottomLeft" activeCell="C25" sqref="C25:D26"/>
    </sheetView>
  </sheetViews>
  <sheetFormatPr defaultColWidth="9" defaultRowHeight="14.4"/>
  <cols>
    <col min="1" max="1" width="4.61111111111111" customWidth="1"/>
    <col min="2" max="2" width="18.0740740740741" customWidth="1"/>
    <col min="3" max="3" width="20" customWidth="1"/>
    <col min="4" max="4" width="132.509259259259" style="1" customWidth="1"/>
    <col min="5" max="5" width="11.2777777777778" style="14" customWidth="1"/>
    <col min="6" max="7" width="20.3240740740741" style="14" customWidth="1"/>
    <col min="8" max="9" width="8.32407407407407" style="14" customWidth="1"/>
    <col min="10" max="11" width="16.3425925925926" style="14" customWidth="1"/>
    <col min="12" max="12" width="17.6481481481481" style="14" customWidth="1"/>
  </cols>
  <sheetData>
    <row r="1" spans="1:12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" spans="1:12">
      <c r="A2" s="5" t="s">
        <v>1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</row>
    <row r="3" spans="1:12">
      <c r="A3" s="15" t="s">
        <v>444</v>
      </c>
      <c r="B3" s="16"/>
      <c r="C3" s="16"/>
      <c r="D3" s="16"/>
      <c r="E3" s="16"/>
      <c r="F3" s="16"/>
      <c r="G3" s="17"/>
      <c r="H3" s="17"/>
      <c r="I3" s="17"/>
      <c r="J3" s="17"/>
      <c r="K3" s="17"/>
      <c r="L3" s="17"/>
    </row>
    <row r="4" ht="60" spans="1:12">
      <c r="A4" s="8">
        <v>1</v>
      </c>
      <c r="B4" s="8" t="s">
        <v>445</v>
      </c>
      <c r="C4" s="8" t="s">
        <v>446</v>
      </c>
      <c r="D4" s="9" t="s">
        <v>447</v>
      </c>
      <c r="E4" s="8" t="s">
        <v>7</v>
      </c>
      <c r="F4" s="18" t="s">
        <v>448</v>
      </c>
      <c r="G4" s="18" t="s">
        <v>449</v>
      </c>
      <c r="H4" s="8">
        <v>1300</v>
      </c>
      <c r="I4" s="8" t="s">
        <v>58</v>
      </c>
      <c r="J4" s="8">
        <v>10</v>
      </c>
      <c r="K4" s="8">
        <f t="shared" ref="K4:K6" si="0">H4*J4</f>
        <v>13000</v>
      </c>
      <c r="L4" s="11" t="s">
        <v>63</v>
      </c>
    </row>
    <row r="5" ht="60" spans="1:12">
      <c r="A5" s="11">
        <v>2</v>
      </c>
      <c r="B5" s="11" t="s">
        <v>450</v>
      </c>
      <c r="C5" s="11" t="s">
        <v>451</v>
      </c>
      <c r="D5" s="12" t="s">
        <v>452</v>
      </c>
      <c r="E5" s="11" t="s">
        <v>6</v>
      </c>
      <c r="F5" s="11" t="s">
        <v>453</v>
      </c>
      <c r="G5" s="11" t="s">
        <v>454</v>
      </c>
      <c r="H5" s="11">
        <v>1</v>
      </c>
      <c r="I5" s="11" t="s">
        <v>58</v>
      </c>
      <c r="J5" s="11">
        <v>15000</v>
      </c>
      <c r="K5" s="11">
        <f t="shared" si="0"/>
        <v>15000</v>
      </c>
      <c r="L5" s="11"/>
    </row>
    <row r="6" ht="48" spans="1:12">
      <c r="A6" s="8">
        <v>3</v>
      </c>
      <c r="B6" s="8" t="s">
        <v>455</v>
      </c>
      <c r="C6" s="8" t="s">
        <v>456</v>
      </c>
      <c r="D6" s="9" t="s">
        <v>457</v>
      </c>
      <c r="E6" s="8" t="s">
        <v>7</v>
      </c>
      <c r="F6" s="18" t="s">
        <v>458</v>
      </c>
      <c r="G6" s="18" t="s">
        <v>459</v>
      </c>
      <c r="H6" s="8">
        <v>1300</v>
      </c>
      <c r="I6" s="8" t="s">
        <v>58</v>
      </c>
      <c r="J6" s="8">
        <v>6</v>
      </c>
      <c r="K6" s="8">
        <f t="shared" si="0"/>
        <v>7800</v>
      </c>
      <c r="L6" s="11" t="s">
        <v>63</v>
      </c>
    </row>
    <row r="7" spans="1:12">
      <c r="A7" s="15" t="s">
        <v>460</v>
      </c>
      <c r="B7" s="16"/>
      <c r="C7" s="16"/>
      <c r="D7" s="16"/>
      <c r="E7" s="16"/>
      <c r="F7" s="16"/>
      <c r="G7" s="17"/>
      <c r="H7" s="17"/>
      <c r="I7" s="17"/>
      <c r="J7" s="17"/>
      <c r="K7" s="17"/>
      <c r="L7" s="17"/>
    </row>
    <row r="8" ht="60" spans="1:12">
      <c r="A8" s="8">
        <v>4</v>
      </c>
      <c r="B8" s="8" t="s">
        <v>461</v>
      </c>
      <c r="C8" s="8" t="s">
        <v>462</v>
      </c>
      <c r="D8" s="9" t="s">
        <v>463</v>
      </c>
      <c r="E8" s="8" t="s">
        <v>7</v>
      </c>
      <c r="F8" s="18" t="s">
        <v>464</v>
      </c>
      <c r="G8" s="18" t="s">
        <v>465</v>
      </c>
      <c r="H8" s="8">
        <v>1300</v>
      </c>
      <c r="I8" s="8" t="s">
        <v>58</v>
      </c>
      <c r="J8" s="8">
        <v>10</v>
      </c>
      <c r="K8" s="8">
        <f t="shared" ref="K8:K12" si="1">H8*J8</f>
        <v>13000</v>
      </c>
      <c r="L8" s="11" t="s">
        <v>63</v>
      </c>
    </row>
    <row r="9" ht="60" spans="1:12">
      <c r="A9" s="11">
        <v>5</v>
      </c>
      <c r="B9" s="11" t="s">
        <v>466</v>
      </c>
      <c r="C9" s="11" t="s">
        <v>467</v>
      </c>
      <c r="D9" s="12" t="s">
        <v>468</v>
      </c>
      <c r="E9" s="11" t="s">
        <v>6</v>
      </c>
      <c r="F9" s="11" t="s">
        <v>314</v>
      </c>
      <c r="G9" s="11" t="s">
        <v>469</v>
      </c>
      <c r="H9" s="11">
        <v>1</v>
      </c>
      <c r="I9" s="11" t="s">
        <v>58</v>
      </c>
      <c r="J9" s="11">
        <v>8000</v>
      </c>
      <c r="K9" s="11">
        <f t="shared" si="1"/>
        <v>8000</v>
      </c>
      <c r="L9" s="11"/>
    </row>
    <row r="10" ht="48" spans="1:12">
      <c r="A10" s="8">
        <v>6</v>
      </c>
      <c r="B10" s="8" t="s">
        <v>470</v>
      </c>
      <c r="C10" s="8" t="s">
        <v>471</v>
      </c>
      <c r="D10" s="9" t="s">
        <v>472</v>
      </c>
      <c r="E10" s="8" t="s">
        <v>7</v>
      </c>
      <c r="F10" s="18" t="s">
        <v>473</v>
      </c>
      <c r="G10" s="18" t="s">
        <v>474</v>
      </c>
      <c r="H10" s="8">
        <v>1300</v>
      </c>
      <c r="I10" s="8" t="s">
        <v>58</v>
      </c>
      <c r="J10" s="8">
        <v>6</v>
      </c>
      <c r="K10" s="8">
        <f t="shared" si="1"/>
        <v>7800</v>
      </c>
      <c r="L10" s="11" t="s">
        <v>63</v>
      </c>
    </row>
    <row r="11" ht="48" spans="1:12">
      <c r="A11" s="11">
        <v>7</v>
      </c>
      <c r="B11" s="11" t="s">
        <v>475</v>
      </c>
      <c r="C11" s="11" t="s">
        <v>476</v>
      </c>
      <c r="D11" s="12" t="s">
        <v>477</v>
      </c>
      <c r="E11" s="11" t="s">
        <v>7</v>
      </c>
      <c r="F11" s="11" t="s">
        <v>478</v>
      </c>
      <c r="G11" s="11" t="s">
        <v>479</v>
      </c>
      <c r="H11" s="8">
        <v>1300</v>
      </c>
      <c r="I11" s="11" t="s">
        <v>58</v>
      </c>
      <c r="J11" s="11">
        <v>9</v>
      </c>
      <c r="K11" s="11">
        <f t="shared" si="1"/>
        <v>11700</v>
      </c>
      <c r="L11" s="11" t="s">
        <v>63</v>
      </c>
    </row>
    <row r="12" ht="60" spans="1:12">
      <c r="A12" s="8">
        <v>8</v>
      </c>
      <c r="B12" s="8" t="s">
        <v>480</v>
      </c>
      <c r="C12" s="8" t="s">
        <v>481</v>
      </c>
      <c r="D12" s="9" t="s">
        <v>482</v>
      </c>
      <c r="E12" s="8" t="s">
        <v>6</v>
      </c>
      <c r="F12" s="18" t="s">
        <v>483</v>
      </c>
      <c r="G12" s="18" t="s">
        <v>484</v>
      </c>
      <c r="H12" s="8">
        <v>1</v>
      </c>
      <c r="I12" s="8" t="s">
        <v>58</v>
      </c>
      <c r="J12" s="8">
        <v>11000</v>
      </c>
      <c r="K12" s="8">
        <f t="shared" si="1"/>
        <v>11000</v>
      </c>
      <c r="L12" s="8"/>
    </row>
    <row r="13" spans="1:12">
      <c r="A13" s="15" t="s">
        <v>485</v>
      </c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</row>
    <row r="14" ht="60" spans="1:12">
      <c r="A14" s="8">
        <v>9</v>
      </c>
      <c r="B14" s="8" t="s">
        <v>486</v>
      </c>
      <c r="C14" s="8" t="s">
        <v>487</v>
      </c>
      <c r="D14" s="9" t="s">
        <v>488</v>
      </c>
      <c r="E14" s="8" t="s">
        <v>6</v>
      </c>
      <c r="F14" s="18" t="s">
        <v>489</v>
      </c>
      <c r="G14" s="18" t="s">
        <v>490</v>
      </c>
      <c r="H14" s="8">
        <v>1</v>
      </c>
      <c r="I14" s="8" t="s">
        <v>58</v>
      </c>
      <c r="J14" s="8">
        <v>5000</v>
      </c>
      <c r="K14" s="8">
        <f t="shared" ref="K14:K17" si="2">H14*J14</f>
        <v>5000</v>
      </c>
      <c r="L14" s="8"/>
    </row>
    <row r="15" ht="36" spans="1:12">
      <c r="A15" s="11">
        <v>10</v>
      </c>
      <c r="B15" s="11" t="s">
        <v>491</v>
      </c>
      <c r="C15" s="11" t="s">
        <v>492</v>
      </c>
      <c r="D15" s="12" t="s">
        <v>493</v>
      </c>
      <c r="E15" s="11" t="s">
        <v>6</v>
      </c>
      <c r="F15" s="11" t="s">
        <v>489</v>
      </c>
      <c r="G15" s="11" t="s">
        <v>494</v>
      </c>
      <c r="H15" s="11">
        <v>1</v>
      </c>
      <c r="I15" s="11" t="s">
        <v>58</v>
      </c>
      <c r="J15" s="11">
        <v>5000</v>
      </c>
      <c r="K15" s="11">
        <f t="shared" si="2"/>
        <v>5000</v>
      </c>
      <c r="L15" s="11"/>
    </row>
    <row r="16" spans="1:12">
      <c r="A16" s="15" t="s">
        <v>495</v>
      </c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</row>
    <row r="17" ht="60" spans="1:12">
      <c r="A17" s="8">
        <v>11</v>
      </c>
      <c r="B17" s="8" t="s">
        <v>496</v>
      </c>
      <c r="C17" s="8" t="s">
        <v>497</v>
      </c>
      <c r="D17" s="9" t="s">
        <v>498</v>
      </c>
      <c r="E17" s="8" t="s">
        <v>7</v>
      </c>
      <c r="F17" s="18" t="s">
        <v>499</v>
      </c>
      <c r="G17" s="18" t="s">
        <v>500</v>
      </c>
      <c r="H17" s="8">
        <v>1300</v>
      </c>
      <c r="I17" s="8" t="s">
        <v>58</v>
      </c>
      <c r="J17" s="8">
        <v>10</v>
      </c>
      <c r="K17" s="8">
        <f t="shared" si="2"/>
        <v>13000</v>
      </c>
      <c r="L17" s="11" t="s">
        <v>63</v>
      </c>
    </row>
    <row r="18" spans="1:12">
      <c r="A18" s="15" t="s">
        <v>501</v>
      </c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</row>
    <row r="19" ht="48" spans="1:12">
      <c r="A19" s="8">
        <v>12</v>
      </c>
      <c r="B19" s="8" t="s">
        <v>502</v>
      </c>
      <c r="C19" s="8" t="s">
        <v>503</v>
      </c>
      <c r="D19" s="9" t="s">
        <v>504</v>
      </c>
      <c r="E19" s="8" t="s">
        <v>7</v>
      </c>
      <c r="F19" s="18" t="s">
        <v>505</v>
      </c>
      <c r="G19" s="18" t="s">
        <v>506</v>
      </c>
      <c r="H19" s="8">
        <v>1300</v>
      </c>
      <c r="I19" s="8" t="s">
        <v>58</v>
      </c>
      <c r="J19" s="8">
        <v>4</v>
      </c>
      <c r="K19" s="8">
        <f t="shared" ref="K19:K22" si="3">H19*J19</f>
        <v>5200</v>
      </c>
      <c r="L19" s="11" t="s">
        <v>63</v>
      </c>
    </row>
    <row r="20" ht="48" spans="1:12">
      <c r="A20" s="11">
        <v>13</v>
      </c>
      <c r="B20" s="11" t="s">
        <v>507</v>
      </c>
      <c r="C20" s="11" t="s">
        <v>508</v>
      </c>
      <c r="D20" s="12" t="s">
        <v>509</v>
      </c>
      <c r="E20" s="11" t="s">
        <v>7</v>
      </c>
      <c r="F20" s="11" t="s">
        <v>505</v>
      </c>
      <c r="G20" s="11" t="s">
        <v>510</v>
      </c>
      <c r="H20" s="8">
        <v>1300</v>
      </c>
      <c r="I20" s="11" t="s">
        <v>58</v>
      </c>
      <c r="J20" s="11">
        <v>4</v>
      </c>
      <c r="K20" s="11">
        <f t="shared" si="3"/>
        <v>5200</v>
      </c>
      <c r="L20" s="11" t="s">
        <v>63</v>
      </c>
    </row>
    <row r="21" ht="48" spans="1:12">
      <c r="A21" s="8">
        <v>14</v>
      </c>
      <c r="B21" s="8" t="s">
        <v>511</v>
      </c>
      <c r="C21" s="8" t="s">
        <v>512</v>
      </c>
      <c r="D21" s="9" t="s">
        <v>513</v>
      </c>
      <c r="E21" s="8" t="s">
        <v>6</v>
      </c>
      <c r="F21" s="18" t="s">
        <v>478</v>
      </c>
      <c r="G21" s="18" t="s">
        <v>514</v>
      </c>
      <c r="H21" s="8">
        <v>1</v>
      </c>
      <c r="I21" s="8" t="s">
        <v>58</v>
      </c>
      <c r="J21" s="8">
        <v>5000</v>
      </c>
      <c r="K21" s="8">
        <f t="shared" si="3"/>
        <v>5000</v>
      </c>
      <c r="L21" s="8"/>
    </row>
    <row r="22" ht="48" spans="1:12">
      <c r="A22" s="11">
        <v>15</v>
      </c>
      <c r="B22" s="11" t="s">
        <v>515</v>
      </c>
      <c r="C22" s="11" t="s">
        <v>516</v>
      </c>
      <c r="D22" s="12" t="s">
        <v>517</v>
      </c>
      <c r="E22" s="11" t="s">
        <v>6</v>
      </c>
      <c r="F22" s="11" t="s">
        <v>518</v>
      </c>
      <c r="G22" s="11" t="s">
        <v>519</v>
      </c>
      <c r="H22" s="11">
        <v>1</v>
      </c>
      <c r="I22" s="11" t="s">
        <v>58</v>
      </c>
      <c r="J22" s="11">
        <v>5000</v>
      </c>
      <c r="K22" s="11">
        <f t="shared" si="3"/>
        <v>5000</v>
      </c>
      <c r="L22" s="11"/>
    </row>
    <row r="23" spans="1:12">
      <c r="A23" s="23" t="s">
        <v>38</v>
      </c>
      <c r="B23" s="24"/>
      <c r="C23" s="24"/>
      <c r="D23" s="24" t="s">
        <v>39</v>
      </c>
      <c r="E23" s="25"/>
      <c r="F23" s="26"/>
      <c r="G23" s="27"/>
      <c r="H23" s="27"/>
      <c r="I23" s="27"/>
      <c r="J23" s="27"/>
      <c r="K23" s="27">
        <f>SUM(K3:K22)</f>
        <v>130700</v>
      </c>
      <c r="L23" s="27"/>
    </row>
    <row r="25" spans="1:12">
      <c r="C25" s="28" t="s">
        <v>218</v>
      </c>
      <c r="D25" s="29">
        <v>76700</v>
      </c>
    </row>
    <row r="26" spans="1:12">
      <c r="C26" s="28" t="s">
        <v>219</v>
      </c>
      <c r="D26" s="29">
        <v>54000</v>
      </c>
    </row>
  </sheetData>
  <autoFilter xmlns:etc="http://www.wps.cn/officeDocument/2017/etCustomData" ref="A1:L23" etc:filterBottomFollowUsedRange="0">
    <extLst/>
  </autoFilter>
  <mergeCells count="6">
    <mergeCell ref="A1:L1"/>
    <mergeCell ref="A3:G3"/>
    <mergeCell ref="A7:G7"/>
    <mergeCell ref="A13:G13"/>
    <mergeCell ref="A16:G16"/>
    <mergeCell ref="A18:G1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71" zoomScaleNormal="71" workbookViewId="0">
      <pane ySplit="2" topLeftCell="A16" activePane="bottomLeft" state="frozen"/>
      <selection/>
      <selection pane="bottomLeft" activeCell="C29" sqref="C28:D29"/>
    </sheetView>
  </sheetViews>
  <sheetFormatPr defaultColWidth="9" defaultRowHeight="14.4"/>
  <cols>
    <col min="1" max="1" width="7" customWidth="1"/>
    <col min="2" max="2" width="22.5833333333333" customWidth="1"/>
    <col min="3" max="3" width="14.2314814814815" customWidth="1"/>
    <col min="4" max="4" width="120.805555555556" style="1" customWidth="1"/>
    <col min="5" max="7" width="13.6481481481481" style="14" customWidth="1"/>
    <col min="8" max="9" width="10.1666666666667" style="14" customWidth="1"/>
    <col min="10" max="12" width="13.6481481481481" style="14" customWidth="1"/>
  </cols>
  <sheetData>
    <row r="1" spans="1:12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5" t="s">
        <v>1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</row>
    <row r="3" spans="1:12">
      <c r="A3" s="15" t="s">
        <v>520</v>
      </c>
      <c r="B3" s="16"/>
      <c r="C3" s="16"/>
      <c r="D3" s="16"/>
      <c r="E3" s="16"/>
      <c r="F3" s="16"/>
      <c r="G3" s="17"/>
      <c r="H3" s="17"/>
      <c r="I3" s="17"/>
      <c r="J3" s="17"/>
      <c r="K3" s="17"/>
      <c r="L3" s="17"/>
    </row>
    <row r="4" ht="49" customHeight="1" spans="1:12">
      <c r="A4" s="8">
        <v>1</v>
      </c>
      <c r="B4" s="8" t="s">
        <v>521</v>
      </c>
      <c r="C4" s="8" t="s">
        <v>522</v>
      </c>
      <c r="D4" s="9" t="s">
        <v>523</v>
      </c>
      <c r="E4" s="8" t="s">
        <v>7</v>
      </c>
      <c r="F4" s="18" t="s">
        <v>524</v>
      </c>
      <c r="G4" s="18" t="s">
        <v>525</v>
      </c>
      <c r="H4" s="8">
        <v>1300</v>
      </c>
      <c r="I4" s="8" t="s">
        <v>58</v>
      </c>
      <c r="J4" s="8">
        <v>9</v>
      </c>
      <c r="K4" s="8">
        <f t="shared" ref="K4:K9" si="0">H4*J4</f>
        <v>11700</v>
      </c>
      <c r="L4" s="11" t="s">
        <v>63</v>
      </c>
    </row>
    <row r="5" ht="49" customHeight="1" spans="1:12">
      <c r="A5" s="11">
        <v>2</v>
      </c>
      <c r="B5" s="11" t="s">
        <v>526</v>
      </c>
      <c r="C5" s="11" t="s">
        <v>527</v>
      </c>
      <c r="D5" s="12" t="s">
        <v>528</v>
      </c>
      <c r="E5" s="11" t="s">
        <v>7</v>
      </c>
      <c r="F5" s="11" t="s">
        <v>529</v>
      </c>
      <c r="G5" s="11" t="s">
        <v>530</v>
      </c>
      <c r="H5" s="8">
        <v>1300</v>
      </c>
      <c r="I5" s="11" t="s">
        <v>58</v>
      </c>
      <c r="J5" s="11">
        <v>10</v>
      </c>
      <c r="K5" s="11">
        <f t="shared" si="0"/>
        <v>13000</v>
      </c>
      <c r="L5" s="11" t="s">
        <v>63</v>
      </c>
    </row>
    <row r="6" ht="49" customHeight="1" spans="1:12">
      <c r="A6" s="8">
        <v>3</v>
      </c>
      <c r="B6" s="8" t="s">
        <v>531</v>
      </c>
      <c r="C6" s="8" t="s">
        <v>532</v>
      </c>
      <c r="D6" s="9" t="s">
        <v>533</v>
      </c>
      <c r="E6" s="8" t="s">
        <v>7</v>
      </c>
      <c r="F6" s="18" t="s">
        <v>534</v>
      </c>
      <c r="G6" s="18" t="s">
        <v>535</v>
      </c>
      <c r="H6" s="8">
        <v>1300</v>
      </c>
      <c r="I6" s="8" t="s">
        <v>58</v>
      </c>
      <c r="J6" s="8">
        <v>10</v>
      </c>
      <c r="K6" s="8">
        <f t="shared" si="0"/>
        <v>13000</v>
      </c>
      <c r="L6" s="11" t="s">
        <v>63</v>
      </c>
    </row>
    <row r="7" ht="49" customHeight="1" spans="1:12">
      <c r="A7" s="11">
        <v>4</v>
      </c>
      <c r="B7" s="11" t="s">
        <v>536</v>
      </c>
      <c r="C7" s="11" t="s">
        <v>537</v>
      </c>
      <c r="D7" s="12" t="s">
        <v>538</v>
      </c>
      <c r="E7" s="11" t="s">
        <v>7</v>
      </c>
      <c r="F7" s="11" t="s">
        <v>539</v>
      </c>
      <c r="G7" s="11" t="s">
        <v>540</v>
      </c>
      <c r="H7" s="8">
        <v>1300</v>
      </c>
      <c r="I7" s="11" t="s">
        <v>58</v>
      </c>
      <c r="J7" s="11">
        <v>10</v>
      </c>
      <c r="K7" s="11">
        <f t="shared" si="0"/>
        <v>13000</v>
      </c>
      <c r="L7" s="11" t="s">
        <v>63</v>
      </c>
    </row>
    <row r="8" ht="49" customHeight="1" spans="1:12">
      <c r="A8" s="8">
        <v>5</v>
      </c>
      <c r="B8" s="8" t="s">
        <v>541</v>
      </c>
      <c r="C8" s="8" t="s">
        <v>542</v>
      </c>
      <c r="D8" s="9" t="s">
        <v>543</v>
      </c>
      <c r="E8" s="8" t="s">
        <v>7</v>
      </c>
      <c r="F8" s="18" t="s">
        <v>544</v>
      </c>
      <c r="G8" s="18" t="s">
        <v>545</v>
      </c>
      <c r="H8" s="8">
        <v>1300</v>
      </c>
      <c r="I8" s="8" t="s">
        <v>58</v>
      </c>
      <c r="J8" s="8">
        <v>19</v>
      </c>
      <c r="K8" s="8">
        <f t="shared" si="0"/>
        <v>24700</v>
      </c>
      <c r="L8" s="11" t="s">
        <v>63</v>
      </c>
    </row>
    <row r="9" ht="49" customHeight="1" spans="1:12">
      <c r="A9" s="11">
        <v>6</v>
      </c>
      <c r="B9" s="11" t="s">
        <v>546</v>
      </c>
      <c r="C9" s="11" t="s">
        <v>547</v>
      </c>
      <c r="D9" s="12" t="s">
        <v>548</v>
      </c>
      <c r="E9" s="11" t="s">
        <v>7</v>
      </c>
      <c r="F9" s="11" t="s">
        <v>549</v>
      </c>
      <c r="G9" s="11" t="s">
        <v>550</v>
      </c>
      <c r="H9" s="8">
        <v>1300</v>
      </c>
      <c r="I9" s="11" t="s">
        <v>58</v>
      </c>
      <c r="J9" s="11">
        <v>11</v>
      </c>
      <c r="K9" s="11">
        <f t="shared" si="0"/>
        <v>14300</v>
      </c>
      <c r="L9" s="11" t="s">
        <v>63</v>
      </c>
    </row>
    <row r="10" spans="1:12">
      <c r="A10" s="15" t="s">
        <v>551</v>
      </c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</row>
    <row r="11" ht="57" customHeight="1" spans="1:12">
      <c r="A11" s="8">
        <v>7</v>
      </c>
      <c r="B11" s="8" t="s">
        <v>552</v>
      </c>
      <c r="C11" s="8" t="s">
        <v>553</v>
      </c>
      <c r="D11" s="9" t="s">
        <v>554</v>
      </c>
      <c r="E11" s="8" t="s">
        <v>7</v>
      </c>
      <c r="F11" s="18" t="s">
        <v>555</v>
      </c>
      <c r="G11" s="18" t="s">
        <v>556</v>
      </c>
      <c r="H11" s="8">
        <v>1300</v>
      </c>
      <c r="I11" s="8" t="s">
        <v>58</v>
      </c>
      <c r="J11" s="8">
        <v>10</v>
      </c>
      <c r="K11" s="8">
        <f t="shared" ref="K11:K14" si="1">H11*J11</f>
        <v>13000</v>
      </c>
      <c r="L11" s="11" t="s">
        <v>63</v>
      </c>
    </row>
    <row r="12" ht="57" customHeight="1" spans="1:12">
      <c r="A12" s="11">
        <v>8</v>
      </c>
      <c r="B12" s="11" t="s">
        <v>557</v>
      </c>
      <c r="C12" s="11" t="s">
        <v>558</v>
      </c>
      <c r="D12" s="12" t="s">
        <v>559</v>
      </c>
      <c r="E12" s="11" t="s">
        <v>7</v>
      </c>
      <c r="F12" s="11" t="s">
        <v>560</v>
      </c>
      <c r="G12" s="11" t="s">
        <v>561</v>
      </c>
      <c r="H12" s="8">
        <v>1300</v>
      </c>
      <c r="I12" s="11" t="s">
        <v>58</v>
      </c>
      <c r="J12" s="11">
        <v>20</v>
      </c>
      <c r="K12" s="11">
        <f t="shared" si="1"/>
        <v>26000</v>
      </c>
      <c r="L12" s="11" t="s">
        <v>63</v>
      </c>
    </row>
    <row r="13" ht="57" customHeight="1" spans="1:12">
      <c r="A13" s="8">
        <v>9</v>
      </c>
      <c r="B13" s="8" t="s">
        <v>562</v>
      </c>
      <c r="C13" s="8" t="s">
        <v>563</v>
      </c>
      <c r="D13" s="9" t="s">
        <v>564</v>
      </c>
      <c r="E13" s="8" t="s">
        <v>7</v>
      </c>
      <c r="F13" s="18" t="s">
        <v>565</v>
      </c>
      <c r="G13" s="18" t="s">
        <v>566</v>
      </c>
      <c r="H13" s="8">
        <v>1300</v>
      </c>
      <c r="I13" s="8" t="s">
        <v>58</v>
      </c>
      <c r="J13" s="8">
        <v>15</v>
      </c>
      <c r="K13" s="8">
        <f t="shared" si="1"/>
        <v>19500</v>
      </c>
      <c r="L13" s="11" t="s">
        <v>63</v>
      </c>
    </row>
    <row r="14" ht="57" customHeight="1" spans="1:12">
      <c r="A14" s="11">
        <v>10</v>
      </c>
      <c r="B14" s="11" t="s">
        <v>567</v>
      </c>
      <c r="C14" s="11" t="s">
        <v>568</v>
      </c>
      <c r="D14" s="12" t="s">
        <v>569</v>
      </c>
      <c r="E14" s="11" t="s">
        <v>7</v>
      </c>
      <c r="F14" s="11" t="s">
        <v>570</v>
      </c>
      <c r="G14" s="11" t="s">
        <v>571</v>
      </c>
      <c r="H14" s="8">
        <v>1300</v>
      </c>
      <c r="I14" s="11" t="s">
        <v>58</v>
      </c>
      <c r="J14" s="11">
        <v>10</v>
      </c>
      <c r="K14" s="11">
        <f t="shared" si="1"/>
        <v>13000</v>
      </c>
      <c r="L14" s="11" t="s">
        <v>63</v>
      </c>
    </row>
    <row r="15" spans="1:12">
      <c r="A15" s="15" t="s">
        <v>572</v>
      </c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</row>
    <row r="16" ht="47" customHeight="1" spans="1:12">
      <c r="A16" s="8">
        <v>11</v>
      </c>
      <c r="B16" s="8" t="s">
        <v>573</v>
      </c>
      <c r="C16" s="8" t="s">
        <v>574</v>
      </c>
      <c r="D16" s="9" t="s">
        <v>575</v>
      </c>
      <c r="E16" s="8" t="s">
        <v>7</v>
      </c>
      <c r="F16" s="18" t="s">
        <v>314</v>
      </c>
      <c r="G16" s="18" t="s">
        <v>576</v>
      </c>
      <c r="H16" s="8">
        <v>1300</v>
      </c>
      <c r="I16" s="8" t="s">
        <v>58</v>
      </c>
      <c r="J16" s="8">
        <v>13</v>
      </c>
      <c r="K16" s="8">
        <f t="shared" ref="K16:K19" si="2">H16*J16</f>
        <v>16900</v>
      </c>
      <c r="L16" s="11" t="s">
        <v>63</v>
      </c>
    </row>
    <row r="17" ht="47" customHeight="1" spans="1:12">
      <c r="A17" s="11">
        <v>12</v>
      </c>
      <c r="B17" s="11" t="s">
        <v>577</v>
      </c>
      <c r="C17" s="11" t="s">
        <v>578</v>
      </c>
      <c r="D17" s="12" t="s">
        <v>579</v>
      </c>
      <c r="E17" s="11" t="s">
        <v>7</v>
      </c>
      <c r="F17" s="11" t="s">
        <v>314</v>
      </c>
      <c r="G17" s="11" t="s">
        <v>580</v>
      </c>
      <c r="H17" s="8">
        <v>1300</v>
      </c>
      <c r="I17" s="11" t="s">
        <v>58</v>
      </c>
      <c r="J17" s="11">
        <v>8</v>
      </c>
      <c r="K17" s="11">
        <f t="shared" si="2"/>
        <v>10400</v>
      </c>
      <c r="L17" s="11" t="s">
        <v>63</v>
      </c>
    </row>
    <row r="18" ht="47" customHeight="1" spans="1:12">
      <c r="A18" s="8">
        <v>13</v>
      </c>
      <c r="B18" s="8" t="s">
        <v>581</v>
      </c>
      <c r="C18" s="8" t="s">
        <v>582</v>
      </c>
      <c r="D18" s="9" t="s">
        <v>583</v>
      </c>
      <c r="E18" s="8" t="s">
        <v>7</v>
      </c>
      <c r="F18" s="18" t="s">
        <v>314</v>
      </c>
      <c r="G18" s="18" t="s">
        <v>584</v>
      </c>
      <c r="H18" s="8">
        <v>1300</v>
      </c>
      <c r="I18" s="8" t="s">
        <v>58</v>
      </c>
      <c r="J18" s="8">
        <v>10</v>
      </c>
      <c r="K18" s="8">
        <f t="shared" si="2"/>
        <v>13000</v>
      </c>
      <c r="L18" s="11" t="s">
        <v>63</v>
      </c>
    </row>
    <row r="19" ht="47" customHeight="1" spans="1:12">
      <c r="A19" s="11">
        <v>14</v>
      </c>
      <c r="B19" s="11" t="s">
        <v>585</v>
      </c>
      <c r="C19" s="11" t="s">
        <v>586</v>
      </c>
      <c r="D19" s="12" t="s">
        <v>587</v>
      </c>
      <c r="E19" s="11" t="s">
        <v>7</v>
      </c>
      <c r="F19" s="11" t="s">
        <v>588</v>
      </c>
      <c r="G19" s="11" t="s">
        <v>589</v>
      </c>
      <c r="H19" s="8">
        <v>1300</v>
      </c>
      <c r="I19" s="11" t="s">
        <v>58</v>
      </c>
      <c r="J19" s="11">
        <v>10</v>
      </c>
      <c r="K19" s="11">
        <f t="shared" si="2"/>
        <v>13000</v>
      </c>
      <c r="L19" s="11" t="s">
        <v>63</v>
      </c>
    </row>
    <row r="20" spans="1:12">
      <c r="A20" s="15" t="s">
        <v>590</v>
      </c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</row>
    <row r="21" ht="46" customHeight="1" spans="1:12">
      <c r="A21" s="8">
        <v>15</v>
      </c>
      <c r="B21" s="8" t="s">
        <v>591</v>
      </c>
      <c r="C21" s="8" t="s">
        <v>592</v>
      </c>
      <c r="D21" s="9" t="s">
        <v>593</v>
      </c>
      <c r="E21" s="8" t="s">
        <v>7</v>
      </c>
      <c r="F21" s="18" t="s">
        <v>594</v>
      </c>
      <c r="G21" s="18" t="s">
        <v>595</v>
      </c>
      <c r="H21" s="8">
        <v>1300</v>
      </c>
      <c r="I21" s="8" t="s">
        <v>58</v>
      </c>
      <c r="J21" s="8">
        <v>12</v>
      </c>
      <c r="K21" s="8">
        <f t="shared" ref="K21:K25" si="3">H21*J21</f>
        <v>15600</v>
      </c>
      <c r="L21" s="11" t="s">
        <v>63</v>
      </c>
    </row>
    <row r="22" ht="46" customHeight="1" spans="1:12">
      <c r="A22" s="11">
        <v>16</v>
      </c>
      <c r="B22" s="11" t="s">
        <v>596</v>
      </c>
      <c r="C22" s="11" t="s">
        <v>597</v>
      </c>
      <c r="D22" s="12" t="s">
        <v>598</v>
      </c>
      <c r="E22" s="11" t="s">
        <v>7</v>
      </c>
      <c r="F22" s="11" t="s">
        <v>599</v>
      </c>
      <c r="G22" s="11" t="s">
        <v>600</v>
      </c>
      <c r="H22" s="8">
        <v>1300</v>
      </c>
      <c r="I22" s="11" t="s">
        <v>58</v>
      </c>
      <c r="J22" s="11">
        <v>13</v>
      </c>
      <c r="K22" s="11">
        <f t="shared" si="3"/>
        <v>16900</v>
      </c>
      <c r="L22" s="11" t="s">
        <v>63</v>
      </c>
    </row>
    <row r="23" ht="46" customHeight="1" spans="1:12">
      <c r="A23" s="8">
        <v>17</v>
      </c>
      <c r="B23" s="8" t="s">
        <v>601</v>
      </c>
      <c r="C23" s="8" t="s">
        <v>602</v>
      </c>
      <c r="D23" s="9" t="s">
        <v>603</v>
      </c>
      <c r="E23" s="8" t="s">
        <v>7</v>
      </c>
      <c r="F23" s="18" t="s">
        <v>604</v>
      </c>
      <c r="G23" s="18" t="s">
        <v>605</v>
      </c>
      <c r="H23" s="8">
        <v>1300</v>
      </c>
      <c r="I23" s="8" t="s">
        <v>58</v>
      </c>
      <c r="J23" s="8">
        <v>25</v>
      </c>
      <c r="K23" s="8">
        <f t="shared" si="3"/>
        <v>32500</v>
      </c>
      <c r="L23" s="11" t="s">
        <v>63</v>
      </c>
    </row>
    <row r="24" ht="46" customHeight="1" spans="1:12">
      <c r="A24" s="11">
        <v>18</v>
      </c>
      <c r="B24" s="11" t="s">
        <v>606</v>
      </c>
      <c r="C24" s="11" t="s">
        <v>607</v>
      </c>
      <c r="D24" s="12" t="s">
        <v>608</v>
      </c>
      <c r="E24" s="11" t="s">
        <v>7</v>
      </c>
      <c r="F24" s="11" t="s">
        <v>609</v>
      </c>
      <c r="G24" s="11" t="s">
        <v>610</v>
      </c>
      <c r="H24" s="8">
        <v>1300</v>
      </c>
      <c r="I24" s="11" t="s">
        <v>58</v>
      </c>
      <c r="J24" s="11">
        <v>15</v>
      </c>
      <c r="K24" s="11">
        <f t="shared" si="3"/>
        <v>19500</v>
      </c>
      <c r="L24" s="11" t="s">
        <v>63</v>
      </c>
    </row>
    <row r="25" ht="46" customHeight="1" spans="1:12">
      <c r="A25" s="8">
        <v>19</v>
      </c>
      <c r="B25" s="8" t="s">
        <v>611</v>
      </c>
      <c r="C25" s="8" t="s">
        <v>612</v>
      </c>
      <c r="D25" s="9" t="s">
        <v>613</v>
      </c>
      <c r="E25" s="8" t="s">
        <v>7</v>
      </c>
      <c r="F25" s="18" t="s">
        <v>614</v>
      </c>
      <c r="G25" s="18" t="s">
        <v>615</v>
      </c>
      <c r="H25" s="8">
        <v>1300</v>
      </c>
      <c r="I25" s="8" t="s">
        <v>58</v>
      </c>
      <c r="J25" s="8">
        <v>9</v>
      </c>
      <c r="K25" s="8">
        <f t="shared" si="3"/>
        <v>11700</v>
      </c>
      <c r="L25" s="11" t="s">
        <v>63</v>
      </c>
    </row>
    <row r="26" spans="1:12">
      <c r="A26" s="23" t="s">
        <v>38</v>
      </c>
      <c r="B26" s="24"/>
      <c r="C26" s="24"/>
      <c r="D26" s="24" t="s">
        <v>39</v>
      </c>
      <c r="E26" s="25"/>
      <c r="F26" s="26"/>
      <c r="G26" s="27"/>
      <c r="H26" s="27"/>
      <c r="I26" s="27"/>
      <c r="J26" s="27"/>
      <c r="K26" s="27">
        <f>SUM(K3:K25)</f>
        <v>310700</v>
      </c>
      <c r="L26" s="27"/>
    </row>
    <row r="28" spans="1:12">
      <c r="C28" s="28" t="s">
        <v>218</v>
      </c>
      <c r="D28" s="29">
        <v>310700</v>
      </c>
    </row>
    <row r="29" spans="1:12">
      <c r="C29" s="28" t="s">
        <v>219</v>
      </c>
      <c r="D29" s="29">
        <v>0</v>
      </c>
    </row>
  </sheetData>
  <autoFilter xmlns:etc="http://www.wps.cn/officeDocument/2017/etCustomData" ref="A1:L32" etc:filterBottomFollowUsedRange="0">
    <extLst/>
  </autoFilter>
  <mergeCells count="5">
    <mergeCell ref="A1:L1"/>
    <mergeCell ref="A3:G3"/>
    <mergeCell ref="A10:G10"/>
    <mergeCell ref="A15:G15"/>
    <mergeCell ref="A20:G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70" zoomScaleNormal="70" workbookViewId="0">
      <pane ySplit="2" topLeftCell="A10" activePane="bottomLeft" state="frozen"/>
      <selection/>
      <selection pane="bottomLeft" activeCell="D26" sqref="D25:D26"/>
    </sheetView>
  </sheetViews>
  <sheetFormatPr defaultColWidth="9" defaultRowHeight="14.4"/>
  <cols>
    <col min="1" max="1" width="4.61111111111111" customWidth="1"/>
    <col min="2" max="2" width="8.46296296296296" customWidth="1"/>
    <col min="3" max="3" width="18.0740740740741" customWidth="1"/>
    <col min="4" max="4" width="134.611111111111" style="1" customWidth="1"/>
    <col min="5" max="7" width="15.6944444444444" style="14" customWidth="1"/>
    <col min="8" max="9" width="8.25" style="14" customWidth="1"/>
    <col min="10" max="12" width="15.6944444444444" style="14" customWidth="1"/>
  </cols>
  <sheetData>
    <row r="1" spans="1:12">
      <c r="A1" s="2" t="s">
        <v>616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</row>
    <row r="2" ht="24" spans="1:12">
      <c r="A2" s="5" t="s">
        <v>1</v>
      </c>
      <c r="B2" s="5" t="s">
        <v>41</v>
      </c>
      <c r="C2" s="5" t="s">
        <v>42</v>
      </c>
      <c r="D2" s="6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</row>
    <row r="3" spans="1:12">
      <c r="A3" s="15" t="s">
        <v>617</v>
      </c>
      <c r="B3" s="16"/>
      <c r="C3" s="16"/>
      <c r="D3" s="16"/>
      <c r="E3" s="16"/>
      <c r="F3" s="17"/>
      <c r="G3" s="17"/>
      <c r="H3" s="17"/>
      <c r="I3" s="17"/>
      <c r="J3" s="17"/>
      <c r="K3" s="17"/>
      <c r="L3" s="17"/>
    </row>
    <row r="4" ht="84" spans="1:12">
      <c r="A4" s="8">
        <v>1</v>
      </c>
      <c r="B4" s="8" t="s">
        <v>618</v>
      </c>
      <c r="C4" s="8" t="s">
        <v>619</v>
      </c>
      <c r="D4" s="9" t="s">
        <v>620</v>
      </c>
      <c r="E4" s="8" t="s">
        <v>7</v>
      </c>
      <c r="F4" s="18" t="s">
        <v>621</v>
      </c>
      <c r="G4" s="18" t="s">
        <v>622</v>
      </c>
      <c r="H4" s="8">
        <v>1300</v>
      </c>
      <c r="I4" s="8" t="s">
        <v>58</v>
      </c>
      <c r="J4" s="8">
        <v>8</v>
      </c>
      <c r="K4" s="8">
        <f t="shared" ref="K4:K9" si="0">H4*J4</f>
        <v>10400</v>
      </c>
      <c r="L4" s="19" t="s">
        <v>623</v>
      </c>
    </row>
    <row r="5" ht="72" spans="1:12">
      <c r="A5" s="11">
        <v>2</v>
      </c>
      <c r="B5" s="11" t="s">
        <v>618</v>
      </c>
      <c r="C5" s="11" t="s">
        <v>624</v>
      </c>
      <c r="D5" s="12" t="s">
        <v>625</v>
      </c>
      <c r="E5" s="11" t="s">
        <v>7</v>
      </c>
      <c r="F5" s="11" t="s">
        <v>626</v>
      </c>
      <c r="G5" s="11" t="s">
        <v>627</v>
      </c>
      <c r="H5" s="8">
        <v>1300</v>
      </c>
      <c r="I5" s="11" t="s">
        <v>58</v>
      </c>
      <c r="J5" s="11">
        <v>3</v>
      </c>
      <c r="K5" s="11">
        <f t="shared" si="0"/>
        <v>3900</v>
      </c>
      <c r="L5" s="20"/>
    </row>
    <row r="6" ht="60" spans="1:12">
      <c r="A6" s="8">
        <v>3</v>
      </c>
      <c r="B6" s="8" t="s">
        <v>618</v>
      </c>
      <c r="C6" s="8" t="s">
        <v>628</v>
      </c>
      <c r="D6" s="9" t="s">
        <v>629</v>
      </c>
      <c r="E6" s="8" t="s">
        <v>7</v>
      </c>
      <c r="F6" s="18" t="s">
        <v>630</v>
      </c>
      <c r="G6" s="18" t="s">
        <v>631</v>
      </c>
      <c r="H6" s="8">
        <v>1300</v>
      </c>
      <c r="I6" s="8" t="s">
        <v>58</v>
      </c>
      <c r="J6" s="11">
        <v>3</v>
      </c>
      <c r="K6" s="8">
        <f t="shared" si="0"/>
        <v>3900</v>
      </c>
      <c r="L6" s="21"/>
    </row>
    <row r="7" ht="60" spans="1:12">
      <c r="A7" s="11">
        <v>4</v>
      </c>
      <c r="B7" s="11" t="s">
        <v>618</v>
      </c>
      <c r="C7" s="11" t="s">
        <v>632</v>
      </c>
      <c r="D7" s="12" t="s">
        <v>633</v>
      </c>
      <c r="E7" s="11" t="s">
        <v>7</v>
      </c>
      <c r="F7" s="11" t="s">
        <v>634</v>
      </c>
      <c r="G7" s="11" t="s">
        <v>635</v>
      </c>
      <c r="H7" s="8">
        <v>1300</v>
      </c>
      <c r="I7" s="11" t="s">
        <v>58</v>
      </c>
      <c r="J7" s="11">
        <v>3</v>
      </c>
      <c r="K7" s="11">
        <f t="shared" si="0"/>
        <v>3900</v>
      </c>
      <c r="L7" s="20"/>
    </row>
    <row r="8" ht="60" spans="1:12">
      <c r="A8" s="8">
        <v>5</v>
      </c>
      <c r="B8" s="8" t="s">
        <v>618</v>
      </c>
      <c r="C8" s="8" t="s">
        <v>636</v>
      </c>
      <c r="D8" s="9" t="s">
        <v>637</v>
      </c>
      <c r="E8" s="8" t="s">
        <v>7</v>
      </c>
      <c r="F8" s="18" t="s">
        <v>638</v>
      </c>
      <c r="G8" s="18" t="s">
        <v>639</v>
      </c>
      <c r="H8" s="8">
        <v>1300</v>
      </c>
      <c r="I8" s="8" t="s">
        <v>58</v>
      </c>
      <c r="J8" s="11">
        <v>3</v>
      </c>
      <c r="K8" s="8">
        <f t="shared" si="0"/>
        <v>3900</v>
      </c>
      <c r="L8" s="21"/>
    </row>
    <row r="9" ht="60" spans="1:12">
      <c r="A9" s="11">
        <v>6</v>
      </c>
      <c r="B9" s="11" t="s">
        <v>618</v>
      </c>
      <c r="C9" s="11" t="s">
        <v>640</v>
      </c>
      <c r="D9" s="12" t="s">
        <v>641</v>
      </c>
      <c r="E9" s="11" t="s">
        <v>7</v>
      </c>
      <c r="F9" s="11" t="s">
        <v>642</v>
      </c>
      <c r="G9" s="11" t="s">
        <v>643</v>
      </c>
      <c r="H9" s="8">
        <v>1300</v>
      </c>
      <c r="I9" s="11" t="s">
        <v>58</v>
      </c>
      <c r="J9" s="11">
        <v>3</v>
      </c>
      <c r="K9" s="11">
        <f t="shared" si="0"/>
        <v>3900</v>
      </c>
      <c r="L9" s="22"/>
    </row>
    <row r="10" spans="1:12">
      <c r="A10" s="15" t="s">
        <v>644</v>
      </c>
      <c r="B10" s="16"/>
      <c r="C10" s="16"/>
      <c r="D10" s="16"/>
      <c r="E10" s="16"/>
      <c r="F10" s="17"/>
      <c r="G10" s="17"/>
      <c r="H10" s="17"/>
      <c r="I10" s="17"/>
      <c r="J10" s="17"/>
      <c r="K10" s="17"/>
      <c r="L10" s="17"/>
    </row>
    <row r="11" spans="1:12">
      <c r="A11" s="8">
        <v>7</v>
      </c>
      <c r="B11" s="8" t="s">
        <v>645</v>
      </c>
      <c r="C11" s="8" t="s">
        <v>327</v>
      </c>
      <c r="D11" s="9" t="s">
        <v>646</v>
      </c>
      <c r="E11" s="8" t="s">
        <v>6</v>
      </c>
      <c r="F11" s="8" t="s">
        <v>11</v>
      </c>
      <c r="G11" s="8" t="s">
        <v>11</v>
      </c>
      <c r="H11" s="8">
        <v>1</v>
      </c>
      <c r="I11" s="8" t="s">
        <v>58</v>
      </c>
      <c r="J11" s="11">
        <v>2000</v>
      </c>
      <c r="K11" s="8">
        <f t="shared" ref="K11:K15" si="1">H11*J11</f>
        <v>2000</v>
      </c>
      <c r="L11" s="8"/>
    </row>
    <row r="12" spans="1:12">
      <c r="A12" s="11">
        <v>8</v>
      </c>
      <c r="B12" s="11" t="s">
        <v>645</v>
      </c>
      <c r="C12" s="11" t="s">
        <v>647</v>
      </c>
      <c r="D12" s="12" t="s">
        <v>648</v>
      </c>
      <c r="E12" s="11" t="s">
        <v>6</v>
      </c>
      <c r="F12" s="11" t="s">
        <v>11</v>
      </c>
      <c r="G12" s="11" t="s">
        <v>11</v>
      </c>
      <c r="H12" s="11">
        <v>1</v>
      </c>
      <c r="I12" s="11" t="s">
        <v>58</v>
      </c>
      <c r="J12" s="11">
        <v>2000</v>
      </c>
      <c r="K12" s="11">
        <f t="shared" si="1"/>
        <v>2000</v>
      </c>
      <c r="L12" s="11"/>
    </row>
    <row r="13" spans="1:12">
      <c r="A13" s="15" t="s">
        <v>649</v>
      </c>
      <c r="B13" s="16"/>
      <c r="C13" s="16"/>
      <c r="D13" s="16"/>
      <c r="E13" s="16"/>
      <c r="F13" s="17"/>
      <c r="G13" s="17"/>
      <c r="H13" s="17"/>
      <c r="I13" s="17"/>
      <c r="J13" s="17"/>
      <c r="K13" s="17"/>
      <c r="L13" s="17"/>
    </row>
    <row r="14" ht="24" spans="1:12">
      <c r="A14" s="8">
        <v>9</v>
      </c>
      <c r="B14" s="8" t="s">
        <v>650</v>
      </c>
      <c r="C14" s="8" t="s">
        <v>651</v>
      </c>
      <c r="D14" s="9" t="s">
        <v>652</v>
      </c>
      <c r="E14" s="8" t="s">
        <v>7</v>
      </c>
      <c r="F14" s="8" t="s">
        <v>11</v>
      </c>
      <c r="G14" s="8" t="s">
        <v>11</v>
      </c>
      <c r="H14" s="8">
        <v>1300</v>
      </c>
      <c r="I14" s="8" t="s">
        <v>58</v>
      </c>
      <c r="J14" s="8">
        <v>8</v>
      </c>
      <c r="K14" s="8">
        <f t="shared" si="1"/>
        <v>10400</v>
      </c>
      <c r="L14" s="8" t="s">
        <v>63</v>
      </c>
    </row>
    <row r="15" spans="1:12">
      <c r="A15" s="11">
        <v>10</v>
      </c>
      <c r="B15" s="11" t="s">
        <v>650</v>
      </c>
      <c r="C15" s="11" t="s">
        <v>653</v>
      </c>
      <c r="D15" s="12" t="s">
        <v>654</v>
      </c>
      <c r="E15" s="11" t="s">
        <v>6</v>
      </c>
      <c r="F15" s="11" t="s">
        <v>11</v>
      </c>
      <c r="G15" s="11" t="s">
        <v>11</v>
      </c>
      <c r="H15" s="11">
        <v>1</v>
      </c>
      <c r="I15" s="11" t="s">
        <v>58</v>
      </c>
      <c r="J15" s="11">
        <v>20000</v>
      </c>
      <c r="K15" s="11">
        <f t="shared" si="1"/>
        <v>20000</v>
      </c>
      <c r="L15" s="11"/>
    </row>
    <row r="16" spans="1:12">
      <c r="A16" s="15" t="s">
        <v>655</v>
      </c>
      <c r="B16" s="16"/>
      <c r="C16" s="16"/>
      <c r="D16" s="16"/>
      <c r="E16" s="16"/>
      <c r="F16" s="17"/>
      <c r="G16" s="17"/>
      <c r="H16" s="17"/>
      <c r="I16" s="17"/>
      <c r="J16" s="17"/>
      <c r="K16" s="17"/>
      <c r="L16" s="17"/>
    </row>
    <row r="17" ht="36" spans="1:12">
      <c r="A17" s="8">
        <v>11</v>
      </c>
      <c r="B17" s="8" t="s">
        <v>656</v>
      </c>
      <c r="C17" s="8" t="s">
        <v>657</v>
      </c>
      <c r="D17" s="9" t="s">
        <v>658</v>
      </c>
      <c r="E17" s="8" t="s">
        <v>7</v>
      </c>
      <c r="F17" s="8" t="s">
        <v>11</v>
      </c>
      <c r="G17" s="8" t="s">
        <v>11</v>
      </c>
      <c r="H17" s="8">
        <v>1300</v>
      </c>
      <c r="I17" s="8" t="s">
        <v>58</v>
      </c>
      <c r="J17" s="8">
        <v>9</v>
      </c>
      <c r="K17" s="8">
        <f t="shared" ref="K17:K19" si="2">H17*J17</f>
        <v>11700</v>
      </c>
      <c r="L17" s="8" t="s">
        <v>659</v>
      </c>
    </row>
    <row r="18" spans="1:12">
      <c r="A18" s="11">
        <v>12</v>
      </c>
      <c r="B18" s="11" t="s">
        <v>656</v>
      </c>
      <c r="C18" s="11" t="s">
        <v>660</v>
      </c>
      <c r="D18" s="12" t="s">
        <v>661</v>
      </c>
      <c r="E18" s="11" t="s">
        <v>6</v>
      </c>
      <c r="F18" s="11" t="s">
        <v>11</v>
      </c>
      <c r="G18" s="11" t="s">
        <v>11</v>
      </c>
      <c r="H18" s="11">
        <v>1</v>
      </c>
      <c r="I18" s="11" t="s">
        <v>58</v>
      </c>
      <c r="J18" s="11">
        <v>8000</v>
      </c>
      <c r="K18" s="11">
        <f t="shared" si="2"/>
        <v>8000</v>
      </c>
      <c r="L18" s="11"/>
    </row>
    <row r="19" spans="1:12">
      <c r="A19" s="8">
        <v>13</v>
      </c>
      <c r="B19" s="8" t="s">
        <v>656</v>
      </c>
      <c r="C19" s="8" t="s">
        <v>662</v>
      </c>
      <c r="D19" s="9" t="s">
        <v>663</v>
      </c>
      <c r="E19" s="8" t="s">
        <v>7</v>
      </c>
      <c r="F19" s="8" t="s">
        <v>11</v>
      </c>
      <c r="G19" s="8" t="s">
        <v>11</v>
      </c>
      <c r="H19" s="8">
        <v>1300</v>
      </c>
      <c r="I19" s="8" t="s">
        <v>58</v>
      </c>
      <c r="J19" s="8">
        <v>7</v>
      </c>
      <c r="K19" s="8">
        <f t="shared" si="2"/>
        <v>9100</v>
      </c>
      <c r="L19" s="8"/>
    </row>
    <row r="20" spans="1:12">
      <c r="A20" s="15" t="s">
        <v>664</v>
      </c>
      <c r="B20" s="16"/>
      <c r="C20" s="16"/>
      <c r="D20" s="16"/>
      <c r="E20" s="16"/>
      <c r="F20" s="17"/>
      <c r="G20" s="17"/>
      <c r="H20" s="17"/>
      <c r="I20" s="17"/>
      <c r="J20" s="17"/>
      <c r="K20" s="17"/>
      <c r="L20" s="17"/>
    </row>
    <row r="21" ht="24" spans="1:12">
      <c r="A21" s="8">
        <v>14</v>
      </c>
      <c r="B21" s="8" t="s">
        <v>665</v>
      </c>
      <c r="C21" s="8" t="s">
        <v>666</v>
      </c>
      <c r="D21" s="9" t="s">
        <v>667</v>
      </c>
      <c r="E21" s="8" t="s">
        <v>7</v>
      </c>
      <c r="F21" s="8" t="s">
        <v>11</v>
      </c>
      <c r="G21" s="8" t="s">
        <v>11</v>
      </c>
      <c r="H21" s="8">
        <v>1</v>
      </c>
      <c r="I21" s="8" t="s">
        <v>58</v>
      </c>
      <c r="J21" s="8">
        <v>0</v>
      </c>
      <c r="K21" s="8">
        <f>H21*J21</f>
        <v>0</v>
      </c>
      <c r="L21" s="11" t="s">
        <v>668</v>
      </c>
    </row>
    <row r="22" spans="1:12">
      <c r="A22" s="11">
        <v>15</v>
      </c>
      <c r="B22" s="11" t="s">
        <v>665</v>
      </c>
      <c r="C22" s="11" t="s">
        <v>669</v>
      </c>
      <c r="D22" s="12" t="s">
        <v>670</v>
      </c>
      <c r="E22" s="11" t="s">
        <v>7</v>
      </c>
      <c r="F22" s="11" t="s">
        <v>11</v>
      </c>
      <c r="G22" s="11" t="s">
        <v>11</v>
      </c>
      <c r="H22" s="11">
        <v>1</v>
      </c>
      <c r="I22" s="11" t="s">
        <v>58</v>
      </c>
      <c r="J22" s="11">
        <v>0</v>
      </c>
      <c r="K22" s="11">
        <f>H22*J22</f>
        <v>0</v>
      </c>
      <c r="L22" s="11" t="s">
        <v>668</v>
      </c>
    </row>
    <row r="23" spans="1:12">
      <c r="A23" s="23" t="s">
        <v>38</v>
      </c>
      <c r="B23" s="24"/>
      <c r="C23" s="24"/>
      <c r="D23" s="24" t="s">
        <v>39</v>
      </c>
      <c r="E23" s="25"/>
      <c r="F23" s="26"/>
      <c r="G23" s="27"/>
      <c r="H23" s="27"/>
      <c r="I23" s="27"/>
      <c r="J23" s="27"/>
      <c r="K23" s="27">
        <f>SUM(K4:K22)</f>
        <v>93100</v>
      </c>
      <c r="L23" s="27"/>
    </row>
    <row r="25" spans="1:12">
      <c r="C25" s="28" t="s">
        <v>218</v>
      </c>
      <c r="D25" s="29">
        <v>61100</v>
      </c>
    </row>
    <row r="26" spans="1:12">
      <c r="C26" s="28" t="s">
        <v>219</v>
      </c>
      <c r="D26" s="29">
        <v>32000</v>
      </c>
    </row>
  </sheetData>
  <autoFilter xmlns:etc="http://www.wps.cn/officeDocument/2017/etCustomData" ref="A1:L23" etc:filterBottomFollowUsedRange="0">
    <extLst/>
  </autoFilter>
  <mergeCells count="7">
    <mergeCell ref="A1:D1"/>
    <mergeCell ref="A3:F3"/>
    <mergeCell ref="A10:F10"/>
    <mergeCell ref="A13:F13"/>
    <mergeCell ref="A16:F16"/>
    <mergeCell ref="A20:F20"/>
    <mergeCell ref="L4:L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pane ySplit="2" topLeftCell="A3" activePane="bottomLeft" state="frozen"/>
      <selection/>
      <selection pane="bottomLeft" activeCell="D19" sqref="D19"/>
    </sheetView>
  </sheetViews>
  <sheetFormatPr defaultColWidth="9" defaultRowHeight="14.4" outlineLevelCol="5"/>
  <cols>
    <col min="1" max="1" width="4.61111111111111" customWidth="1"/>
    <col min="2" max="2" width="14.2314814814815" customWidth="1"/>
    <col min="3" max="3" width="15.3888888888889" customWidth="1"/>
    <col min="4" max="4" width="103.666666666667" style="1" customWidth="1"/>
    <col min="5" max="5" width="13.1481481481481" style="14" customWidth="1"/>
    <col min="6" max="6" width="26.4351851851852" style="14" customWidth="1"/>
  </cols>
  <sheetData>
    <row r="1" spans="1:6">
      <c r="A1" s="2" t="s">
        <v>30</v>
      </c>
      <c r="B1" s="2"/>
      <c r="C1" s="2"/>
      <c r="D1" s="2"/>
      <c r="E1" s="2"/>
      <c r="F1" s="2"/>
    </row>
    <row r="2" ht="24" spans="1:6">
      <c r="A2" s="5" t="s">
        <v>1</v>
      </c>
      <c r="B2" s="5" t="s">
        <v>671</v>
      </c>
      <c r="C2" s="5" t="s">
        <v>672</v>
      </c>
      <c r="D2" s="6" t="s">
        <v>673</v>
      </c>
      <c r="E2" s="5" t="s">
        <v>674</v>
      </c>
      <c r="F2" s="5" t="s">
        <v>675</v>
      </c>
    </row>
    <row r="3" spans="1:6">
      <c r="A3" s="8">
        <v>1</v>
      </c>
      <c r="B3" s="7" t="s">
        <v>676</v>
      </c>
      <c r="C3" s="8" t="s">
        <v>677</v>
      </c>
      <c r="D3" s="9" t="s">
        <v>678</v>
      </c>
      <c r="E3" s="8" t="s">
        <v>679</v>
      </c>
      <c r="F3" s="8"/>
    </row>
    <row r="4" spans="1:6">
      <c r="A4" s="11">
        <v>2</v>
      </c>
      <c r="B4" s="10" t="s">
        <v>676</v>
      </c>
      <c r="C4" s="11" t="s">
        <v>680</v>
      </c>
      <c r="D4" s="12" t="s">
        <v>681</v>
      </c>
      <c r="E4" s="11" t="s">
        <v>679</v>
      </c>
      <c r="F4" s="11"/>
    </row>
    <row r="5" spans="1:6">
      <c r="A5" s="8">
        <v>3</v>
      </c>
      <c r="B5" s="7" t="s">
        <v>682</v>
      </c>
      <c r="C5" s="8" t="s">
        <v>683</v>
      </c>
      <c r="D5" s="9" t="s">
        <v>684</v>
      </c>
      <c r="E5" s="8" t="s">
        <v>679</v>
      </c>
      <c r="F5" s="8"/>
    </row>
    <row r="6" ht="24" spans="1:6">
      <c r="A6" s="11">
        <v>4</v>
      </c>
      <c r="B6" s="10" t="s">
        <v>685</v>
      </c>
      <c r="C6" s="11" t="s">
        <v>686</v>
      </c>
      <c r="D6" s="12" t="s">
        <v>687</v>
      </c>
      <c r="E6" s="11" t="s">
        <v>679</v>
      </c>
      <c r="F6" s="11"/>
    </row>
    <row r="7" spans="1:6">
      <c r="A7" s="8">
        <v>5</v>
      </c>
      <c r="B7" s="7" t="s">
        <v>685</v>
      </c>
      <c r="C7" s="8" t="s">
        <v>688</v>
      </c>
      <c r="D7" s="9" t="s">
        <v>689</v>
      </c>
      <c r="E7" s="8" t="s">
        <v>679</v>
      </c>
      <c r="F7" s="8"/>
    </row>
    <row r="8" ht="24" spans="1:6">
      <c r="A8" s="11">
        <v>6</v>
      </c>
      <c r="B8" s="10" t="s">
        <v>690</v>
      </c>
      <c r="C8" s="11" t="s">
        <v>691</v>
      </c>
      <c r="D8" s="12" t="s">
        <v>692</v>
      </c>
      <c r="E8" s="11" t="s">
        <v>679</v>
      </c>
      <c r="F8" s="11"/>
    </row>
    <row r="9" spans="1:6">
      <c r="A9" s="8">
        <v>7</v>
      </c>
      <c r="B9" s="7" t="s">
        <v>693</v>
      </c>
      <c r="C9" s="8" t="s">
        <v>694</v>
      </c>
      <c r="D9" s="9" t="s">
        <v>695</v>
      </c>
      <c r="E9" s="8" t="s">
        <v>679</v>
      </c>
      <c r="F9" s="8"/>
    </row>
    <row r="10" ht="24" spans="1:6">
      <c r="A10" s="11">
        <v>8</v>
      </c>
      <c r="B10" s="10" t="s">
        <v>693</v>
      </c>
      <c r="C10" s="11" t="s">
        <v>696</v>
      </c>
      <c r="D10" s="12" t="s">
        <v>697</v>
      </c>
      <c r="E10" s="11" t="s">
        <v>679</v>
      </c>
      <c r="F10" s="11"/>
    </row>
    <row r="11" ht="24" spans="1:6">
      <c r="A11" s="8">
        <v>9</v>
      </c>
      <c r="B11" s="7" t="s">
        <v>693</v>
      </c>
      <c r="C11" s="8" t="s">
        <v>698</v>
      </c>
      <c r="D11" s="9" t="s">
        <v>699</v>
      </c>
      <c r="E11" s="8" t="s">
        <v>679</v>
      </c>
      <c r="F11" s="8"/>
    </row>
    <row r="12" ht="24" spans="1:6">
      <c r="A12" s="11">
        <v>10</v>
      </c>
      <c r="B12" s="10" t="s">
        <v>693</v>
      </c>
      <c r="C12" s="11" t="s">
        <v>700</v>
      </c>
      <c r="D12" s="12" t="s">
        <v>701</v>
      </c>
      <c r="E12" s="11" t="s">
        <v>679</v>
      </c>
      <c r="F12" s="11"/>
    </row>
    <row r="13" spans="1:6">
      <c r="A13" s="8">
        <v>11</v>
      </c>
      <c r="B13" s="7" t="s">
        <v>702</v>
      </c>
      <c r="C13" s="8" t="s">
        <v>703</v>
      </c>
      <c r="D13" s="9" t="s">
        <v>704</v>
      </c>
      <c r="E13" s="8" t="s">
        <v>679</v>
      </c>
      <c r="F13" s="8"/>
    </row>
    <row r="14" spans="1:6">
      <c r="A14" s="11">
        <v>12</v>
      </c>
      <c r="B14" s="10" t="s">
        <v>702</v>
      </c>
      <c r="C14" s="11" t="s">
        <v>705</v>
      </c>
      <c r="D14" s="12" t="s">
        <v>706</v>
      </c>
      <c r="E14" s="11" t="s">
        <v>679</v>
      </c>
      <c r="F14" s="11"/>
    </row>
    <row r="15" spans="1:6">
      <c r="A15" s="8">
        <v>13</v>
      </c>
      <c r="B15" s="7" t="s">
        <v>702</v>
      </c>
      <c r="C15" s="8" t="s">
        <v>707</v>
      </c>
      <c r="D15" s="9" t="s">
        <v>708</v>
      </c>
      <c r="E15" s="8" t="s">
        <v>679</v>
      </c>
      <c r="F15" s="8"/>
    </row>
    <row r="16" spans="1:6">
      <c r="A16" s="11">
        <v>14</v>
      </c>
      <c r="B16" s="10" t="s">
        <v>702</v>
      </c>
      <c r="C16" s="11" t="s">
        <v>709</v>
      </c>
      <c r="D16" s="12" t="s">
        <v>710</v>
      </c>
      <c r="E16" s="11" t="s">
        <v>679</v>
      </c>
      <c r="F16" s="11"/>
    </row>
    <row r="17" spans="1:6">
      <c r="A17" s="8">
        <v>15</v>
      </c>
      <c r="B17" s="7" t="s">
        <v>711</v>
      </c>
      <c r="C17" s="8" t="s">
        <v>712</v>
      </c>
      <c r="D17" s="9" t="s">
        <v>713</v>
      </c>
      <c r="E17" s="8" t="s">
        <v>679</v>
      </c>
      <c r="F17" s="8"/>
    </row>
    <row r="18" ht="24" spans="1:6">
      <c r="A18" s="11">
        <v>16</v>
      </c>
      <c r="B18" s="10" t="s">
        <v>711</v>
      </c>
      <c r="C18" s="11" t="s">
        <v>714</v>
      </c>
      <c r="D18" s="12" t="s">
        <v>715</v>
      </c>
      <c r="E18" s="11" t="s">
        <v>679</v>
      </c>
      <c r="F18" s="11"/>
    </row>
    <row r="19" ht="96" spans="1:6">
      <c r="A19" s="8">
        <v>17</v>
      </c>
      <c r="B19" s="7" t="s">
        <v>716</v>
      </c>
      <c r="C19" s="8" t="s">
        <v>717</v>
      </c>
      <c r="D19" s="9" t="s">
        <v>718</v>
      </c>
      <c r="E19" s="8" t="s">
        <v>679</v>
      </c>
      <c r="F19" s="18" t="s">
        <v>719</v>
      </c>
    </row>
    <row r="20" ht="96" spans="1:6">
      <c r="A20" s="11">
        <v>18</v>
      </c>
      <c r="B20" s="10" t="s">
        <v>716</v>
      </c>
      <c r="C20" s="11" t="s">
        <v>720</v>
      </c>
      <c r="D20" s="12" t="s">
        <v>721</v>
      </c>
      <c r="E20" s="11" t="s">
        <v>679</v>
      </c>
      <c r="F20" s="11" t="s">
        <v>722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zoomScale="91" zoomScaleNormal="91" workbookViewId="0">
      <pane ySplit="2" topLeftCell="A27" activePane="bottomLeft" state="frozen"/>
      <selection/>
      <selection pane="bottomLeft" activeCell="F6" sqref="F6"/>
    </sheetView>
  </sheetViews>
  <sheetFormatPr defaultColWidth="9" defaultRowHeight="14.4" outlineLevelCol="5"/>
  <cols>
    <col min="1" max="1" width="4.61111111111111" customWidth="1"/>
    <col min="2" max="2" width="8.46296296296296" customWidth="1"/>
    <col min="3" max="3" width="23.8425925925926" customWidth="1"/>
    <col min="4" max="4" width="99.8796296296296" style="1" customWidth="1"/>
    <col min="5" max="5" width="12.1759259259259" style="14" customWidth="1"/>
    <col min="6" max="6" width="59.3425925925926" style="14" customWidth="1"/>
  </cols>
  <sheetData>
    <row r="1" spans="1:6">
      <c r="A1" s="2" t="s">
        <v>723</v>
      </c>
      <c r="B1" s="2"/>
      <c r="C1" s="2"/>
      <c r="D1" s="2"/>
      <c r="E1" s="2"/>
      <c r="F1" s="2"/>
    </row>
    <row r="2" ht="24" spans="1:6">
      <c r="A2" s="5" t="s">
        <v>1</v>
      </c>
      <c r="B2" s="5" t="s">
        <v>724</v>
      </c>
      <c r="C2" s="5" t="s">
        <v>725</v>
      </c>
      <c r="D2" s="6" t="s">
        <v>726</v>
      </c>
      <c r="E2" s="5" t="s">
        <v>674</v>
      </c>
      <c r="F2" s="5" t="s">
        <v>675</v>
      </c>
    </row>
    <row r="3" spans="1:6">
      <c r="A3" s="15" t="s">
        <v>727</v>
      </c>
      <c r="B3" s="16"/>
      <c r="C3" s="16"/>
      <c r="D3" s="16"/>
      <c r="E3" s="16"/>
      <c r="F3" s="17"/>
    </row>
    <row r="4" ht="24" spans="1:6">
      <c r="A4" s="8">
        <v>1</v>
      </c>
      <c r="B4" s="8" t="s">
        <v>728</v>
      </c>
      <c r="C4" s="8" t="s">
        <v>729</v>
      </c>
      <c r="D4" s="9" t="s">
        <v>730</v>
      </c>
      <c r="E4" s="8" t="s">
        <v>679</v>
      </c>
      <c r="F4" s="8"/>
    </row>
    <row r="5" ht="36" spans="1:6">
      <c r="A5" s="11">
        <v>2</v>
      </c>
      <c r="B5" s="11" t="s">
        <v>728</v>
      </c>
      <c r="C5" s="11" t="s">
        <v>731</v>
      </c>
      <c r="D5" s="12" t="s">
        <v>732</v>
      </c>
      <c r="E5" s="11" t="s">
        <v>679</v>
      </c>
      <c r="F5" s="11" t="s">
        <v>733</v>
      </c>
    </row>
    <row r="6" ht="36" spans="1:6">
      <c r="A6" s="8">
        <v>3</v>
      </c>
      <c r="B6" s="8" t="s">
        <v>728</v>
      </c>
      <c r="C6" s="8" t="s">
        <v>734</v>
      </c>
      <c r="D6" s="9" t="s">
        <v>735</v>
      </c>
      <c r="E6" s="8" t="s">
        <v>679</v>
      </c>
      <c r="F6" s="18" t="s">
        <v>736</v>
      </c>
    </row>
    <row r="7" ht="36" spans="1:6">
      <c r="A7" s="11">
        <v>4</v>
      </c>
      <c r="B7" s="11" t="s">
        <v>728</v>
      </c>
      <c r="C7" s="11" t="s">
        <v>728</v>
      </c>
      <c r="D7" s="12" t="s">
        <v>737</v>
      </c>
      <c r="E7" s="11" t="s">
        <v>679</v>
      </c>
      <c r="F7" s="11" t="s">
        <v>738</v>
      </c>
    </row>
    <row r="8" spans="1:6">
      <c r="A8" s="8">
        <v>5</v>
      </c>
      <c r="B8" s="8" t="s">
        <v>728</v>
      </c>
      <c r="C8" s="8" t="s">
        <v>739</v>
      </c>
      <c r="D8" s="9" t="s">
        <v>740</v>
      </c>
      <c r="E8" s="8" t="s">
        <v>679</v>
      </c>
      <c r="F8" s="18"/>
    </row>
    <row r="9" spans="1:6">
      <c r="A9" s="11">
        <v>6</v>
      </c>
      <c r="B9" s="11" t="s">
        <v>728</v>
      </c>
      <c r="C9" s="11" t="s">
        <v>741</v>
      </c>
      <c r="D9" s="12" t="s">
        <v>742</v>
      </c>
      <c r="E9" s="11" t="s">
        <v>679</v>
      </c>
      <c r="F9" s="11"/>
    </row>
    <row r="10" spans="1:6">
      <c r="A10" s="8">
        <v>7</v>
      </c>
      <c r="B10" s="8" t="s">
        <v>728</v>
      </c>
      <c r="C10" s="8" t="s">
        <v>743</v>
      </c>
      <c r="D10" s="9" t="s">
        <v>744</v>
      </c>
      <c r="E10" s="8" t="s">
        <v>679</v>
      </c>
      <c r="F10" s="18"/>
    </row>
    <row r="11" spans="1:6">
      <c r="A11" s="11">
        <v>8</v>
      </c>
      <c r="B11" s="11" t="s">
        <v>728</v>
      </c>
      <c r="C11" s="11" t="s">
        <v>745</v>
      </c>
      <c r="D11" s="12" t="s">
        <v>746</v>
      </c>
      <c r="E11" s="11" t="s">
        <v>679</v>
      </c>
      <c r="F11" s="11"/>
    </row>
    <row r="12" ht="36" spans="1:6">
      <c r="A12" s="8">
        <v>9</v>
      </c>
      <c r="B12" s="8" t="s">
        <v>728</v>
      </c>
      <c r="C12" s="8" t="s">
        <v>728</v>
      </c>
      <c r="D12" s="9" t="s">
        <v>747</v>
      </c>
      <c r="E12" s="8" t="s">
        <v>679</v>
      </c>
      <c r="F12" s="18" t="s">
        <v>748</v>
      </c>
    </row>
    <row r="13" ht="24" spans="1:6">
      <c r="A13" s="11">
        <v>10</v>
      </c>
      <c r="B13" s="11" t="s">
        <v>728</v>
      </c>
      <c r="C13" s="11" t="s">
        <v>749</v>
      </c>
      <c r="D13" s="12" t="s">
        <v>750</v>
      </c>
      <c r="E13" s="11" t="s">
        <v>679</v>
      </c>
      <c r="F13" s="11"/>
    </row>
    <row r="14" spans="1:6">
      <c r="A14" s="8">
        <v>11</v>
      </c>
      <c r="B14" s="8" t="s">
        <v>728</v>
      </c>
      <c r="C14" s="8" t="s">
        <v>751</v>
      </c>
      <c r="D14" s="9" t="s">
        <v>752</v>
      </c>
      <c r="E14" s="8" t="s">
        <v>679</v>
      </c>
      <c r="F14" s="18"/>
    </row>
    <row r="15" spans="1:6">
      <c r="A15" s="11">
        <v>12</v>
      </c>
      <c r="B15" s="11" t="s">
        <v>728</v>
      </c>
      <c r="C15" s="11" t="s">
        <v>753</v>
      </c>
      <c r="D15" s="12" t="s">
        <v>754</v>
      </c>
      <c r="E15" s="11" t="s">
        <v>679</v>
      </c>
      <c r="F15" s="11"/>
    </row>
    <row r="16" spans="1:6">
      <c r="A16" s="8">
        <v>13</v>
      </c>
      <c r="B16" s="8" t="s">
        <v>728</v>
      </c>
      <c r="C16" s="8" t="s">
        <v>755</v>
      </c>
      <c r="D16" s="9" t="s">
        <v>756</v>
      </c>
      <c r="E16" s="8" t="s">
        <v>679</v>
      </c>
      <c r="F16" s="18"/>
    </row>
    <row r="17" spans="1:6">
      <c r="A17" s="11">
        <v>14</v>
      </c>
      <c r="B17" s="11" t="s">
        <v>728</v>
      </c>
      <c r="C17" s="11" t="s">
        <v>757</v>
      </c>
      <c r="D17" s="12" t="s">
        <v>758</v>
      </c>
      <c r="E17" s="11" t="s">
        <v>679</v>
      </c>
      <c r="F17" s="11"/>
    </row>
    <row r="18" spans="1:6">
      <c r="A18" s="8">
        <v>15</v>
      </c>
      <c r="B18" s="8" t="s">
        <v>728</v>
      </c>
      <c r="C18" s="8" t="s">
        <v>759</v>
      </c>
      <c r="D18" s="9" t="s">
        <v>760</v>
      </c>
      <c r="E18" s="8" t="s">
        <v>679</v>
      </c>
      <c r="F18" s="18"/>
    </row>
    <row r="19" ht="36" spans="1:6">
      <c r="A19" s="11">
        <v>16</v>
      </c>
      <c r="B19" s="11" t="s">
        <v>728</v>
      </c>
      <c r="C19" s="11" t="s">
        <v>761</v>
      </c>
      <c r="D19" s="12" t="s">
        <v>762</v>
      </c>
      <c r="E19" s="11" t="s">
        <v>679</v>
      </c>
      <c r="F19" s="11" t="s">
        <v>763</v>
      </c>
    </row>
    <row r="20" ht="36" spans="1:6">
      <c r="A20" s="8">
        <v>17</v>
      </c>
      <c r="B20" s="8" t="s">
        <v>728</v>
      </c>
      <c r="C20" s="8" t="s">
        <v>764</v>
      </c>
      <c r="D20" s="9" t="s">
        <v>765</v>
      </c>
      <c r="E20" s="8" t="s">
        <v>679</v>
      </c>
      <c r="F20" s="18" t="s">
        <v>766</v>
      </c>
    </row>
    <row r="21" spans="1:6">
      <c r="A21" s="11">
        <v>18</v>
      </c>
      <c r="B21" s="11" t="s">
        <v>728</v>
      </c>
      <c r="C21" s="11" t="s">
        <v>767</v>
      </c>
      <c r="D21" s="12" t="s">
        <v>768</v>
      </c>
      <c r="E21" s="11" t="s">
        <v>679</v>
      </c>
      <c r="F21" s="11"/>
    </row>
    <row r="22" spans="1:6">
      <c r="A22" s="15" t="s">
        <v>769</v>
      </c>
      <c r="B22" s="16"/>
      <c r="C22" s="16"/>
      <c r="D22" s="16"/>
      <c r="E22" s="16"/>
      <c r="F22" s="17"/>
    </row>
    <row r="23" ht="36" spans="1:6">
      <c r="A23" s="8">
        <v>1</v>
      </c>
      <c r="B23" s="8" t="s">
        <v>770</v>
      </c>
      <c r="C23" s="8" t="s">
        <v>771</v>
      </c>
      <c r="D23" s="9" t="s">
        <v>772</v>
      </c>
      <c r="E23" s="8" t="s">
        <v>679</v>
      </c>
      <c r="F23" s="18" t="s">
        <v>773</v>
      </c>
    </row>
    <row r="24" ht="36" spans="1:6">
      <c r="A24" s="11">
        <v>2</v>
      </c>
      <c r="B24" s="11" t="s">
        <v>770</v>
      </c>
      <c r="C24" s="11" t="s">
        <v>774</v>
      </c>
      <c r="D24" s="12" t="s">
        <v>775</v>
      </c>
      <c r="E24" s="11" t="s">
        <v>679</v>
      </c>
      <c r="F24" s="11" t="s">
        <v>776</v>
      </c>
    </row>
    <row r="25" ht="36" spans="1:6">
      <c r="A25" s="8">
        <v>3</v>
      </c>
      <c r="B25" s="8" t="s">
        <v>770</v>
      </c>
      <c r="C25" s="8" t="s">
        <v>777</v>
      </c>
      <c r="D25" s="9" t="s">
        <v>778</v>
      </c>
      <c r="E25" s="8" t="s">
        <v>679</v>
      </c>
      <c r="F25" s="18" t="s">
        <v>779</v>
      </c>
    </row>
    <row r="26" ht="36" spans="1:6">
      <c r="A26" s="11">
        <v>4</v>
      </c>
      <c r="B26" s="11" t="s">
        <v>770</v>
      </c>
      <c r="C26" s="11" t="s">
        <v>780</v>
      </c>
      <c r="D26" s="12" t="s">
        <v>781</v>
      </c>
      <c r="E26" s="11" t="s">
        <v>679</v>
      </c>
      <c r="F26" s="11" t="s">
        <v>782</v>
      </c>
    </row>
    <row r="27" ht="36" spans="1:6">
      <c r="A27" s="8">
        <v>5</v>
      </c>
      <c r="B27" s="8" t="s">
        <v>770</v>
      </c>
      <c r="C27" s="8" t="s">
        <v>783</v>
      </c>
      <c r="D27" s="9" t="s">
        <v>784</v>
      </c>
      <c r="E27" s="8" t="s">
        <v>679</v>
      </c>
      <c r="F27" s="18" t="s">
        <v>785</v>
      </c>
    </row>
    <row r="28" ht="36" spans="1:6">
      <c r="A28" s="11">
        <v>6</v>
      </c>
      <c r="B28" s="11" t="s">
        <v>770</v>
      </c>
      <c r="C28" s="11" t="s">
        <v>786</v>
      </c>
      <c r="D28" s="12" t="s">
        <v>787</v>
      </c>
      <c r="E28" s="11" t="s">
        <v>679</v>
      </c>
      <c r="F28" s="11" t="s">
        <v>788</v>
      </c>
    </row>
    <row r="29" ht="36" spans="1:6">
      <c r="A29" s="8">
        <v>7</v>
      </c>
      <c r="B29" s="8" t="s">
        <v>770</v>
      </c>
      <c r="C29" s="8" t="s">
        <v>789</v>
      </c>
      <c r="D29" s="9" t="s">
        <v>790</v>
      </c>
      <c r="E29" s="8" t="s">
        <v>679</v>
      </c>
      <c r="F29" s="18" t="s">
        <v>791</v>
      </c>
    </row>
    <row r="30" ht="36" spans="1:6">
      <c r="A30" s="11">
        <v>8</v>
      </c>
      <c r="B30" s="11" t="s">
        <v>770</v>
      </c>
      <c r="C30" s="11" t="s">
        <v>792</v>
      </c>
      <c r="D30" s="12" t="s">
        <v>793</v>
      </c>
      <c r="E30" s="11" t="s">
        <v>679</v>
      </c>
      <c r="F30" s="11" t="s">
        <v>794</v>
      </c>
    </row>
  </sheetData>
  <mergeCells count="3">
    <mergeCell ref="A1:F1"/>
    <mergeCell ref="A3:F3"/>
    <mergeCell ref="A22:F2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2" topLeftCell="A3" activePane="bottomLeft" state="frozen"/>
      <selection/>
      <selection pane="bottomLeft" activeCell="D12" sqref="D12"/>
    </sheetView>
  </sheetViews>
  <sheetFormatPr defaultColWidth="9" defaultRowHeight="14.4" outlineLevelCol="3"/>
  <cols>
    <col min="1" max="1" width="12.3055555555556" customWidth="1"/>
    <col min="2" max="2" width="18.0740740740741" customWidth="1"/>
    <col min="3" max="3" width="33.6574074074074" customWidth="1"/>
    <col min="4" max="4" width="126.592592592593" style="1" customWidth="1"/>
  </cols>
  <sheetData>
    <row r="1" spans="1:4">
      <c r="A1" s="2" t="s">
        <v>795</v>
      </c>
      <c r="B1" s="3"/>
      <c r="C1" s="3"/>
      <c r="D1" s="4"/>
    </row>
    <row r="2" spans="1:4">
      <c r="A2" s="5" t="s">
        <v>796</v>
      </c>
      <c r="B2" s="5" t="s">
        <v>797</v>
      </c>
      <c r="C2" s="5" t="s">
        <v>798</v>
      </c>
      <c r="D2" s="6" t="s">
        <v>799</v>
      </c>
    </row>
    <row r="3" ht="24" spans="1:4">
      <c r="A3" s="7" t="s">
        <v>800</v>
      </c>
      <c r="B3" s="8" t="s">
        <v>221</v>
      </c>
      <c r="C3" s="8" t="s">
        <v>801</v>
      </c>
      <c r="D3" s="9" t="s">
        <v>802</v>
      </c>
    </row>
    <row r="4" ht="24" spans="1:4">
      <c r="A4" s="10" t="s">
        <v>800</v>
      </c>
      <c r="B4" s="11" t="s">
        <v>221</v>
      </c>
      <c r="C4" s="11" t="s">
        <v>803</v>
      </c>
      <c r="D4" s="12" t="s">
        <v>804</v>
      </c>
    </row>
    <row r="5" ht="24" spans="1:4">
      <c r="A5" s="7" t="s">
        <v>800</v>
      </c>
      <c r="B5" s="8" t="s">
        <v>221</v>
      </c>
      <c r="C5" s="8" t="s">
        <v>805</v>
      </c>
      <c r="D5" s="9" t="s">
        <v>806</v>
      </c>
    </row>
    <row r="6" ht="24" spans="1:4">
      <c r="A6" s="10" t="s">
        <v>800</v>
      </c>
      <c r="B6" s="11" t="s">
        <v>221</v>
      </c>
      <c r="C6" s="11" t="s">
        <v>807</v>
      </c>
      <c r="D6" s="12" t="s">
        <v>808</v>
      </c>
    </row>
    <row r="7" ht="24" spans="1:4">
      <c r="A7" s="7" t="s">
        <v>800</v>
      </c>
      <c r="B7" s="8" t="s">
        <v>221</v>
      </c>
      <c r="C7" s="8" t="s">
        <v>809</v>
      </c>
      <c r="D7" s="9" t="s">
        <v>810</v>
      </c>
    </row>
    <row r="8" ht="24" spans="1:4">
      <c r="A8" s="10" t="s">
        <v>800</v>
      </c>
      <c r="B8" s="11" t="s">
        <v>221</v>
      </c>
      <c r="C8" s="11" t="s">
        <v>811</v>
      </c>
      <c r="D8" s="12" t="s">
        <v>812</v>
      </c>
    </row>
    <row r="9" ht="24" spans="1:4">
      <c r="A9" s="7" t="s">
        <v>800</v>
      </c>
      <c r="B9" s="8" t="s">
        <v>813</v>
      </c>
      <c r="C9" s="8" t="s">
        <v>814</v>
      </c>
      <c r="D9" s="9" t="s">
        <v>815</v>
      </c>
    </row>
    <row r="10" ht="24" spans="1:4">
      <c r="A10" s="10" t="s">
        <v>800</v>
      </c>
      <c r="B10" s="11" t="s">
        <v>816</v>
      </c>
      <c r="C10" s="11" t="s">
        <v>817</v>
      </c>
      <c r="D10" s="12" t="s">
        <v>818</v>
      </c>
    </row>
    <row r="11" ht="24" spans="1:4">
      <c r="A11" s="7" t="s">
        <v>800</v>
      </c>
      <c r="B11" s="8" t="s">
        <v>819</v>
      </c>
      <c r="C11" s="8" t="s">
        <v>820</v>
      </c>
      <c r="D11" s="9" t="s">
        <v>821</v>
      </c>
    </row>
    <row r="12" ht="24" spans="1:4">
      <c r="A12" s="10" t="s">
        <v>800</v>
      </c>
      <c r="B12" s="11" t="s">
        <v>822</v>
      </c>
      <c r="C12" s="11" t="s">
        <v>823</v>
      </c>
      <c r="D12" s="12" t="s">
        <v>824</v>
      </c>
    </row>
    <row r="13" ht="24" spans="1:4">
      <c r="A13" s="7" t="s">
        <v>800</v>
      </c>
      <c r="B13" s="8" t="s">
        <v>239</v>
      </c>
      <c r="C13" s="8" t="s">
        <v>825</v>
      </c>
      <c r="D13" s="9" t="s">
        <v>826</v>
      </c>
    </row>
    <row r="14" ht="24" spans="1:4">
      <c r="A14" s="10" t="s">
        <v>800</v>
      </c>
      <c r="B14" s="11" t="s">
        <v>827</v>
      </c>
      <c r="C14" s="11" t="s">
        <v>828</v>
      </c>
      <c r="D14" s="12" t="s">
        <v>829</v>
      </c>
    </row>
    <row r="15" ht="24" spans="1:4">
      <c r="A15" s="7" t="s">
        <v>800</v>
      </c>
      <c r="B15" s="8" t="s">
        <v>830</v>
      </c>
      <c r="C15" s="8" t="s">
        <v>831</v>
      </c>
      <c r="D15" s="9" t="s">
        <v>832</v>
      </c>
    </row>
    <row r="16" ht="24" spans="1:4">
      <c r="A16" s="10" t="s">
        <v>833</v>
      </c>
      <c r="B16" s="11" t="s">
        <v>834</v>
      </c>
      <c r="C16" s="11" t="s">
        <v>835</v>
      </c>
      <c r="D16" s="12" t="s">
        <v>836</v>
      </c>
    </row>
    <row r="17" ht="24" spans="1:4">
      <c r="A17" s="7" t="s">
        <v>833</v>
      </c>
      <c r="B17" s="8" t="s">
        <v>837</v>
      </c>
      <c r="C17" s="8" t="s">
        <v>838</v>
      </c>
      <c r="D17" s="9" t="s">
        <v>839</v>
      </c>
    </row>
    <row r="18" ht="24" spans="1:4">
      <c r="A18" s="10" t="s">
        <v>833</v>
      </c>
      <c r="B18" s="11" t="s">
        <v>840</v>
      </c>
      <c r="C18" s="11" t="s">
        <v>841</v>
      </c>
      <c r="D18" s="12" t="s">
        <v>842</v>
      </c>
    </row>
    <row r="20" spans="1:4">
      <c r="A20" s="13" t="s">
        <v>843</v>
      </c>
    </row>
  </sheetData>
  <mergeCells count="2">
    <mergeCell ref="A1:D1"/>
    <mergeCell ref="A20: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说明与概览</vt:lpstr>
      <vt:lpstr>智慧物流功能清单</vt:lpstr>
      <vt:lpstr>智慧消防功能清单</vt:lpstr>
      <vt:lpstr>智慧安防功能清单</vt:lpstr>
      <vt:lpstr>宿舍管理功能清单</vt:lpstr>
      <vt:lpstr>外协系统功能清单</vt:lpstr>
      <vt:lpstr>平台通用与集成</vt:lpstr>
      <vt:lpstr>关键技术要求</vt:lpstr>
      <vt:lpstr>安全合规要求</vt:lpstr>
      <vt:lpstr>硬件需求汇总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RADI</cp:lastModifiedBy>
  <dcterms:created xsi:type="dcterms:W3CDTF">2026-07-24T12:30:00Z</dcterms:created>
  <dcterms:modified xsi:type="dcterms:W3CDTF">2026-09-01T11:57:24Z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BE6073F3AEBB674B2A3C896AD8859829_43</vt:lpwstr>
  </property>
  <property fmtid="{D5CDD505-2E9C-101B-9397-08002B2CF9AE}" pid="5" name="KSOReadingLayout">
    <vt:bool>true</vt:bool>
  </property>
</Properties>
</file>