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111-lin\B T1T2T3项目\项目型ing\!ongoing-20260901-T3-ESG- 阳光电源智慧园区（一期）项目-常规采购-900万\"/>
    </mc:Choice>
  </mc:AlternateContent>
  <xr:revisionPtr revIDLastSave="0" documentId="13_ncr:1_{36CD13D7-19F8-43E6-A8FF-26B68D5AD4CC}" xr6:coauthVersionLast="47" xr6:coauthVersionMax="47" xr10:uidLastSave="{00000000-0000-0000-0000-000000000000}"/>
  <bookViews>
    <workbookView xWindow="-98" yWindow="-98" windowWidth="19396" windowHeight="11475" xr2:uid="{00000000-000D-0000-FFFF-FFFF00000000}"/>
  </bookViews>
  <sheets>
    <sheet name="总价汇总表" sheetId="1" r:id="rId1"/>
    <sheet name="硬件-报价汇总表" sheetId="2" r:id="rId2"/>
    <sheet name="硬件-报价说明" sheetId="3" r:id="rId3"/>
    <sheet name="硬件-报价明细" sheetId="4" r:id="rId4"/>
    <sheet name="附录五硬件场景需求表" sheetId="8" r:id="rId5"/>
  </sheets>
  <definedNames>
    <definedName name="_xlnm._FilterDatabase" localSheetId="3" hidden="1">'硬件-报价明细'!$2:$1048576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6" i="4" l="1"/>
  <c r="E105" i="4"/>
  <c r="E107" i="4" s="1"/>
  <c r="E104" i="4"/>
  <c r="E97" i="4"/>
  <c r="E102" i="4" s="1"/>
  <c r="E96" i="4"/>
  <c r="E51" i="4"/>
  <c r="E54" i="4" s="1"/>
  <c r="E49" i="4"/>
  <c r="E48" i="4"/>
  <c r="E23" i="4"/>
  <c r="E22" i="4"/>
  <c r="D7" i="2"/>
  <c r="D6" i="1"/>
  <c r="E101" i="4" l="1"/>
  <c r="E99" i="4"/>
</calcChain>
</file>

<file path=xl/sharedStrings.xml><?xml version="1.0" encoding="utf-8"?>
<sst xmlns="http://schemas.openxmlformats.org/spreadsheetml/2006/main" count="820" uniqueCount="466">
  <si>
    <t>密级：公开</t>
  </si>
  <si>
    <t>序号</t>
  </si>
  <si>
    <t>系统名称</t>
  </si>
  <si>
    <t>税率</t>
  </si>
  <si>
    <t>不含税总价</t>
  </si>
  <si>
    <t>含税总价</t>
  </si>
  <si>
    <t>备注</t>
  </si>
  <si>
    <t>硬件部分</t>
  </si>
  <si>
    <t>软件部分</t>
  </si>
  <si>
    <t>总计（元）</t>
  </si>
  <si>
    <t>按此未税金额投标</t>
  </si>
  <si>
    <t>智慧消防及物联系统</t>
  </si>
  <si>
    <t>智慧安防系统</t>
  </si>
  <si>
    <t>等保测评</t>
  </si>
  <si>
    <t>不含税总计（元）</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</si>
  <si>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</si>
  <si>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</si>
  <si>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</si>
  <si>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</si>
  <si>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</si>
  <si>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r>
      <rPr>
        <sz val="12"/>
        <color rgb="FF000000"/>
        <rFont val="宋体"/>
        <family val="3"/>
        <charset val="134"/>
      </rPr>
      <t>3、投标总价含施工、技术支持、操作人员培训等，含3年原厂质保运维服务等，</t>
    </r>
    <r>
      <rPr>
        <sz val="12"/>
        <color rgb="FFFE0300"/>
        <rFont val="宋体"/>
        <family val="3"/>
        <charset val="134"/>
      </rPr>
      <t>故障1小时响应，故障处理6小时内完成。</t>
    </r>
  </si>
  <si>
    <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</si>
  <si>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</si>
  <si>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</si>
  <si>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</si>
  <si>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</si>
  <si>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</si>
  <si>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</si>
  <si>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</si>
  <si>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</si>
  <si>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</si>
  <si>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</si>
  <si>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</si>
  <si>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</si>
  <si>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</si>
  <si>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</si>
  <si>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</si>
  <si>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</si>
  <si>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</si>
  <si>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</si>
  <si>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</si>
  <si>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</si>
  <si>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</si>
  <si>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</si>
  <si>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</si>
  <si>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</si>
  <si>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</si>
  <si>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</si>
  <si>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</si>
  <si>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</si>
  <si>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</si>
  <si>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</si>
  <si>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</si>
  <si>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</si>
  <si>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</si>
  <si>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</si>
  <si>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</si>
  <si>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</si>
  <si>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</si>
  <si>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</si>
  <si>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</si>
  <si>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</si>
  <si>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</si>
  <si>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</si>
  <si>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</si>
  <si>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</si>
  <si>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</si>
  <si>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</si>
  <si>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</si>
  <si>
    <t>主机信号采集数量：青鸟自动报警主机*20，青岛鼎信自动报警主机*1，利达自动报警主机*1，各品牌需对应使用适配的用户信息传输硬件</t>
  </si>
  <si>
    <t>台</t>
  </si>
  <si>
    <t>全局网络控制器</t>
  </si>
  <si>
    <r>
      <rPr>
        <sz val="11"/>
        <color rgb="FF000000"/>
        <rFont val="宋体"/>
        <family val="3"/>
        <charset val="134"/>
      </rP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</si>
  <si>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</si>
  <si>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</si>
  <si>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</si>
  <si>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</si>
  <si>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</si>
  <si>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</si>
  <si>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</si>
  <si>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</si>
  <si>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</si>
  <si>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电缆长度：3M；电缆类型：PVC（聚氯乙烯）；包装形式：纸箱批量简易包装；</t>
  </si>
  <si>
    <t>压力变送器</t>
  </si>
  <si>
    <t>输出信号：4-20MA；量程范围：0-25 bar；过程连接：1/4 NPT；电气连接：1M；</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</si>
  <si>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</si>
  <si>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</si>
  <si>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</si>
  <si>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</si>
  <si>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</si>
  <si>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</si>
  <si>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</si>
  <si>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</si>
  <si>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</si>
  <si>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</si>
  <si>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</si>
  <si>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</si>
  <si>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</si>
  <si>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</si>
  <si>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</si>
  <si>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</si>
  <si>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</si>
  <si>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</si>
  <si>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</si>
  <si>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</si>
  <si>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</si>
  <si>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</si>
  <si>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</si>
  <si>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</si>
  <si>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</si>
  <si>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</si>
  <si>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</si>
  <si>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</si>
  <si>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</si>
  <si>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</si>
  <si>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</si>
  <si>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</si>
  <si>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</si>
  <si>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</si>
  <si>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</si>
  <si>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</si>
  <si>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</si>
  <si>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</si>
  <si>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</si>
  <si>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</si>
  <si>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</si>
  <si>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</si>
  <si>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</si>
  <si>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</si>
  <si>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</si>
  <si>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</si>
  <si>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</si>
  <si>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</si>
  <si>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</si>
  <si>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</si>
  <si>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</si>
  <si>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</si>
  <si>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</si>
  <si>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</si>
  <si>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</si>
  <si>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sz val="11"/>
        <color rgb="FF000000"/>
        <rFont val="宋体"/>
        <family val="3"/>
        <charset val="134"/>
      </rP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</si>
  <si>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</si>
  <si>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</si>
  <si>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</si>
  <si>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</si>
  <si>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</si>
  <si>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</si>
  <si>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AI服务器</t>
  </si>
  <si>
    <r>
      <rPr>
        <sz val="11"/>
        <color rgb="FF000000"/>
        <rFont val="宋体"/>
        <family val="3"/>
        <charset val="134"/>
      </rP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</si>
  <si>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</si>
  <si>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</si>
  <si>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</si>
  <si>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</si>
  <si>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</si>
  <si>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</si>
  <si>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</si>
  <si>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</si>
  <si>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</si>
  <si>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</si>
  <si>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</si>
  <si>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</si>
  <si>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</si>
  <si>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</si>
  <si>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</si>
  <si>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</si>
  <si>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</si>
  <si>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</si>
  <si>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</si>
  <si>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</si>
  <si>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</si>
  <si>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</si>
  <si>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</si>
  <si>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</si>
  <si>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</si>
  <si>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</si>
  <si>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</si>
  <si>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</si>
  <si>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</si>
  <si>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</si>
  <si>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</si>
  <si>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</si>
  <si>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</si>
  <si>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</si>
  <si>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</si>
  <si>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</si>
  <si>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卡片录入仪</t>
  </si>
  <si>
    <t>1.支持发卡类型：ID卡、IC卡、身份证物料卡号（序列号）、普通CPU卡、国密CPU卡
2.USB2.0接口
3.具有2个Sim卡尺寸的PSAM卡座
4.工作电压：DC 5V
5.工作电流：0.2A</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</si>
  <si>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</si>
  <si>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</si>
  <si>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</si>
  <si>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</si>
  <si>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</si>
  <si>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</si>
  <si>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</si>
  <si>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</si>
  <si>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</si>
  <si>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</si>
  <si>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</si>
  <si>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</si>
  <si>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</si>
  <si>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</si>
  <si>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</si>
  <si>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</si>
  <si>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</si>
  <si>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</si>
  <si>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</si>
  <si>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</si>
  <si>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</si>
  <si>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</si>
  <si>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</si>
  <si>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</si>
  <si>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</si>
  <si>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</si>
  <si>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</si>
  <si>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</si>
  <si>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</si>
  <si>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</si>
  <si>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工控箱</t>
  </si>
  <si>
    <t>配套工控箱</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</si>
  <si>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</si>
  <si>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</si>
  <si>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</si>
  <si>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</si>
  <si>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</si>
  <si>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</si>
  <si>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</si>
  <si>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</si>
  <si>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</si>
  <si>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</si>
  <si>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</si>
  <si>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1、支持报警子系统管理能力，包含布防、撤防、消警控制操作；
2、支持防区管理能力，包含旁路、旁路恢复操作；
3、支持实时入侵报警能力；
4、支持历史入侵报警事件查询及导出能力；</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</si>
  <si>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</si>
  <si>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</si>
  <si>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</si>
  <si>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</si>
  <si>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</si>
  <si>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</si>
  <si>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</si>
  <si>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</si>
  <si>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</si>
  <si>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</si>
  <si>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</si>
  <si>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</si>
  <si>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</si>
  <si>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</si>
  <si>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</si>
  <si>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</si>
  <si>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</si>
  <si>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</si>
  <si>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</si>
  <si>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</si>
  <si>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</si>
  <si>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</si>
  <si>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</si>
  <si>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</si>
  <si>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</si>
  <si>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</si>
  <si>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</si>
  <si>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</si>
  <si>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</si>
  <si>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</si>
  <si>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</si>
  <si>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</si>
  <si>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</si>
  <si>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</si>
  <si>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</si>
  <si>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</si>
  <si>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</si>
  <si>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</si>
  <si>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</si>
  <si>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</si>
  <si>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</si>
  <si>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</si>
  <si>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</si>
  <si>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</si>
  <si>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</si>
  <si>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</si>
  <si>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</si>
  <si>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</si>
  <si>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</si>
  <si>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</si>
  <si>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</si>
  <si>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</si>
  <si>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</si>
  <si>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</si>
  <si>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</si>
  <si>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</si>
  <si>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</si>
  <si>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</si>
  <si>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</si>
  <si>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</si>
  <si>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</si>
  <si>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</si>
  <si>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</si>
  <si>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</si>
  <si>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</si>
  <si>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</si>
  <si>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</si>
  <si>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</si>
  <si>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</si>
  <si>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</si>
  <si>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</si>
  <si>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</si>
  <si>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</si>
  <si>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</si>
  <si>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</si>
  <si>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</si>
  <si>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</si>
  <si>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</si>
  <si>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</si>
  <si>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</si>
  <si>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</si>
  <si>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</si>
  <si>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</si>
  <si>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</si>
  <si>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</si>
  <si>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</si>
  <si>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</si>
  <si>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</si>
  <si>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</si>
  <si>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</si>
  <si>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</si>
  <si>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</si>
  <si>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</si>
  <si>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</si>
  <si>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</si>
  <si>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</si>
  <si>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</si>
  <si>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</si>
  <si>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</si>
  <si>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</si>
  <si>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</si>
  <si>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</si>
  <si>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</si>
  <si>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</si>
  <si>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</si>
  <si>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</si>
  <si>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</si>
  <si>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</si>
  <si>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</si>
  <si>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</si>
  <si>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</si>
  <si>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</si>
  <si>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</si>
  <si>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</si>
  <si>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</si>
  <si>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</si>
  <si>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</si>
  <si>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</si>
  <si>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</si>
  <si>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</si>
  <si>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</si>
  <si>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</si>
  <si>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</si>
  <si>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</si>
  <si>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</si>
  <si>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</si>
  <si>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</si>
  <si>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</si>
  <si>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</si>
  <si>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</si>
  <si>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</si>
  <si>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</si>
  <si>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</si>
  <si>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</si>
  <si>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</si>
  <si>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</si>
  <si>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</si>
  <si>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</si>
  <si>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</si>
  <si>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</si>
  <si>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</si>
  <si>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</si>
  <si>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</si>
  <si>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</si>
  <si>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</si>
  <si>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</si>
  <si>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</si>
  <si>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</si>
  <si>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</si>
  <si>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</si>
  <si>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</si>
  <si>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</si>
  <si>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</si>
  <si>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</si>
  <si>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</si>
  <si>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</si>
  <si>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</si>
  <si>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</si>
  <si>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</si>
  <si>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</si>
  <si>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</si>
  <si>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</si>
  <si>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</si>
  <si>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</si>
  <si>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</si>
  <si>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</si>
  <si>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</si>
  <si>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</si>
  <si>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</si>
  <si>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</si>
  <si>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</si>
  <si>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</si>
  <si>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</si>
  <si>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</si>
  <si>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</si>
  <si>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</si>
  <si>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</si>
  <si>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</si>
  <si>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</si>
  <si>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</si>
  <si>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</si>
  <si>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</si>
  <si>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</si>
  <si>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</si>
  <si>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</si>
  <si>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</si>
  <si>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</si>
  <si>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</si>
  <si>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</si>
  <si>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</si>
  <si>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</si>
  <si>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</si>
  <si>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</si>
  <si>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</si>
  <si>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</si>
  <si>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</si>
  <si>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</si>
  <si>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</si>
  <si>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</si>
  <si>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</si>
  <si>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</si>
  <si>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</si>
  <si>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</si>
  <si>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</si>
  <si>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</si>
  <si>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</si>
  <si>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</si>
  <si>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</si>
  <si>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</si>
  <si>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</si>
  <si>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</si>
  <si>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</si>
  <si>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</si>
  <si>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</si>
  <si>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</si>
  <si>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</si>
  <si>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</si>
  <si>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</si>
  <si>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</si>
  <si>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</si>
  <si>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</si>
  <si>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</si>
  <si>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</si>
  <si>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</si>
  <si>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</si>
  <si>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</si>
  <si>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</si>
  <si>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</si>
  <si>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x</t>
    <phoneticPr fontId="24" type="noConversion"/>
  </si>
  <si>
    <t>XX智慧园区一期建设清单（硬件） 投标报价说明</t>
    <phoneticPr fontId="24" type="noConversion"/>
  </si>
  <si>
    <t>XX智慧园区一期建设清单（硬件）报价清单</t>
    <phoneticPr fontId="24" type="noConversion"/>
  </si>
  <si>
    <t>XX智慧园区一期建设清单报价清单-汇总表</t>
    <phoneticPr fontId="24" type="noConversion"/>
  </si>
  <si>
    <t>2、投标总价含设备、线缆、柜、箱体等的机打标签、整理等工作，达到《XX弱电施工工艺参考图册》、《XX厂区及办公区弱电标识标签规则》要求。</t>
  </si>
  <si>
    <t>施工须符合《XX弱电施工工艺参考图册》、《XX厂区及办公区弱电标识标签规则》，含设备、线缆、柜体等机打标签及整理。</t>
  </si>
  <si>
    <r>
      <t>报价须知：
1、报价前请仔细阅读《硬件-报价说明》。
2、付款方式：</t>
    </r>
    <r>
      <rPr>
        <sz val="11"/>
        <color rgb="FFFF0000"/>
        <rFont val="等线"/>
        <family val="3"/>
        <charset val="134"/>
      </rPr>
      <t>电汇，初验完成后支付合同对应金额的70%（且累积支付不超实际产值70%），终验决算完成支付至决算对应金额的90%，剩余10%作为质保金，自竣工验收通过满1年后如无质量问题、无发生甲方代扣代付维修费用，甲方无息支付质保金。详见SOW内约定。</t>
    </r>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</si>
</sst>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0.00_ "/>
    <numFmt numFmtId="177" formatCode="[DBNum2][$-804]General"/>
  </numFmts>
  <fonts count="28" x14ac:knownFonts="1">
    <font>
      <sz val="12"/>
      <color theme="1"/>
      <name val="等线"/>
      <charset val="134"/>
      <scheme val="minor"/>
    </font>
    <font>
      <sz val="10"/>
      <name val="等线"/>
      <family val="3"/>
      <charset val="134"/>
      <scheme val="minor"/>
    </font>
    <font>
      <b/>
      <sz val="10"/>
      <name val="等线"/>
      <family val="3"/>
      <charset val="134"/>
      <scheme val="minor"/>
    </font>
    <font>
      <sz val="11"/>
      <color rgb="FF000000"/>
      <name val="等线"/>
      <family val="3"/>
      <charset val="134"/>
    </font>
    <font>
      <b/>
      <sz val="11"/>
      <color rgb="FF000000"/>
      <name val="等线"/>
      <family val="3"/>
      <charset val="134"/>
    </font>
    <font>
      <sz val="12"/>
      <color rgb="FF000000"/>
      <name val="等线"/>
      <family val="3"/>
      <charset val="134"/>
    </font>
    <font>
      <sz val="11"/>
      <color rgb="FF000000"/>
      <name val="宋体"/>
      <family val="3"/>
      <charset val="134"/>
    </font>
    <font>
      <sz val="10"/>
      <color rgb="FF000000"/>
      <name val="宋体"/>
      <family val="3"/>
      <charset val="134"/>
    </font>
    <font>
      <b/>
      <sz val="9"/>
      <color rgb="FF000000"/>
      <name val="等线"/>
      <family val="3"/>
      <charset val="134"/>
    </font>
    <font>
      <b/>
      <sz val="10"/>
      <color rgb="FF000000"/>
      <name val="宋体"/>
      <family val="3"/>
      <charset val="134"/>
    </font>
    <font>
      <b/>
      <sz val="10"/>
      <color rgb="FF000000"/>
      <name val="等线"/>
      <family val="3"/>
      <charset val="134"/>
    </font>
    <font>
      <b/>
      <sz val="11"/>
      <color rgb="FF000000"/>
      <name val="宋体"/>
      <family val="3"/>
      <charset val="134"/>
    </font>
    <font>
      <sz val="11"/>
      <color rgb="FFFE0300"/>
      <name val="宋体"/>
      <family val="3"/>
      <charset val="134"/>
    </font>
    <font>
      <sz val="10"/>
      <color rgb="FF000000"/>
      <name val="等线"/>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sz val="11"/>
      <color rgb="FF000000"/>
      <name val="Calibri"/>
      <family val="2"/>
    </font>
    <font>
      <sz val="12"/>
      <color rgb="FFFE0300"/>
      <name val="宋体"/>
      <family val="3"/>
      <charset val="134"/>
    </font>
    <font>
      <sz val="10"/>
      <name val="宋体"/>
      <family val="3"/>
      <charset val="134"/>
    </font>
    <font>
      <sz val="11"/>
      <color rgb="FFFF0000"/>
      <name val="等线"/>
      <family val="3"/>
      <charset val="134"/>
    </font>
    <font>
      <sz val="9"/>
      <name val="等线"/>
      <family val="3"/>
      <charset val="134"/>
      <scheme val="minor"/>
    </font>
    <font>
      <sz val="11"/>
      <color rgb="FF000000"/>
      <name val="宋体"/>
      <family val="3"/>
      <charset val="134"/>
    </font>
    <font>
      <b/>
      <sz val="12"/>
      <color rgb="FF000000"/>
      <name val="宋体"/>
      <family val="3"/>
      <charset val="134"/>
    </font>
    <font>
      <b/>
      <sz val="20"/>
      <color rgb="FF000000"/>
      <name val="宋体"/>
      <family val="3"/>
      <charset val="134"/>
    </font>
  </fonts>
  <fills count="6">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FFFFFF"/>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alignment vertical="center"/>
    </xf>
  </cellStyleXfs>
  <cellXfs count="127">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0" borderId="0" xfId="0" applyFont="1">
      <alignment vertical="center"/>
    </xf>
    <xf numFmtId="0" fontId="3" fillId="0" borderId="0" xfId="0" applyFont="1" applyAlignment="1"/>
    <xf numFmtId="0" fontId="5" fillId="0" borderId="0" xfId="0" applyFont="1">
      <alignment vertical="center"/>
    </xf>
    <xf numFmtId="0" fontId="5" fillId="0" borderId="0" xfId="0" applyFont="1" applyAlignment="1">
      <alignment horizontal="left"/>
    </xf>
    <xf numFmtId="0" fontId="6" fillId="0" borderId="0" xfId="0" applyFo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xf>
    <xf numFmtId="0" fontId="8" fillId="0" borderId="0" xfId="0" applyFont="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1" xfId="0" applyFont="1" applyBorder="1" applyAlignment="1">
      <alignment horizontal="left" vertical="center"/>
    </xf>
    <xf numFmtId="0" fontId="9" fillId="0" borderId="1" xfId="0" applyFont="1" applyBorder="1" applyAlignment="1">
      <alignment horizontal="center" vertical="center" wrapText="1"/>
    </xf>
    <xf numFmtId="43"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6" fillId="0" borderId="1" xfId="0" applyFont="1" applyBorder="1" applyAlignment="1">
      <alignment horizontal="center" vertical="center"/>
    </xf>
    <xf numFmtId="0" fontId="11" fillId="0" borderId="0" xfId="0" applyFont="1" applyAlignment="1">
      <alignment horizontal="left" vertical="center"/>
    </xf>
    <xf numFmtId="0" fontId="6" fillId="0" borderId="1" xfId="0" applyFont="1" applyBorder="1" applyAlignment="1">
      <alignment vertical="center" wrapText="1"/>
    </xf>
    <xf numFmtId="0" fontId="6" fillId="0" borderId="1" xfId="0" applyFont="1" applyBorder="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4" xfId="0" applyFont="1" applyBorder="1" applyAlignment="1">
      <alignment horizontal="left" vertical="center" wrapText="1"/>
    </xf>
    <xf numFmtId="0" fontId="6" fillId="0" borderId="9" xfId="0" applyFont="1" applyBorder="1" applyAlignment="1">
      <alignment horizontal="left" vertical="center"/>
    </xf>
    <xf numFmtId="0" fontId="11" fillId="0" borderId="9" xfId="0" applyFont="1" applyBorder="1" applyAlignment="1">
      <alignment horizontal="left" vertical="center"/>
    </xf>
    <xf numFmtId="0" fontId="7" fillId="5" borderId="1" xfId="0" applyFont="1" applyFill="1" applyBorder="1" applyAlignment="1">
      <alignment vertical="center" wrapText="1"/>
    </xf>
    <xf numFmtId="0" fontId="7" fillId="5" borderId="1" xfId="0" applyFont="1" applyFill="1" applyBorder="1" applyAlignment="1">
      <alignment horizontal="left" vertical="center"/>
    </xf>
    <xf numFmtId="0" fontId="13" fillId="0" borderId="0" xfId="0" applyFont="1">
      <alignment vertical="center"/>
    </xf>
    <xf numFmtId="0" fontId="6" fillId="0" borderId="11" xfId="0" applyFont="1" applyBorder="1">
      <alignment vertical="center"/>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center" vertical="center"/>
    </xf>
    <xf numFmtId="0" fontId="6" fillId="0" borderId="4" xfId="0" applyFont="1" applyBorder="1">
      <alignment vertical="center"/>
    </xf>
    <xf numFmtId="0" fontId="9" fillId="0" borderId="2" xfId="0" applyFont="1" applyBorder="1">
      <alignment vertical="center"/>
    </xf>
    <xf numFmtId="0" fontId="6" fillId="0" borderId="2" xfId="0" applyFont="1" applyBorder="1">
      <alignment vertical="center"/>
    </xf>
    <xf numFmtId="0" fontId="6" fillId="0" borderId="6" xfId="0" applyFont="1" applyBorder="1" applyAlignment="1">
      <alignment horizontal="center" vertical="center" wrapText="1"/>
    </xf>
    <xf numFmtId="0" fontId="5" fillId="0" borderId="1" xfId="0" applyFont="1" applyBorder="1">
      <alignment vertical="center"/>
    </xf>
    <xf numFmtId="0" fontId="6" fillId="0" borderId="7" xfId="0" applyFont="1" applyBorder="1" applyAlignment="1">
      <alignment horizontal="center" vertical="center" wrapText="1"/>
    </xf>
    <xf numFmtId="0" fontId="11" fillId="0" borderId="1" xfId="0" applyFont="1" applyBorder="1" applyAlignment="1">
      <alignment horizontal="left" vertical="center"/>
    </xf>
    <xf numFmtId="0" fontId="6" fillId="0" borderId="6" xfId="0" applyFont="1" applyBorder="1">
      <alignment vertical="center"/>
    </xf>
    <xf numFmtId="0" fontId="4" fillId="0" borderId="0" xfId="0" applyFont="1" applyAlignment="1">
      <alignment horizontal="center"/>
    </xf>
    <xf numFmtId="0" fontId="15" fillId="0" borderId="1" xfId="0" applyFont="1" applyBorder="1" applyAlignment="1">
      <alignment horizontal="center" vertical="center"/>
    </xf>
    <xf numFmtId="0" fontId="3" fillId="0" borderId="0" xfId="0" applyFont="1" applyAlignment="1">
      <alignment vertical="center" wrapText="1"/>
    </xf>
    <xf numFmtId="0" fontId="1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176" fontId="6" fillId="0" borderId="1" xfId="0" applyNumberFormat="1" applyFont="1" applyBorder="1" applyAlignment="1">
      <alignment horizontal="center" vertical="center"/>
    </xf>
    <xf numFmtId="0" fontId="6" fillId="0" borderId="1" xfId="0" applyFont="1" applyBorder="1" applyAlignment="1"/>
    <xf numFmtId="177" fontId="6"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176" fontId="11" fillId="0" borderId="1" xfId="0" applyNumberFormat="1" applyFont="1" applyBorder="1" applyAlignment="1">
      <alignment horizontal="center" vertical="center"/>
    </xf>
    <xf numFmtId="0" fontId="11" fillId="0" borderId="1" xfId="0" applyFont="1" applyBorder="1" applyAlignment="1"/>
    <xf numFmtId="0" fontId="6" fillId="0" borderId="0" xfId="0" applyFont="1" applyAlignment="1">
      <alignment horizontal="center"/>
    </xf>
    <xf numFmtId="176" fontId="11" fillId="4" borderId="1" xfId="0" applyNumberFormat="1" applyFont="1" applyFill="1" applyBorder="1" applyAlignment="1">
      <alignment horizontal="center" vertical="center"/>
    </xf>
    <xf numFmtId="176" fontId="25" fillId="0" borderId="1" xfId="0" applyNumberFormat="1" applyFont="1" applyBorder="1" applyAlignment="1">
      <alignment horizontal="center" vertical="center"/>
    </xf>
    <xf numFmtId="0" fontId="25" fillId="0" borderId="1" xfId="0" applyFont="1" applyBorder="1" applyAlignment="1"/>
    <xf numFmtId="9" fontId="6" fillId="0" borderId="1" xfId="0" applyNumberFormat="1" applyFont="1" applyBorder="1" applyAlignment="1">
      <alignment horizontal="center" vertical="center"/>
    </xf>
    <xf numFmtId="0" fontId="26" fillId="0" borderId="12" xfId="0" applyFont="1" applyBorder="1" applyAlignment="1">
      <alignment horizontal="center" vertical="center"/>
    </xf>
    <xf numFmtId="0" fontId="16" fillId="0" borderId="12" xfId="0" applyFont="1" applyBorder="1" applyAlignment="1">
      <alignment horizontal="center" vertical="center"/>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1" xfId="0" applyFont="1" applyBorder="1" applyAlignment="1">
      <alignment horizontal="left" vertical="top" wrapText="1"/>
    </xf>
    <xf numFmtId="0" fontId="16" fillId="0" borderId="1" xfId="0" applyFont="1" applyBorder="1" applyAlignment="1">
      <alignment horizontal="center" vertical="center"/>
    </xf>
    <xf numFmtId="0" fontId="13" fillId="0" borderId="1" xfId="0" applyFont="1" applyBorder="1">
      <alignment vertical="center"/>
    </xf>
    <xf numFmtId="0" fontId="17" fillId="0" borderId="1" xfId="0" applyFont="1" applyBorder="1" applyAlignment="1">
      <alignment vertical="center" wrapText="1"/>
    </xf>
    <xf numFmtId="0" fontId="5" fillId="0" borderId="1" xfId="0" applyFont="1" applyBorder="1" applyAlignment="1">
      <alignment vertical="center" wrapText="1"/>
    </xf>
    <xf numFmtId="0" fontId="17" fillId="0" borderId="2" xfId="0" applyFont="1" applyBorder="1" applyAlignment="1">
      <alignment vertical="center" wrapText="1"/>
    </xf>
    <xf numFmtId="0" fontId="5" fillId="0" borderId="2"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17" fillId="0" borderId="6" xfId="0" applyFont="1" applyBorder="1" applyAlignment="1">
      <alignment horizontal="left" vertical="center" wrapText="1"/>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49" fontId="17" fillId="0" borderId="6" xfId="0" applyNumberFormat="1" applyFont="1" applyBorder="1" applyAlignment="1">
      <alignment horizontal="left" vertical="center" wrapText="1"/>
    </xf>
    <xf numFmtId="49" fontId="17" fillId="0" borderId="9" xfId="0" applyNumberFormat="1" applyFont="1" applyBorder="1" applyAlignment="1">
      <alignment horizontal="left" vertical="center" wrapText="1"/>
    </xf>
    <xf numFmtId="49" fontId="17" fillId="0" borderId="11" xfId="0" applyNumberFormat="1" applyFont="1" applyBorder="1" applyAlignment="1">
      <alignment horizontal="left" vertical="center" wrapText="1"/>
    </xf>
    <xf numFmtId="0" fontId="17" fillId="0" borderId="8" xfId="0" applyFont="1" applyBorder="1" applyAlignment="1">
      <alignment horizontal="left" vertical="center" wrapText="1"/>
    </xf>
    <xf numFmtId="0" fontId="17" fillId="0" borderId="12" xfId="0" applyFont="1" applyBorder="1" applyAlignment="1">
      <alignment horizontal="left" vertical="center" wrapText="1"/>
    </xf>
    <xf numFmtId="0" fontId="17" fillId="0" borderId="10" xfId="0" applyFont="1" applyBorder="1" applyAlignment="1">
      <alignment horizontal="left" vertical="center" wrapText="1"/>
    </xf>
    <xf numFmtId="49" fontId="17" fillId="0" borderId="8" xfId="0" applyNumberFormat="1" applyFont="1" applyBorder="1" applyAlignment="1">
      <alignment vertical="center" wrapText="1"/>
    </xf>
    <xf numFmtId="49" fontId="17" fillId="0" borderId="12" xfId="0" applyNumberFormat="1" applyFont="1" applyBorder="1" applyAlignment="1">
      <alignment vertical="center" wrapText="1"/>
    </xf>
    <xf numFmtId="49" fontId="17" fillId="0" borderId="10" xfId="0" applyNumberFormat="1" applyFont="1" applyBorder="1" applyAlignment="1">
      <alignment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27" fillId="0" borderId="0" xfId="0" applyFont="1" applyAlignment="1">
      <alignment horizontal="center" vertical="center"/>
    </xf>
    <xf numFmtId="0" fontId="14" fillId="0" borderId="0" xfId="0" applyFont="1" applyAlignment="1">
      <alignment horizontal="center" vertical="center"/>
    </xf>
    <xf numFmtId="0" fontId="16" fillId="0" borderId="1" xfId="0" applyFont="1" applyBorder="1" applyAlignment="1">
      <alignment horizontal="left" vertical="center" wrapText="1"/>
    </xf>
    <xf numFmtId="49" fontId="15" fillId="0" borderId="6" xfId="0" applyNumberFormat="1" applyFont="1" applyBorder="1" applyAlignment="1">
      <alignment horizontal="center" vertical="center" wrapText="1"/>
    </xf>
    <xf numFmtId="49" fontId="15" fillId="0" borderId="9" xfId="0" applyNumberFormat="1" applyFont="1" applyBorder="1" applyAlignment="1">
      <alignment horizontal="center" vertical="center" wrapText="1"/>
    </xf>
    <xf numFmtId="49" fontId="15" fillId="0" borderId="11" xfId="0" applyNumberFormat="1" applyFont="1" applyBorder="1" applyAlignment="1">
      <alignment horizontal="center" vertical="center" wrapText="1"/>
    </xf>
    <xf numFmtId="0" fontId="7" fillId="0" borderId="0" xfId="0" applyFont="1" applyAlignment="1">
      <alignment horizontal="left"/>
    </xf>
    <xf numFmtId="0" fontId="7" fillId="0" borderId="0" xfId="0" applyFont="1" applyAlignment="1">
      <alignment horizontal="left"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F9"/>
  <sheetViews>
    <sheetView tabSelected="1" workbookViewId="0">
      <selection activeCell="B9" sqref="B9"/>
    </sheetView>
  </sheetViews>
  <sheetFormatPr defaultColWidth="9" defaultRowHeight="13.5" customHeight="1" x14ac:dyDescent="0.4"/>
  <cols>
    <col min="2" max="2" width="29" style="24" customWidth="1"/>
    <col min="3" max="3" width="15.17578125" style="24" customWidth="1"/>
    <col min="4" max="5" width="20" style="24" customWidth="1"/>
    <col min="6" max="6" width="22" style="24" customWidth="1"/>
  </cols>
  <sheetData>
    <row r="1" spans="1:6" ht="38" customHeight="1" x14ac:dyDescent="0.4">
      <c r="A1" s="23" t="s">
        <v>0</v>
      </c>
    </row>
    <row r="2" spans="1:6" ht="33" customHeight="1" x14ac:dyDescent="0.4">
      <c r="A2" s="86" t="s">
        <v>462</v>
      </c>
      <c r="B2" s="87"/>
      <c r="C2" s="87"/>
      <c r="D2" s="87"/>
      <c r="E2" s="87"/>
      <c r="F2" s="87"/>
    </row>
    <row r="3" spans="1:6" ht="21" customHeight="1" x14ac:dyDescent="0.4">
      <c r="A3" s="37" t="s">
        <v>1</v>
      </c>
      <c r="B3" s="37" t="s">
        <v>2</v>
      </c>
      <c r="C3" s="37" t="s">
        <v>3</v>
      </c>
      <c r="D3" s="37" t="s">
        <v>4</v>
      </c>
      <c r="E3" s="37" t="s">
        <v>5</v>
      </c>
      <c r="F3" s="37" t="s">
        <v>6</v>
      </c>
    </row>
    <row r="4" spans="1:6" ht="21" customHeight="1" x14ac:dyDescent="0.3">
      <c r="A4" s="37">
        <v>1</v>
      </c>
      <c r="B4" s="37" t="s">
        <v>7</v>
      </c>
      <c r="C4" s="85">
        <v>0.13</v>
      </c>
      <c r="D4" s="74"/>
      <c r="E4" s="74"/>
      <c r="F4" s="75"/>
    </row>
    <row r="5" spans="1:6" ht="21" customHeight="1" x14ac:dyDescent="0.3">
      <c r="A5" s="37">
        <v>2</v>
      </c>
      <c r="B5" s="76" t="s">
        <v>8</v>
      </c>
      <c r="C5" s="85">
        <v>0.13</v>
      </c>
      <c r="D5" s="83" t="s">
        <v>459</v>
      </c>
      <c r="E5" s="83" t="s">
        <v>459</v>
      </c>
      <c r="F5" s="84" t="s">
        <v>459</v>
      </c>
    </row>
    <row r="6" spans="1:6" ht="21" customHeight="1" x14ac:dyDescent="0.3">
      <c r="A6" s="77">
        <v>3</v>
      </c>
      <c r="B6" s="78" t="s">
        <v>9</v>
      </c>
      <c r="C6" s="78"/>
      <c r="D6" s="82">
        <f>SUM(D4:D5)</f>
        <v>0</v>
      </c>
      <c r="E6" s="79"/>
      <c r="F6" s="80"/>
    </row>
    <row r="7" spans="1:6" ht="22.05" customHeight="1" x14ac:dyDescent="0.4">
      <c r="D7" s="24" t="s">
        <v>10</v>
      </c>
    </row>
    <row r="9" spans="1:6" ht="13.5" customHeight="1" x14ac:dyDescent="0.3">
      <c r="B9" s="81"/>
    </row>
  </sheetData>
  <mergeCells count="1">
    <mergeCell ref="A2:F2"/>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topLeftCell="A5" workbookViewId="0">
      <selection activeCell="D10" sqref="D10"/>
    </sheetView>
  </sheetViews>
  <sheetFormatPr defaultColWidth="9" defaultRowHeight="13.5" customHeight="1" x14ac:dyDescent="0.4"/>
  <cols>
    <col min="2" max="2" width="50.17578125" style="24" customWidth="1"/>
    <col min="3" max="3" width="15.17578125" style="24" customWidth="1"/>
    <col min="4" max="4" width="20" style="24" customWidth="1"/>
    <col min="5" max="5" width="22" style="24" customWidth="1"/>
  </cols>
  <sheetData>
    <row r="1" spans="1:5" ht="38" customHeight="1" x14ac:dyDescent="0.4">
      <c r="A1" s="23" t="s">
        <v>0</v>
      </c>
    </row>
    <row r="2" spans="1:5" ht="33" customHeight="1" x14ac:dyDescent="0.4">
      <c r="A2" s="86" t="s">
        <v>461</v>
      </c>
      <c r="B2" s="87"/>
      <c r="C2" s="87"/>
      <c r="D2" s="87"/>
      <c r="E2" s="87"/>
    </row>
    <row r="3" spans="1:5" ht="21" customHeight="1" x14ac:dyDescent="0.4">
      <c r="A3" s="37" t="s">
        <v>1</v>
      </c>
      <c r="B3" s="37" t="s">
        <v>2</v>
      </c>
      <c r="C3" s="37" t="s">
        <v>3</v>
      </c>
      <c r="D3" s="37" t="s">
        <v>4</v>
      </c>
      <c r="E3" s="37" t="s">
        <v>6</v>
      </c>
    </row>
    <row r="4" spans="1:5" ht="21" customHeight="1" x14ac:dyDescent="0.3">
      <c r="A4" s="37">
        <v>1</v>
      </c>
      <c r="B4" s="37" t="s">
        <v>11</v>
      </c>
      <c r="C4" s="37"/>
      <c r="D4" s="74"/>
      <c r="E4" s="75"/>
    </row>
    <row r="5" spans="1:5" ht="21" customHeight="1" x14ac:dyDescent="0.3">
      <c r="A5" s="37">
        <v>2</v>
      </c>
      <c r="B5" s="76" t="s">
        <v>12</v>
      </c>
      <c r="C5" s="76"/>
      <c r="D5" s="74"/>
      <c r="E5" s="75"/>
    </row>
    <row r="6" spans="1:5" ht="21" customHeight="1" x14ac:dyDescent="0.3">
      <c r="A6" s="37">
        <v>3</v>
      </c>
      <c r="B6" s="37" t="s">
        <v>13</v>
      </c>
      <c r="C6" s="37"/>
      <c r="D6" s="74"/>
      <c r="E6" s="75"/>
    </row>
    <row r="7" spans="1:5" ht="21" customHeight="1" x14ac:dyDescent="0.3">
      <c r="A7" s="77">
        <v>4</v>
      </c>
      <c r="B7" s="78" t="s">
        <v>14</v>
      </c>
      <c r="C7" s="78"/>
      <c r="D7" s="79">
        <f>SUM(D4:D6)</f>
        <v>0</v>
      </c>
      <c r="E7" s="80"/>
    </row>
    <row r="8" spans="1:5" ht="77" customHeight="1" x14ac:dyDescent="0.4">
      <c r="A8" s="88" t="s">
        <v>465</v>
      </c>
      <c r="B8" s="89"/>
      <c r="C8" s="89"/>
      <c r="D8" s="89"/>
      <c r="E8" s="90"/>
    </row>
    <row r="10" spans="1:5" ht="13.5" customHeight="1" x14ac:dyDescent="0.3">
      <c r="B10" s="81"/>
    </row>
  </sheetData>
  <mergeCells count="2">
    <mergeCell ref="A2:E2"/>
    <mergeCell ref="A8:E8"/>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zoomScale="55" zoomScaleNormal="55" workbookViewId="0">
      <selection activeCell="G11" sqref="G11"/>
    </sheetView>
  </sheetViews>
  <sheetFormatPr defaultColWidth="10" defaultRowHeight="16.5" customHeight="1" x14ac:dyDescent="0.4"/>
  <cols>
    <col min="1" max="1" width="22.46875" style="66" customWidth="1"/>
    <col min="2" max="2" width="19.8203125" style="21" customWidth="1"/>
    <col min="5" max="5" width="23.703125" style="21" customWidth="1"/>
    <col min="6" max="6" width="44.703125" style="21" customWidth="1"/>
    <col min="7" max="8" width="23.17578125" style="20" customWidth="1"/>
    <col min="9" max="9" width="61.29296875" style="20" customWidth="1"/>
  </cols>
  <sheetData>
    <row r="1" spans="1:9" s="22" customFormat="1" ht="38" customHeight="1" x14ac:dyDescent="0.4">
      <c r="A1" s="23" t="s">
        <v>0</v>
      </c>
      <c r="B1" s="24"/>
      <c r="C1" s="24"/>
      <c r="D1" s="24"/>
      <c r="E1" s="24"/>
    </row>
    <row r="2" spans="1:9" ht="43.05" customHeight="1" x14ac:dyDescent="0.4">
      <c r="A2" s="116" t="s">
        <v>460</v>
      </c>
      <c r="B2" s="117"/>
      <c r="C2" s="117"/>
      <c r="D2" s="117"/>
      <c r="E2" s="117"/>
      <c r="F2" s="117"/>
    </row>
    <row r="3" spans="1:9" ht="43.05" customHeight="1" x14ac:dyDescent="0.4">
      <c r="A3" s="67" t="s">
        <v>15</v>
      </c>
      <c r="B3" s="118" t="s">
        <v>16</v>
      </c>
      <c r="C3" s="118"/>
      <c r="D3" s="118"/>
      <c r="E3" s="118"/>
      <c r="F3" s="118"/>
    </row>
    <row r="4" spans="1:9" ht="46.15" customHeight="1" x14ac:dyDescent="0.4">
      <c r="A4" s="119" t="s">
        <v>17</v>
      </c>
      <c r="B4" s="120"/>
      <c r="C4" s="120"/>
      <c r="D4" s="120"/>
      <c r="E4" s="120"/>
      <c r="F4" s="121"/>
    </row>
    <row r="5" spans="1:9" ht="42" customHeight="1" x14ac:dyDescent="0.4">
      <c r="A5" s="114" t="s">
        <v>18</v>
      </c>
      <c r="B5" s="108" t="s">
        <v>19</v>
      </c>
      <c r="C5" s="109"/>
      <c r="D5" s="109"/>
      <c r="E5" s="109"/>
      <c r="F5" s="110"/>
    </row>
    <row r="6" spans="1:9" s="22" customFormat="1" ht="46.15" customHeight="1" x14ac:dyDescent="0.4">
      <c r="A6" s="114"/>
      <c r="B6" s="108" t="s">
        <v>463</v>
      </c>
      <c r="C6" s="109"/>
      <c r="D6" s="109"/>
      <c r="E6" s="109"/>
      <c r="F6" s="110"/>
      <c r="G6" s="20"/>
      <c r="H6" s="20"/>
      <c r="I6" s="20"/>
    </row>
    <row r="7" spans="1:9" s="22" customFormat="1" ht="37.049999999999997" customHeight="1" x14ac:dyDescent="0.4">
      <c r="A7" s="114"/>
      <c r="B7" s="108" t="s">
        <v>20</v>
      </c>
      <c r="C7" s="109"/>
      <c r="D7" s="109"/>
      <c r="E7" s="109"/>
      <c r="F7" s="110"/>
      <c r="G7" s="20"/>
      <c r="H7" s="20"/>
      <c r="I7" s="20"/>
    </row>
    <row r="8" spans="1:9" ht="79.05" customHeight="1" x14ac:dyDescent="0.4">
      <c r="A8" s="115"/>
      <c r="B8" s="111" t="s">
        <v>21</v>
      </c>
      <c r="C8" s="112"/>
      <c r="D8" s="112"/>
      <c r="E8" s="112"/>
      <c r="F8" s="113"/>
      <c r="I8" s="68"/>
    </row>
    <row r="9" spans="1:9" ht="68" customHeight="1" x14ac:dyDescent="0.4">
      <c r="A9" s="69" t="s">
        <v>22</v>
      </c>
      <c r="B9" s="111" t="s">
        <v>23</v>
      </c>
      <c r="C9" s="112"/>
      <c r="D9" s="112"/>
      <c r="E9" s="112"/>
      <c r="F9" s="113"/>
      <c r="I9" s="21"/>
    </row>
    <row r="10" spans="1:9" ht="55.05" customHeight="1" x14ac:dyDescent="0.4">
      <c r="A10" s="70" t="s">
        <v>24</v>
      </c>
      <c r="B10" s="102" t="s">
        <v>25</v>
      </c>
      <c r="C10" s="103"/>
      <c r="D10" s="103"/>
      <c r="E10" s="103"/>
      <c r="F10" s="104"/>
      <c r="I10" s="68"/>
    </row>
    <row r="11" spans="1:9" s="22" customFormat="1" ht="46.15" customHeight="1" x14ac:dyDescent="0.4">
      <c r="A11" s="99" t="s">
        <v>26</v>
      </c>
      <c r="B11" s="100"/>
      <c r="C11" s="100"/>
      <c r="D11" s="100"/>
      <c r="E11" s="100"/>
      <c r="F11" s="101"/>
      <c r="G11" s="20"/>
      <c r="H11" s="20"/>
      <c r="I11" s="20"/>
    </row>
    <row r="12" spans="1:9" ht="47" customHeight="1" x14ac:dyDescent="0.4">
      <c r="A12" s="69" t="s">
        <v>27</v>
      </c>
      <c r="B12" s="102" t="s">
        <v>464</v>
      </c>
      <c r="C12" s="103"/>
      <c r="D12" s="103"/>
      <c r="E12" s="103"/>
      <c r="F12" s="104"/>
      <c r="I12" s="68"/>
    </row>
    <row r="13" spans="1:9" ht="46.9" customHeight="1" x14ac:dyDescent="0.4">
      <c r="A13" s="71" t="s">
        <v>28</v>
      </c>
      <c r="B13" s="105" t="s">
        <v>29</v>
      </c>
      <c r="C13" s="106"/>
      <c r="D13" s="106"/>
      <c r="E13" s="106"/>
      <c r="F13" s="107"/>
    </row>
    <row r="14" spans="1:9" ht="48" customHeight="1" x14ac:dyDescent="0.4">
      <c r="A14" s="71" t="s">
        <v>30</v>
      </c>
      <c r="B14" s="105" t="s">
        <v>31</v>
      </c>
      <c r="C14" s="106"/>
      <c r="D14" s="106"/>
      <c r="E14" s="106"/>
      <c r="F14" s="107"/>
    </row>
    <row r="15" spans="1:9" s="22" customFormat="1" ht="46.15" customHeight="1" x14ac:dyDescent="0.4">
      <c r="A15" s="99" t="s">
        <v>32</v>
      </c>
      <c r="B15" s="100"/>
      <c r="C15" s="100"/>
      <c r="D15" s="100"/>
      <c r="E15" s="100"/>
      <c r="F15" s="101"/>
      <c r="G15" s="20"/>
      <c r="H15" s="20"/>
      <c r="I15" s="20"/>
    </row>
    <row r="16" spans="1:9" ht="52.9" customHeight="1" x14ac:dyDescent="0.4">
      <c r="A16" s="72" t="s">
        <v>33</v>
      </c>
      <c r="B16" s="93" t="s">
        <v>34</v>
      </c>
      <c r="C16" s="94"/>
      <c r="D16" s="94"/>
      <c r="E16" s="94"/>
      <c r="F16" s="94"/>
    </row>
    <row r="17" spans="1:9" ht="40.15" customHeight="1" x14ac:dyDescent="0.4">
      <c r="A17" s="72" t="s">
        <v>35</v>
      </c>
      <c r="B17" s="93" t="s">
        <v>36</v>
      </c>
      <c r="C17" s="94"/>
      <c r="D17" s="94"/>
      <c r="E17" s="94"/>
      <c r="F17" s="94"/>
    </row>
    <row r="18" spans="1:9" s="22" customFormat="1" ht="40.15" customHeight="1" x14ac:dyDescent="0.4">
      <c r="A18" s="72" t="s">
        <v>37</v>
      </c>
      <c r="B18" s="93" t="s">
        <v>38</v>
      </c>
      <c r="C18" s="94"/>
      <c r="D18" s="94"/>
      <c r="E18" s="94"/>
      <c r="F18" s="94"/>
      <c r="G18" s="20"/>
      <c r="H18" s="20"/>
      <c r="I18" s="20"/>
    </row>
    <row r="19" spans="1:9" ht="34.15" customHeight="1" x14ac:dyDescent="0.4">
      <c r="A19" s="72" t="s">
        <v>39</v>
      </c>
      <c r="B19" s="93" t="s">
        <v>40</v>
      </c>
      <c r="C19" s="94"/>
      <c r="D19" s="94"/>
      <c r="E19" s="94"/>
      <c r="F19" s="94"/>
    </row>
    <row r="20" spans="1:9" s="22" customFormat="1" ht="46.15" customHeight="1" x14ac:dyDescent="0.4">
      <c r="A20" s="99" t="s">
        <v>41</v>
      </c>
      <c r="B20" s="100"/>
      <c r="C20" s="100"/>
      <c r="D20" s="100"/>
      <c r="E20" s="100"/>
      <c r="F20" s="101"/>
      <c r="G20" s="20"/>
      <c r="H20" s="20"/>
      <c r="I20" s="20"/>
    </row>
    <row r="21" spans="1:9" ht="46.9" customHeight="1" x14ac:dyDescent="0.4">
      <c r="A21" s="72" t="s">
        <v>42</v>
      </c>
      <c r="B21" s="93" t="s">
        <v>43</v>
      </c>
      <c r="C21" s="94"/>
      <c r="D21" s="94"/>
      <c r="E21" s="94"/>
      <c r="F21" s="94"/>
    </row>
    <row r="22" spans="1:9" s="22" customFormat="1" ht="46.9" customHeight="1" x14ac:dyDescent="0.4">
      <c r="A22" s="72" t="s">
        <v>44</v>
      </c>
      <c r="B22" s="93" t="s">
        <v>45</v>
      </c>
      <c r="C22" s="94"/>
      <c r="D22" s="94"/>
      <c r="E22" s="94"/>
      <c r="F22" s="94"/>
      <c r="G22" s="20"/>
      <c r="H22" s="20"/>
      <c r="I22" s="20"/>
    </row>
    <row r="23" spans="1:9" s="22" customFormat="1" ht="46.9" customHeight="1" x14ac:dyDescent="0.4">
      <c r="A23" s="73" t="s">
        <v>46</v>
      </c>
      <c r="B23" s="95" t="s">
        <v>47</v>
      </c>
      <c r="C23" s="96"/>
      <c r="D23" s="96"/>
      <c r="E23" s="96"/>
      <c r="F23" s="96"/>
      <c r="G23" s="20"/>
      <c r="H23" s="20"/>
      <c r="I23" s="20"/>
    </row>
    <row r="24" spans="1:9" ht="39" customHeight="1" x14ac:dyDescent="0.4">
      <c r="A24" s="91" t="s">
        <v>48</v>
      </c>
      <c r="B24" s="93" t="s">
        <v>49</v>
      </c>
      <c r="C24" s="94"/>
      <c r="D24" s="94"/>
      <c r="E24" s="94"/>
      <c r="F24" s="94"/>
    </row>
    <row r="25" spans="1:9" ht="39" customHeight="1" x14ac:dyDescent="0.4">
      <c r="A25" s="92"/>
      <c r="B25" s="97" t="s">
        <v>50</v>
      </c>
      <c r="C25" s="98"/>
      <c r="D25" s="98"/>
      <c r="E25" s="98"/>
      <c r="F25" s="98"/>
    </row>
    <row r="26" spans="1:9" ht="39" customHeight="1" x14ac:dyDescent="0.4">
      <c r="A26" s="92"/>
      <c r="B26" s="97" t="s">
        <v>51</v>
      </c>
      <c r="C26" s="98"/>
      <c r="D26" s="98"/>
      <c r="E26" s="98"/>
      <c r="F26" s="98"/>
    </row>
  </sheetData>
  <mergeCells count="27">
    <mergeCell ref="A2:F2"/>
    <mergeCell ref="B3:F3"/>
    <mergeCell ref="A4:F4"/>
    <mergeCell ref="B5:F5"/>
    <mergeCell ref="B6:F6"/>
    <mergeCell ref="B7:F7"/>
    <mergeCell ref="B8:F8"/>
    <mergeCell ref="B9:F9"/>
    <mergeCell ref="B10:F10"/>
    <mergeCell ref="A11:F11"/>
    <mergeCell ref="A5:A8"/>
    <mergeCell ref="B12:F12"/>
    <mergeCell ref="B13:F13"/>
    <mergeCell ref="B14:F14"/>
    <mergeCell ref="A15:F15"/>
    <mergeCell ref="B16:F16"/>
    <mergeCell ref="B17:F17"/>
    <mergeCell ref="B18:F18"/>
    <mergeCell ref="B19:F19"/>
    <mergeCell ref="A20:F20"/>
    <mergeCell ref="B21:F21"/>
    <mergeCell ref="A24:A26"/>
    <mergeCell ref="B22:F22"/>
    <mergeCell ref="B23:F23"/>
    <mergeCell ref="B24:F24"/>
    <mergeCell ref="B25:F25"/>
    <mergeCell ref="B26:F26"/>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N111"/>
  <sheetViews>
    <sheetView zoomScale="55" zoomScaleNormal="55" workbookViewId="0">
      <pane ySplit="2" topLeftCell="A30" activePane="bottomLeft" state="frozen"/>
      <selection pane="bottomLeft" activeCell="C5" sqref="C5"/>
    </sheetView>
  </sheetViews>
  <sheetFormatPr defaultColWidth="9" defaultRowHeight="13.5" customHeight="1" x14ac:dyDescent="0.4"/>
  <cols>
    <col min="1" max="1" width="9" style="26"/>
    <col min="2" max="2" width="23.29296875" style="27" customWidth="1"/>
    <col min="3" max="3" width="71.17578125" style="25" customWidth="1"/>
    <col min="4" max="4" width="27.29296875" style="26"/>
    <col min="5" max="5" width="9" style="22"/>
    <col min="6" max="6" width="11" style="24" customWidth="1"/>
    <col min="7" max="10" width="9" style="22"/>
    <col min="11" max="11" width="18.703125" style="24" customWidth="1"/>
    <col min="12" max="12" width="14.703125" style="24" customWidth="1"/>
    <col min="13" max="14" width="16.29296875" style="24" customWidth="1"/>
    <col min="15" max="40" width="9" style="22"/>
  </cols>
  <sheetData>
    <row r="1" spans="1:16" ht="39" customHeight="1" x14ac:dyDescent="0.3">
      <c r="A1" s="122" t="s">
        <v>0</v>
      </c>
      <c r="B1" s="122"/>
      <c r="C1" s="123"/>
      <c r="D1" s="122"/>
      <c r="E1" s="122"/>
      <c r="F1" s="122"/>
      <c r="G1" s="28"/>
      <c r="H1" s="29" t="s">
        <v>52</v>
      </c>
      <c r="I1" s="29" t="s">
        <v>52</v>
      </c>
      <c r="J1" s="29" t="s">
        <v>52</v>
      </c>
      <c r="K1" s="29" t="s">
        <v>52</v>
      </c>
      <c r="L1" s="29" t="s">
        <v>52</v>
      </c>
      <c r="M1" s="29" t="s">
        <v>52</v>
      </c>
      <c r="N1" s="29" t="s">
        <v>52</v>
      </c>
      <c r="O1" s="29" t="s">
        <v>52</v>
      </c>
      <c r="P1" s="30"/>
    </row>
    <row r="2" spans="1:16" ht="21" customHeight="1" x14ac:dyDescent="0.4">
      <c r="A2" s="31" t="s">
        <v>1</v>
      </c>
      <c r="B2" s="32" t="s">
        <v>53</v>
      </c>
      <c r="C2" s="33" t="s">
        <v>54</v>
      </c>
      <c r="D2" s="31" t="s">
        <v>55</v>
      </c>
      <c r="E2" s="34" t="s">
        <v>56</v>
      </c>
      <c r="F2" s="31" t="s">
        <v>57</v>
      </c>
      <c r="G2" s="31" t="s">
        <v>6</v>
      </c>
      <c r="H2" s="35" t="s">
        <v>58</v>
      </c>
      <c r="I2" s="35" t="s">
        <v>59</v>
      </c>
      <c r="J2" s="35" t="s">
        <v>60</v>
      </c>
      <c r="K2" s="36" t="s">
        <v>61</v>
      </c>
      <c r="L2" s="36" t="s">
        <v>62</v>
      </c>
      <c r="M2" s="35" t="s">
        <v>63</v>
      </c>
      <c r="N2" s="35" t="s">
        <v>64</v>
      </c>
      <c r="O2" s="35" t="s">
        <v>65</v>
      </c>
      <c r="P2" s="36" t="s">
        <v>6</v>
      </c>
    </row>
    <row r="3" spans="1:16" ht="21" customHeight="1" x14ac:dyDescent="0.4">
      <c r="A3" s="37"/>
      <c r="B3" s="38" t="s">
        <v>66</v>
      </c>
      <c r="C3" s="39"/>
      <c r="D3" s="37"/>
      <c r="E3" s="40"/>
      <c r="F3" s="40"/>
      <c r="G3" s="40"/>
      <c r="H3" s="40"/>
      <c r="I3" s="40"/>
      <c r="J3" s="40"/>
      <c r="K3" s="40"/>
      <c r="L3" s="40"/>
      <c r="M3" s="40"/>
      <c r="N3" s="40"/>
      <c r="O3" s="40"/>
      <c r="P3" s="40"/>
    </row>
    <row r="4" spans="1:16" s="25" customFormat="1" ht="68.25" customHeight="1" x14ac:dyDescent="0.4">
      <c r="A4" s="41">
        <v>1</v>
      </c>
      <c r="B4" s="42" t="s">
        <v>67</v>
      </c>
      <c r="C4" s="43" t="s">
        <v>68</v>
      </c>
      <c r="D4" s="44" t="s">
        <v>69</v>
      </c>
      <c r="E4" s="37">
        <v>24</v>
      </c>
      <c r="F4" s="41" t="s">
        <v>70</v>
      </c>
      <c r="G4" s="39"/>
      <c r="H4" s="39"/>
      <c r="I4" s="39"/>
      <c r="J4" s="39"/>
      <c r="K4" s="39"/>
      <c r="L4" s="39"/>
      <c r="M4" s="39"/>
      <c r="N4" s="39"/>
      <c r="O4" s="39"/>
      <c r="P4" s="39"/>
    </row>
    <row r="5" spans="1:16" ht="68.25" customHeight="1" x14ac:dyDescent="0.4">
      <c r="A5" s="41">
        <v>2</v>
      </c>
      <c r="B5" s="42" t="s">
        <v>71</v>
      </c>
      <c r="C5" s="45" t="s">
        <v>72</v>
      </c>
      <c r="D5" s="41" t="s">
        <v>73</v>
      </c>
      <c r="E5" s="37">
        <v>9</v>
      </c>
      <c r="F5" s="41" t="s">
        <v>70</v>
      </c>
      <c r="G5" s="40"/>
      <c r="H5" s="40"/>
      <c r="I5" s="40"/>
      <c r="J5" s="40"/>
      <c r="K5" s="40"/>
      <c r="L5" s="40"/>
      <c r="M5" s="40"/>
      <c r="N5" s="40"/>
      <c r="O5" s="40"/>
      <c r="P5" s="40"/>
    </row>
    <row r="6" spans="1:16" ht="189.75" customHeight="1" x14ac:dyDescent="0.4">
      <c r="A6" s="41">
        <v>3</v>
      </c>
      <c r="B6" s="42" t="s">
        <v>74</v>
      </c>
      <c r="C6" s="45" t="s">
        <v>75</v>
      </c>
      <c r="D6" s="41" t="s">
        <v>73</v>
      </c>
      <c r="E6" s="37">
        <v>129</v>
      </c>
      <c r="F6" s="41" t="s">
        <v>70</v>
      </c>
      <c r="G6" s="40"/>
      <c r="H6" s="40"/>
      <c r="I6" s="40"/>
      <c r="J6" s="40"/>
      <c r="K6" s="40"/>
      <c r="L6" s="40"/>
      <c r="M6" s="40"/>
      <c r="N6" s="40"/>
      <c r="O6" s="40"/>
      <c r="P6" s="40"/>
    </row>
    <row r="7" spans="1:16" ht="98.25" customHeight="1" x14ac:dyDescent="0.4">
      <c r="A7" s="41">
        <v>4</v>
      </c>
      <c r="B7" s="42" t="s">
        <v>76</v>
      </c>
      <c r="C7" s="45" t="s">
        <v>77</v>
      </c>
      <c r="D7" s="44" t="s">
        <v>78</v>
      </c>
      <c r="E7" s="37">
        <v>129</v>
      </c>
      <c r="F7" s="41" t="s">
        <v>70</v>
      </c>
      <c r="G7" s="40"/>
      <c r="H7" s="40"/>
      <c r="I7" s="40"/>
      <c r="J7" s="40"/>
      <c r="K7" s="40"/>
      <c r="L7" s="40"/>
      <c r="M7" s="40"/>
      <c r="N7" s="40"/>
      <c r="O7" s="40"/>
      <c r="P7" s="40"/>
    </row>
    <row r="8" spans="1:16" ht="108.75" customHeight="1" x14ac:dyDescent="0.4">
      <c r="A8" s="41">
        <v>5</v>
      </c>
      <c r="B8" s="42" t="s">
        <v>79</v>
      </c>
      <c r="C8" s="43" t="s">
        <v>80</v>
      </c>
      <c r="D8" s="41" t="s">
        <v>73</v>
      </c>
      <c r="E8" s="37">
        <v>129</v>
      </c>
      <c r="F8" s="41" t="s">
        <v>70</v>
      </c>
      <c r="G8" s="40"/>
      <c r="H8" s="40"/>
      <c r="I8" s="40"/>
      <c r="J8" s="40"/>
      <c r="K8" s="40"/>
      <c r="L8" s="40"/>
      <c r="M8" s="40"/>
      <c r="N8" s="40"/>
      <c r="O8" s="40"/>
      <c r="P8" s="40"/>
    </row>
    <row r="9" spans="1:16" ht="29" customHeight="1" x14ac:dyDescent="0.4">
      <c r="A9" s="41">
        <v>6</v>
      </c>
      <c r="B9" s="42" t="s">
        <v>81</v>
      </c>
      <c r="C9" s="46" t="s">
        <v>82</v>
      </c>
      <c r="D9" s="41" t="s">
        <v>73</v>
      </c>
      <c r="E9" s="37">
        <v>13</v>
      </c>
      <c r="F9" s="41" t="s">
        <v>70</v>
      </c>
      <c r="G9" s="40"/>
      <c r="H9" s="40"/>
      <c r="I9" s="40"/>
      <c r="J9" s="40"/>
      <c r="K9" s="40"/>
      <c r="L9" s="40"/>
      <c r="M9" s="40"/>
      <c r="N9" s="40"/>
      <c r="O9" s="40"/>
      <c r="P9" s="40"/>
    </row>
    <row r="10" spans="1:16" ht="21" customHeight="1" x14ac:dyDescent="0.4">
      <c r="A10" s="41">
        <v>7</v>
      </c>
      <c r="B10" s="42" t="s">
        <v>83</v>
      </c>
      <c r="C10" s="45" t="s">
        <v>84</v>
      </c>
      <c r="D10" s="41" t="s">
        <v>73</v>
      </c>
      <c r="E10" s="37">
        <v>362</v>
      </c>
      <c r="F10" s="41" t="s">
        <v>70</v>
      </c>
      <c r="G10" s="40"/>
      <c r="H10" s="40"/>
      <c r="I10" s="40"/>
      <c r="J10" s="40"/>
      <c r="K10" s="40"/>
      <c r="L10" s="40"/>
      <c r="M10" s="40"/>
      <c r="N10" s="40"/>
      <c r="O10" s="40"/>
      <c r="P10" s="40"/>
    </row>
    <row r="11" spans="1:16" ht="41.25" customHeight="1" x14ac:dyDescent="0.4">
      <c r="A11" s="41">
        <v>8</v>
      </c>
      <c r="B11" s="42" t="s">
        <v>85</v>
      </c>
      <c r="C11" s="45" t="s">
        <v>86</v>
      </c>
      <c r="D11" s="41" t="s">
        <v>73</v>
      </c>
      <c r="E11" s="37">
        <v>75</v>
      </c>
      <c r="F11" s="41" t="s">
        <v>70</v>
      </c>
      <c r="G11" s="40"/>
      <c r="H11" s="40"/>
      <c r="I11" s="40"/>
      <c r="J11" s="40"/>
      <c r="K11" s="40"/>
      <c r="L11" s="40"/>
      <c r="M11" s="40"/>
      <c r="N11" s="40"/>
      <c r="O11" s="40"/>
      <c r="P11" s="40"/>
    </row>
    <row r="12" spans="1:16" ht="162.75" customHeight="1" x14ac:dyDescent="0.4">
      <c r="A12" s="41">
        <v>9</v>
      </c>
      <c r="B12" s="42" t="s">
        <v>87</v>
      </c>
      <c r="C12" s="43" t="s">
        <v>88</v>
      </c>
      <c r="D12" s="41" t="s">
        <v>73</v>
      </c>
      <c r="E12" s="37">
        <v>26</v>
      </c>
      <c r="F12" s="41" t="s">
        <v>70</v>
      </c>
      <c r="G12" s="40"/>
      <c r="H12" s="40"/>
      <c r="I12" s="40"/>
      <c r="J12" s="40"/>
      <c r="K12" s="40"/>
      <c r="L12" s="40"/>
      <c r="M12" s="40"/>
      <c r="N12" s="40"/>
      <c r="O12" s="40"/>
      <c r="P12" s="40"/>
    </row>
    <row r="13" spans="1:16" ht="21" customHeight="1" x14ac:dyDescent="0.4">
      <c r="A13" s="41">
        <v>10</v>
      </c>
      <c r="B13" s="42" t="s">
        <v>89</v>
      </c>
      <c r="C13" s="45" t="s">
        <v>90</v>
      </c>
      <c r="D13" s="41" t="s">
        <v>73</v>
      </c>
      <c r="E13" s="37">
        <v>2</v>
      </c>
      <c r="F13" s="41" t="s">
        <v>70</v>
      </c>
      <c r="G13" s="40"/>
      <c r="H13" s="40"/>
      <c r="I13" s="40"/>
      <c r="J13" s="40"/>
      <c r="K13" s="40"/>
      <c r="L13" s="40"/>
      <c r="M13" s="40"/>
      <c r="N13" s="40"/>
      <c r="O13" s="40"/>
      <c r="P13" s="40"/>
    </row>
    <row r="14" spans="1:16" ht="68.25" customHeight="1" x14ac:dyDescent="0.4">
      <c r="A14" s="41">
        <v>11</v>
      </c>
      <c r="B14" s="42" t="s">
        <v>91</v>
      </c>
      <c r="C14" s="45" t="s">
        <v>92</v>
      </c>
      <c r="D14" s="41" t="s">
        <v>73</v>
      </c>
      <c r="E14" s="37">
        <v>89</v>
      </c>
      <c r="F14" s="41" t="s">
        <v>70</v>
      </c>
      <c r="G14" s="40"/>
      <c r="H14" s="40"/>
      <c r="I14" s="40"/>
      <c r="J14" s="40"/>
      <c r="K14" s="40"/>
      <c r="L14" s="40"/>
      <c r="M14" s="40"/>
      <c r="N14" s="40"/>
      <c r="O14" s="40"/>
      <c r="P14" s="40"/>
    </row>
    <row r="15" spans="1:16" ht="21" customHeight="1" x14ac:dyDescent="0.4">
      <c r="A15" s="41">
        <v>12</v>
      </c>
      <c r="B15" s="42" t="s">
        <v>93</v>
      </c>
      <c r="C15" s="45" t="s">
        <v>94</v>
      </c>
      <c r="D15" s="41" t="s">
        <v>73</v>
      </c>
      <c r="E15" s="37">
        <v>100</v>
      </c>
      <c r="F15" s="41" t="s">
        <v>95</v>
      </c>
      <c r="G15" s="40"/>
      <c r="H15" s="40"/>
      <c r="I15" s="40"/>
      <c r="J15" s="40"/>
      <c r="K15" s="40"/>
      <c r="L15" s="40"/>
      <c r="M15" s="40"/>
      <c r="N15" s="40"/>
      <c r="O15" s="40"/>
      <c r="P15" s="40"/>
    </row>
    <row r="16" spans="1:16" ht="21" customHeight="1" x14ac:dyDescent="0.4">
      <c r="A16" s="41">
        <v>13</v>
      </c>
      <c r="B16" s="42" t="s">
        <v>96</v>
      </c>
      <c r="C16" s="45" t="s">
        <v>97</v>
      </c>
      <c r="D16" s="41" t="s">
        <v>73</v>
      </c>
      <c r="E16" s="37">
        <v>168</v>
      </c>
      <c r="F16" s="41" t="s">
        <v>95</v>
      </c>
      <c r="G16" s="40"/>
      <c r="H16" s="40"/>
      <c r="I16" s="40"/>
      <c r="J16" s="40"/>
      <c r="K16" s="40"/>
      <c r="L16" s="40"/>
      <c r="M16" s="40"/>
      <c r="N16" s="40"/>
      <c r="O16" s="40"/>
      <c r="P16" s="40"/>
    </row>
    <row r="17" spans="1:16" ht="21" customHeight="1" x14ac:dyDescent="0.4">
      <c r="A17" s="41">
        <v>14</v>
      </c>
      <c r="B17" s="47" t="s">
        <v>98</v>
      </c>
      <c r="C17" s="45" t="s">
        <v>99</v>
      </c>
      <c r="D17" s="41" t="s">
        <v>100</v>
      </c>
      <c r="E17" s="37">
        <v>129</v>
      </c>
      <c r="F17" s="41" t="s">
        <v>95</v>
      </c>
      <c r="G17" s="40"/>
      <c r="H17" s="40"/>
      <c r="I17" s="40"/>
      <c r="J17" s="40"/>
      <c r="K17" s="40"/>
      <c r="L17" s="40"/>
      <c r="M17" s="40"/>
      <c r="N17" s="40"/>
      <c r="O17" s="40"/>
      <c r="P17" s="40"/>
    </row>
    <row r="18" spans="1:16" ht="21" customHeight="1" x14ac:dyDescent="0.4">
      <c r="A18" s="41">
        <v>15</v>
      </c>
      <c r="B18" s="47" t="s">
        <v>101</v>
      </c>
      <c r="C18" s="45" t="s">
        <v>102</v>
      </c>
      <c r="D18" s="37" t="s">
        <v>103</v>
      </c>
      <c r="E18" s="37">
        <v>129</v>
      </c>
      <c r="F18" s="41" t="s">
        <v>104</v>
      </c>
      <c r="G18" s="40"/>
      <c r="H18" s="40"/>
      <c r="I18" s="40"/>
      <c r="J18" s="40"/>
      <c r="K18" s="40"/>
      <c r="L18" s="40"/>
      <c r="M18" s="40"/>
      <c r="N18" s="40"/>
      <c r="O18" s="40"/>
      <c r="P18" s="40"/>
    </row>
    <row r="19" spans="1:16" ht="21" customHeight="1" x14ac:dyDescent="0.4">
      <c r="A19" s="41">
        <v>16</v>
      </c>
      <c r="B19" s="47" t="s">
        <v>105</v>
      </c>
      <c r="C19" s="45" t="s">
        <v>106</v>
      </c>
      <c r="D19" s="37" t="s">
        <v>103</v>
      </c>
      <c r="E19" s="37">
        <v>34</v>
      </c>
      <c r="F19" s="41" t="s">
        <v>95</v>
      </c>
      <c r="G19" s="40"/>
      <c r="H19" s="40"/>
      <c r="I19" s="40"/>
      <c r="J19" s="40"/>
      <c r="K19" s="40"/>
      <c r="L19" s="40"/>
      <c r="M19" s="40"/>
      <c r="N19" s="40"/>
      <c r="O19" s="40"/>
      <c r="P19" s="40"/>
    </row>
    <row r="20" spans="1:16" ht="42" customHeight="1" x14ac:dyDescent="0.4">
      <c r="A20" s="41">
        <v>17</v>
      </c>
      <c r="B20" s="47" t="s">
        <v>107</v>
      </c>
      <c r="C20" s="45" t="s">
        <v>108</v>
      </c>
      <c r="D20" s="41" t="s">
        <v>100</v>
      </c>
      <c r="E20" s="41">
        <v>130000</v>
      </c>
      <c r="F20" s="41" t="s">
        <v>109</v>
      </c>
      <c r="G20" s="40"/>
      <c r="H20" s="40"/>
      <c r="I20" s="40"/>
      <c r="J20" s="40"/>
      <c r="K20" s="40"/>
      <c r="L20" s="40"/>
      <c r="M20" s="40"/>
      <c r="N20" s="40"/>
      <c r="O20" s="40"/>
      <c r="P20" s="40"/>
    </row>
    <row r="21" spans="1:16" ht="21" customHeight="1" x14ac:dyDescent="0.4">
      <c r="A21" s="41">
        <v>18</v>
      </c>
      <c r="B21" s="47" t="s">
        <v>110</v>
      </c>
      <c r="C21" s="45" t="s">
        <v>111</v>
      </c>
      <c r="D21" s="41" t="s">
        <v>100</v>
      </c>
      <c r="E21" s="41">
        <v>24</v>
      </c>
      <c r="F21" s="41" t="s">
        <v>95</v>
      </c>
      <c r="G21" s="40"/>
      <c r="H21" s="40"/>
      <c r="I21" s="40"/>
      <c r="J21" s="40"/>
      <c r="K21" s="40"/>
      <c r="L21" s="40"/>
      <c r="M21" s="40"/>
      <c r="N21" s="40"/>
      <c r="O21" s="40"/>
      <c r="P21" s="40"/>
    </row>
    <row r="22" spans="1:16" ht="21" customHeight="1" x14ac:dyDescent="0.4">
      <c r="A22" s="41">
        <v>19</v>
      </c>
      <c r="B22" s="47" t="s">
        <v>112</v>
      </c>
      <c r="C22" s="45" t="s">
        <v>113</v>
      </c>
      <c r="D22" s="41" t="s">
        <v>100</v>
      </c>
      <c r="E22" s="41">
        <f>E18</f>
        <v>129</v>
      </c>
      <c r="F22" s="41" t="s">
        <v>95</v>
      </c>
      <c r="G22" s="40"/>
      <c r="H22" s="40"/>
      <c r="I22" s="40"/>
      <c r="J22" s="40"/>
      <c r="K22" s="40"/>
      <c r="L22" s="40"/>
      <c r="M22" s="40"/>
      <c r="N22" s="40"/>
      <c r="O22" s="40"/>
      <c r="P22" s="40"/>
    </row>
    <row r="23" spans="1:16" ht="21" customHeight="1" x14ac:dyDescent="0.4">
      <c r="A23" s="41">
        <v>20</v>
      </c>
      <c r="B23" s="47" t="s">
        <v>114</v>
      </c>
      <c r="C23" s="45" t="s">
        <v>115</v>
      </c>
      <c r="D23" s="41" t="s">
        <v>100</v>
      </c>
      <c r="E23" s="41">
        <f>E18*2</f>
        <v>258</v>
      </c>
      <c r="F23" s="41" t="s">
        <v>95</v>
      </c>
      <c r="G23" s="40"/>
      <c r="H23" s="40"/>
      <c r="I23" s="40"/>
      <c r="J23" s="40"/>
      <c r="K23" s="40"/>
      <c r="L23" s="40"/>
      <c r="M23" s="40"/>
      <c r="N23" s="40"/>
      <c r="O23" s="40"/>
      <c r="P23" s="40"/>
    </row>
    <row r="24" spans="1:16" ht="21" customHeight="1" x14ac:dyDescent="0.4">
      <c r="A24" s="41">
        <v>21</v>
      </c>
      <c r="B24" s="47" t="s">
        <v>116</v>
      </c>
      <c r="C24" s="45" t="s">
        <v>117</v>
      </c>
      <c r="D24" s="37" t="s">
        <v>118</v>
      </c>
      <c r="E24" s="37">
        <v>12</v>
      </c>
      <c r="F24" s="41" t="s">
        <v>70</v>
      </c>
      <c r="G24" s="40"/>
      <c r="H24" s="40"/>
      <c r="I24" s="40"/>
      <c r="J24" s="40"/>
      <c r="K24" s="40"/>
      <c r="L24" s="40"/>
      <c r="M24" s="40"/>
      <c r="N24" s="40"/>
      <c r="O24" s="40"/>
      <c r="P24" s="40"/>
    </row>
    <row r="25" spans="1:16" ht="21" customHeight="1" x14ac:dyDescent="0.4">
      <c r="A25" s="41">
        <v>22</v>
      </c>
      <c r="B25" s="47" t="s">
        <v>119</v>
      </c>
      <c r="C25" s="45" t="s">
        <v>120</v>
      </c>
      <c r="D25" s="37" t="s">
        <v>118</v>
      </c>
      <c r="E25" s="41">
        <v>24</v>
      </c>
      <c r="F25" s="41" t="s">
        <v>95</v>
      </c>
      <c r="G25" s="40"/>
      <c r="H25" s="40"/>
      <c r="I25" s="40"/>
      <c r="J25" s="40"/>
      <c r="K25" s="40"/>
      <c r="L25" s="40"/>
      <c r="M25" s="40"/>
      <c r="N25" s="40"/>
      <c r="O25" s="40"/>
      <c r="P25" s="40"/>
    </row>
    <row r="26" spans="1:16" ht="21" customHeight="1" x14ac:dyDescent="0.4">
      <c r="A26" s="41">
        <v>23</v>
      </c>
      <c r="B26" s="47" t="s">
        <v>121</v>
      </c>
      <c r="C26" s="45" t="s">
        <v>122</v>
      </c>
      <c r="D26" s="41" t="s">
        <v>100</v>
      </c>
      <c r="E26" s="41">
        <v>3800</v>
      </c>
      <c r="F26" s="41" t="s">
        <v>109</v>
      </c>
      <c r="G26" s="40"/>
      <c r="H26" s="40"/>
      <c r="I26" s="40"/>
      <c r="J26" s="40"/>
      <c r="K26" s="40"/>
      <c r="L26" s="40"/>
      <c r="M26" s="40"/>
      <c r="N26" s="40"/>
      <c r="O26" s="40"/>
      <c r="P26" s="40"/>
    </row>
    <row r="27" spans="1:16" ht="21" customHeight="1" x14ac:dyDescent="0.4">
      <c r="A27" s="41">
        <v>24</v>
      </c>
      <c r="B27" s="47" t="s">
        <v>121</v>
      </c>
      <c r="C27" s="45" t="s">
        <v>123</v>
      </c>
      <c r="D27" s="41" t="s">
        <v>100</v>
      </c>
      <c r="E27" s="41">
        <v>7200</v>
      </c>
      <c r="F27" s="41" t="s">
        <v>109</v>
      </c>
      <c r="G27" s="40"/>
      <c r="H27" s="40"/>
      <c r="I27" s="40"/>
      <c r="J27" s="40"/>
      <c r="K27" s="40"/>
      <c r="L27" s="40"/>
      <c r="M27" s="40"/>
      <c r="N27" s="40"/>
      <c r="O27" s="40"/>
      <c r="P27" s="40"/>
    </row>
    <row r="28" spans="1:16" ht="21" customHeight="1" x14ac:dyDescent="0.4">
      <c r="A28" s="41">
        <v>25</v>
      </c>
      <c r="B28" s="47" t="s">
        <v>121</v>
      </c>
      <c r="C28" s="45" t="s">
        <v>124</v>
      </c>
      <c r="D28" s="41" t="s">
        <v>100</v>
      </c>
      <c r="E28" s="41">
        <v>5000</v>
      </c>
      <c r="F28" s="41" t="s">
        <v>109</v>
      </c>
      <c r="G28" s="40"/>
      <c r="H28" s="40"/>
      <c r="I28" s="40"/>
      <c r="J28" s="40"/>
      <c r="K28" s="40"/>
      <c r="L28" s="40"/>
      <c r="M28" s="40"/>
      <c r="N28" s="40"/>
      <c r="O28" s="40"/>
      <c r="P28" s="40"/>
    </row>
    <row r="29" spans="1:16" ht="21" customHeight="1" x14ac:dyDescent="0.4">
      <c r="A29" s="41">
        <v>26</v>
      </c>
      <c r="B29" s="47" t="s">
        <v>121</v>
      </c>
      <c r="C29" s="45" t="s">
        <v>125</v>
      </c>
      <c r="D29" s="41" t="s">
        <v>100</v>
      </c>
      <c r="E29" s="41">
        <v>154</v>
      </c>
      <c r="F29" s="41" t="s">
        <v>109</v>
      </c>
      <c r="G29" s="40"/>
      <c r="H29" s="40"/>
      <c r="I29" s="40"/>
      <c r="J29" s="40"/>
      <c r="K29" s="40"/>
      <c r="L29" s="40"/>
      <c r="M29" s="40"/>
      <c r="N29" s="40"/>
      <c r="O29" s="40"/>
      <c r="P29" s="40"/>
    </row>
    <row r="30" spans="1:16" ht="21" customHeight="1" x14ac:dyDescent="0.4">
      <c r="A30" s="41">
        <v>27</v>
      </c>
      <c r="B30" s="47" t="s">
        <v>126</v>
      </c>
      <c r="C30" s="45" t="s">
        <v>127</v>
      </c>
      <c r="D30" s="37" t="s">
        <v>128</v>
      </c>
      <c r="E30" s="41">
        <v>25000</v>
      </c>
      <c r="F30" s="41" t="s">
        <v>109</v>
      </c>
      <c r="G30" s="40"/>
      <c r="H30" s="40"/>
      <c r="I30" s="40"/>
      <c r="J30" s="40"/>
      <c r="K30" s="40"/>
      <c r="L30" s="40"/>
      <c r="M30" s="40"/>
      <c r="N30" s="40"/>
      <c r="O30" s="40"/>
      <c r="P30" s="40"/>
    </row>
    <row r="31" spans="1:16" ht="21" customHeight="1" x14ac:dyDescent="0.4">
      <c r="A31" s="41">
        <v>28</v>
      </c>
      <c r="B31" s="47" t="s">
        <v>129</v>
      </c>
      <c r="C31" s="45" t="s">
        <v>130</v>
      </c>
      <c r="D31" s="37" t="s">
        <v>128</v>
      </c>
      <c r="E31" s="41">
        <v>1</v>
      </c>
      <c r="F31" s="41" t="s">
        <v>131</v>
      </c>
      <c r="G31" s="40"/>
      <c r="H31" s="40"/>
      <c r="I31" s="40"/>
      <c r="J31" s="40"/>
      <c r="K31" s="40"/>
      <c r="L31" s="40"/>
      <c r="M31" s="40"/>
      <c r="N31" s="40"/>
      <c r="O31" s="40"/>
      <c r="P31" s="40"/>
    </row>
    <row r="32" spans="1:16" ht="21" customHeight="1" x14ac:dyDescent="0.4">
      <c r="A32" s="41"/>
      <c r="B32" s="48" t="s">
        <v>132</v>
      </c>
      <c r="C32" s="45"/>
      <c r="D32" s="37"/>
      <c r="E32" s="40"/>
      <c r="F32" s="40"/>
      <c r="G32" s="40"/>
      <c r="H32" s="40"/>
      <c r="I32" s="40"/>
      <c r="J32" s="40"/>
      <c r="K32" s="40"/>
      <c r="L32" s="40"/>
      <c r="M32" s="40"/>
      <c r="N32" s="40"/>
      <c r="O32" s="40"/>
      <c r="P32" s="40"/>
    </row>
    <row r="33" spans="1:16" ht="21" customHeight="1" x14ac:dyDescent="0.4">
      <c r="A33" s="41"/>
      <c r="B33" s="47" t="s">
        <v>133</v>
      </c>
      <c r="C33" s="45"/>
      <c r="D33" s="37"/>
      <c r="E33" s="40"/>
      <c r="F33" s="40"/>
      <c r="G33" s="40"/>
      <c r="H33" s="40"/>
      <c r="I33" s="40"/>
      <c r="J33" s="40"/>
      <c r="K33" s="40"/>
      <c r="L33" s="40"/>
      <c r="M33" s="40"/>
      <c r="N33" s="40"/>
      <c r="O33" s="40"/>
      <c r="P33" s="40"/>
    </row>
    <row r="34" spans="1:16" ht="21" customHeight="1" x14ac:dyDescent="0.4">
      <c r="A34" s="41">
        <v>1</v>
      </c>
      <c r="B34" s="47" t="s">
        <v>134</v>
      </c>
      <c r="C34" s="45" t="s">
        <v>135</v>
      </c>
      <c r="D34" s="37" t="s">
        <v>136</v>
      </c>
      <c r="E34" s="41">
        <v>6</v>
      </c>
      <c r="F34" s="41" t="s">
        <v>70</v>
      </c>
      <c r="G34" s="40"/>
      <c r="H34" s="40"/>
      <c r="I34" s="40"/>
      <c r="J34" s="40"/>
      <c r="K34" s="40"/>
      <c r="L34" s="40"/>
      <c r="M34" s="40"/>
      <c r="N34" s="40"/>
      <c r="O34" s="40"/>
      <c r="P34" s="40"/>
    </row>
    <row r="35" spans="1:16" ht="21" customHeight="1" x14ac:dyDescent="0.4">
      <c r="A35" s="41">
        <v>2</v>
      </c>
      <c r="B35" s="47" t="s">
        <v>137</v>
      </c>
      <c r="C35" s="45" t="s">
        <v>138</v>
      </c>
      <c r="D35" s="37" t="s">
        <v>136</v>
      </c>
      <c r="E35" s="41">
        <v>68</v>
      </c>
      <c r="F35" s="41" t="s">
        <v>70</v>
      </c>
      <c r="G35" s="40"/>
      <c r="H35" s="40"/>
      <c r="I35" s="40"/>
      <c r="J35" s="40"/>
      <c r="K35" s="40"/>
      <c r="L35" s="40"/>
      <c r="M35" s="40"/>
      <c r="N35" s="40"/>
      <c r="O35" s="40"/>
      <c r="P35" s="40"/>
    </row>
    <row r="36" spans="1:16" ht="189.75" customHeight="1" x14ac:dyDescent="0.4">
      <c r="A36" s="41">
        <v>3</v>
      </c>
      <c r="B36" s="47" t="s">
        <v>139</v>
      </c>
      <c r="C36" s="45" t="s">
        <v>140</v>
      </c>
      <c r="D36" s="37" t="s">
        <v>136</v>
      </c>
      <c r="E36" s="41">
        <v>199</v>
      </c>
      <c r="F36" s="41" t="s">
        <v>70</v>
      </c>
      <c r="G36" s="40"/>
      <c r="H36" s="40"/>
      <c r="I36" s="40"/>
      <c r="J36" s="40"/>
      <c r="K36" s="40"/>
      <c r="L36" s="40"/>
      <c r="M36" s="40"/>
      <c r="N36" s="40"/>
      <c r="O36" s="40"/>
      <c r="P36" s="40"/>
    </row>
    <row r="37" spans="1:16" ht="21" customHeight="1" x14ac:dyDescent="0.4">
      <c r="A37" s="41">
        <v>4</v>
      </c>
      <c r="B37" s="47" t="s">
        <v>141</v>
      </c>
      <c r="C37" s="45" t="s">
        <v>142</v>
      </c>
      <c r="D37" s="37" t="s">
        <v>136</v>
      </c>
      <c r="E37" s="41">
        <v>3</v>
      </c>
      <c r="F37" s="41" t="s">
        <v>70</v>
      </c>
      <c r="G37" s="40"/>
      <c r="H37" s="40"/>
      <c r="I37" s="40"/>
      <c r="J37" s="40"/>
      <c r="K37" s="40"/>
      <c r="L37" s="40"/>
      <c r="M37" s="40"/>
      <c r="N37" s="40"/>
      <c r="O37" s="40"/>
      <c r="P37" s="40"/>
    </row>
    <row r="38" spans="1:16" ht="21" customHeight="1" x14ac:dyDescent="0.4">
      <c r="A38" s="41">
        <v>5</v>
      </c>
      <c r="B38" s="47" t="s">
        <v>143</v>
      </c>
      <c r="C38" s="45" t="s">
        <v>144</v>
      </c>
      <c r="D38" s="37" t="s">
        <v>136</v>
      </c>
      <c r="E38" s="41">
        <v>5</v>
      </c>
      <c r="F38" s="41" t="s">
        <v>70</v>
      </c>
      <c r="G38" s="40"/>
      <c r="H38" s="40"/>
      <c r="I38" s="40"/>
      <c r="J38" s="40"/>
      <c r="K38" s="40"/>
      <c r="L38" s="40"/>
      <c r="M38" s="40"/>
      <c r="N38" s="40"/>
      <c r="O38" s="40"/>
      <c r="P38" s="40"/>
    </row>
    <row r="39" spans="1:16" ht="21" customHeight="1" x14ac:dyDescent="0.4">
      <c r="A39" s="41">
        <v>6</v>
      </c>
      <c r="B39" s="47" t="s">
        <v>145</v>
      </c>
      <c r="C39" s="45" t="s">
        <v>146</v>
      </c>
      <c r="D39" s="37" t="s">
        <v>136</v>
      </c>
      <c r="E39" s="41">
        <v>1</v>
      </c>
      <c r="F39" s="41" t="s">
        <v>70</v>
      </c>
      <c r="G39" s="40"/>
      <c r="H39" s="40"/>
      <c r="I39" s="40"/>
      <c r="J39" s="40"/>
      <c r="K39" s="40"/>
      <c r="L39" s="40"/>
      <c r="M39" s="40"/>
      <c r="N39" s="40"/>
      <c r="O39" s="40"/>
      <c r="P39" s="40"/>
    </row>
    <row r="40" spans="1:16" ht="68.25" customHeight="1" x14ac:dyDescent="0.4">
      <c r="A40" s="41">
        <v>7</v>
      </c>
      <c r="B40" s="47" t="s">
        <v>147</v>
      </c>
      <c r="C40" s="45" t="s">
        <v>148</v>
      </c>
      <c r="D40" s="37" t="s">
        <v>136</v>
      </c>
      <c r="E40" s="41">
        <v>4</v>
      </c>
      <c r="F40" s="41" t="s">
        <v>70</v>
      </c>
      <c r="G40" s="40"/>
      <c r="H40" s="40"/>
      <c r="I40" s="40"/>
      <c r="J40" s="40"/>
      <c r="K40" s="40"/>
      <c r="L40" s="40"/>
      <c r="M40" s="40"/>
      <c r="N40" s="40"/>
      <c r="O40" s="40"/>
      <c r="P40" s="40"/>
    </row>
    <row r="41" spans="1:16" ht="21" customHeight="1" x14ac:dyDescent="0.4">
      <c r="A41" s="41">
        <v>8</v>
      </c>
      <c r="B41" s="47" t="s">
        <v>149</v>
      </c>
      <c r="C41" s="45" t="s">
        <v>150</v>
      </c>
      <c r="D41" s="37" t="s">
        <v>136</v>
      </c>
      <c r="E41" s="41">
        <v>3</v>
      </c>
      <c r="F41" s="41" t="s">
        <v>70</v>
      </c>
      <c r="G41" s="40"/>
      <c r="H41" s="40"/>
      <c r="I41" s="40"/>
      <c r="J41" s="40"/>
      <c r="K41" s="40"/>
      <c r="L41" s="40"/>
      <c r="M41" s="40"/>
      <c r="N41" s="40"/>
      <c r="O41" s="40"/>
      <c r="P41" s="40"/>
    </row>
    <row r="42" spans="1:16" ht="21" customHeight="1" x14ac:dyDescent="0.4">
      <c r="A42" s="41">
        <v>9</v>
      </c>
      <c r="B42" s="47" t="s">
        <v>151</v>
      </c>
      <c r="C42" s="45" t="s">
        <v>152</v>
      </c>
      <c r="D42" s="37" t="s">
        <v>136</v>
      </c>
      <c r="E42" s="41">
        <v>281</v>
      </c>
      <c r="F42" s="41" t="s">
        <v>153</v>
      </c>
      <c r="G42" s="40"/>
      <c r="H42" s="40"/>
      <c r="I42" s="40"/>
      <c r="J42" s="40"/>
      <c r="K42" s="40"/>
      <c r="L42" s="40"/>
      <c r="M42" s="40"/>
      <c r="N42" s="40"/>
      <c r="O42" s="40"/>
      <c r="P42" s="40"/>
    </row>
    <row r="43" spans="1:16" ht="21" customHeight="1" x14ac:dyDescent="0.4">
      <c r="A43" s="41">
        <v>10</v>
      </c>
      <c r="B43" s="47" t="s">
        <v>154</v>
      </c>
      <c r="C43" s="45" t="s">
        <v>155</v>
      </c>
      <c r="D43" s="37" t="s">
        <v>118</v>
      </c>
      <c r="E43" s="41">
        <v>15</v>
      </c>
      <c r="F43" s="41" t="s">
        <v>70</v>
      </c>
      <c r="G43" s="40"/>
      <c r="H43" s="40"/>
      <c r="I43" s="40"/>
      <c r="J43" s="40"/>
      <c r="K43" s="40"/>
      <c r="L43" s="40"/>
      <c r="M43" s="40"/>
      <c r="N43" s="40"/>
      <c r="O43" s="40"/>
      <c r="P43" s="40"/>
    </row>
    <row r="44" spans="1:16" ht="21" customHeight="1" x14ac:dyDescent="0.4">
      <c r="A44" s="41">
        <v>11</v>
      </c>
      <c r="B44" s="47" t="s">
        <v>156</v>
      </c>
      <c r="C44" s="45" t="s">
        <v>157</v>
      </c>
      <c r="D44" s="37" t="s">
        <v>118</v>
      </c>
      <c r="E44" s="41">
        <v>17</v>
      </c>
      <c r="F44" s="41" t="s">
        <v>70</v>
      </c>
      <c r="G44" s="40"/>
      <c r="H44" s="40"/>
      <c r="I44" s="40"/>
      <c r="J44" s="40"/>
      <c r="K44" s="40"/>
      <c r="L44" s="40"/>
      <c r="M44" s="40"/>
      <c r="N44" s="40"/>
      <c r="O44" s="40"/>
      <c r="P44" s="40"/>
    </row>
    <row r="45" spans="1:16" ht="21" customHeight="1" x14ac:dyDescent="0.4">
      <c r="A45" s="41">
        <v>12</v>
      </c>
      <c r="B45" s="47" t="s">
        <v>119</v>
      </c>
      <c r="C45" s="45" t="s">
        <v>120</v>
      </c>
      <c r="D45" s="37" t="s">
        <v>118</v>
      </c>
      <c r="E45" s="41">
        <v>30</v>
      </c>
      <c r="F45" s="41" t="s">
        <v>95</v>
      </c>
      <c r="G45" s="40"/>
      <c r="H45" s="40"/>
      <c r="I45" s="40"/>
      <c r="J45" s="40"/>
      <c r="K45" s="40"/>
      <c r="L45" s="40"/>
      <c r="M45" s="40"/>
      <c r="N45" s="40"/>
      <c r="O45" s="40"/>
      <c r="P45" s="40"/>
    </row>
    <row r="46" spans="1:16" ht="21" customHeight="1" x14ac:dyDescent="0.4">
      <c r="A46" s="41">
        <v>13</v>
      </c>
      <c r="B46" s="47" t="s">
        <v>158</v>
      </c>
      <c r="C46" s="45" t="s">
        <v>159</v>
      </c>
      <c r="D46" s="37" t="s">
        <v>118</v>
      </c>
      <c r="E46" s="41">
        <v>34</v>
      </c>
      <c r="F46" s="41" t="s">
        <v>95</v>
      </c>
      <c r="G46" s="40"/>
      <c r="H46" s="40"/>
      <c r="I46" s="40"/>
      <c r="J46" s="40"/>
      <c r="K46" s="40"/>
      <c r="L46" s="40"/>
      <c r="M46" s="40"/>
      <c r="N46" s="40"/>
      <c r="O46" s="40"/>
      <c r="P46" s="40"/>
    </row>
    <row r="47" spans="1:16" ht="21" customHeight="1" x14ac:dyDescent="0.4">
      <c r="A47" s="41">
        <v>14</v>
      </c>
      <c r="B47" s="47" t="s">
        <v>160</v>
      </c>
      <c r="C47" s="45" t="s">
        <v>161</v>
      </c>
      <c r="D47" s="41" t="s">
        <v>100</v>
      </c>
      <c r="E47" s="41">
        <v>20000</v>
      </c>
      <c r="F47" s="41" t="s">
        <v>109</v>
      </c>
      <c r="G47" s="40"/>
      <c r="H47" s="40"/>
      <c r="I47" s="40"/>
      <c r="J47" s="40"/>
      <c r="K47" s="40"/>
      <c r="L47" s="40"/>
      <c r="M47" s="40"/>
      <c r="N47" s="40"/>
      <c r="O47" s="40"/>
      <c r="P47" s="40"/>
    </row>
    <row r="48" spans="1:16" ht="21" customHeight="1" x14ac:dyDescent="0.4">
      <c r="A48" s="41">
        <v>15</v>
      </c>
      <c r="B48" s="47" t="s">
        <v>162</v>
      </c>
      <c r="C48" s="45" t="s">
        <v>163</v>
      </c>
      <c r="D48" s="41" t="s">
        <v>100</v>
      </c>
      <c r="E48" s="41">
        <f>E49*70*1.1</f>
        <v>2464</v>
      </c>
      <c r="F48" s="41" t="s">
        <v>109</v>
      </c>
      <c r="G48" s="40"/>
      <c r="H48" s="40"/>
      <c r="I48" s="40"/>
      <c r="J48" s="40"/>
      <c r="K48" s="40"/>
      <c r="L48" s="40"/>
      <c r="M48" s="40"/>
      <c r="N48" s="40"/>
      <c r="O48" s="40"/>
      <c r="P48" s="40"/>
    </row>
    <row r="49" spans="1:16" ht="21" customHeight="1" x14ac:dyDescent="0.4">
      <c r="A49" s="41">
        <v>16</v>
      </c>
      <c r="B49" s="47" t="s">
        <v>164</v>
      </c>
      <c r="C49" s="45" t="s">
        <v>165</v>
      </c>
      <c r="D49" s="37" t="s">
        <v>128</v>
      </c>
      <c r="E49" s="41">
        <f>E43+E44</f>
        <v>32</v>
      </c>
      <c r="F49" s="41" t="s">
        <v>95</v>
      </c>
      <c r="G49" s="40"/>
      <c r="H49" s="40"/>
      <c r="I49" s="40"/>
      <c r="J49" s="40"/>
      <c r="K49" s="40"/>
      <c r="L49" s="40"/>
      <c r="M49" s="40"/>
      <c r="N49" s="40"/>
      <c r="O49" s="40"/>
      <c r="P49" s="40"/>
    </row>
    <row r="50" spans="1:16" ht="21" customHeight="1" x14ac:dyDescent="0.4">
      <c r="A50" s="41">
        <v>17</v>
      </c>
      <c r="B50" s="47" t="s">
        <v>166</v>
      </c>
      <c r="C50" s="45" t="s">
        <v>167</v>
      </c>
      <c r="D50" s="37" t="s">
        <v>128</v>
      </c>
      <c r="E50" s="41">
        <v>100</v>
      </c>
      <c r="F50" s="41" t="s">
        <v>95</v>
      </c>
      <c r="G50" s="40"/>
      <c r="H50" s="40"/>
      <c r="I50" s="40"/>
      <c r="J50" s="40"/>
      <c r="K50" s="40"/>
      <c r="L50" s="40"/>
      <c r="M50" s="40"/>
      <c r="N50" s="40"/>
      <c r="O50" s="40"/>
      <c r="P50" s="40"/>
    </row>
    <row r="51" spans="1:16" ht="21" customHeight="1" x14ac:dyDescent="0.4">
      <c r="A51" s="41">
        <v>18</v>
      </c>
      <c r="B51" s="47" t="s">
        <v>98</v>
      </c>
      <c r="C51" s="45" t="s">
        <v>168</v>
      </c>
      <c r="D51" s="41" t="s">
        <v>100</v>
      </c>
      <c r="E51" s="37">
        <f>E43+E44</f>
        <v>32</v>
      </c>
      <c r="F51" s="41" t="s">
        <v>95</v>
      </c>
      <c r="G51" s="40"/>
      <c r="H51" s="40"/>
      <c r="I51" s="40"/>
      <c r="J51" s="40"/>
      <c r="K51" s="40"/>
      <c r="L51" s="40"/>
      <c r="M51" s="40"/>
      <c r="N51" s="40"/>
      <c r="O51" s="40"/>
      <c r="P51" s="40"/>
    </row>
    <row r="52" spans="1:16" ht="21" customHeight="1" x14ac:dyDescent="0.4">
      <c r="A52" s="41">
        <v>19</v>
      </c>
      <c r="B52" s="47" t="s">
        <v>107</v>
      </c>
      <c r="C52" s="45" t="s">
        <v>108</v>
      </c>
      <c r="D52" s="41" t="s">
        <v>100</v>
      </c>
      <c r="E52" s="41">
        <v>10560</v>
      </c>
      <c r="F52" s="41" t="s">
        <v>109</v>
      </c>
      <c r="G52" s="40"/>
      <c r="H52" s="40"/>
      <c r="I52" s="40"/>
      <c r="J52" s="40"/>
      <c r="K52" s="40"/>
      <c r="L52" s="40"/>
      <c r="M52" s="40"/>
      <c r="N52" s="40"/>
      <c r="O52" s="40"/>
      <c r="P52" s="40"/>
    </row>
    <row r="53" spans="1:16" ht="21" customHeight="1" x14ac:dyDescent="0.4">
      <c r="A53" s="41">
        <v>20</v>
      </c>
      <c r="B53" s="47" t="s">
        <v>110</v>
      </c>
      <c r="C53" s="45" t="s">
        <v>111</v>
      </c>
      <c r="D53" s="41" t="s">
        <v>100</v>
      </c>
      <c r="E53" s="41">
        <v>3</v>
      </c>
      <c r="F53" s="41" t="s">
        <v>95</v>
      </c>
      <c r="G53" s="40"/>
      <c r="H53" s="40"/>
      <c r="I53" s="40"/>
      <c r="J53" s="40"/>
      <c r="K53" s="40"/>
      <c r="L53" s="40"/>
      <c r="M53" s="40"/>
      <c r="N53" s="40"/>
      <c r="O53" s="40"/>
      <c r="P53" s="40"/>
    </row>
    <row r="54" spans="1:16" ht="21" customHeight="1" x14ac:dyDescent="0.4">
      <c r="A54" s="41">
        <v>21</v>
      </c>
      <c r="B54" s="49" t="s">
        <v>112</v>
      </c>
      <c r="C54" s="50" t="s">
        <v>169</v>
      </c>
      <c r="D54" s="41" t="s">
        <v>100</v>
      </c>
      <c r="E54" s="41">
        <f>E51</f>
        <v>32</v>
      </c>
      <c r="F54" s="41" t="s">
        <v>95</v>
      </c>
      <c r="G54" s="40"/>
      <c r="H54" s="40"/>
      <c r="I54" s="40"/>
      <c r="J54" s="40"/>
      <c r="K54" s="40"/>
      <c r="L54" s="40"/>
      <c r="M54" s="40"/>
      <c r="N54" s="40"/>
      <c r="O54" s="40"/>
    </row>
    <row r="55" spans="1:16" ht="21" customHeight="1" x14ac:dyDescent="0.4">
      <c r="A55" s="41">
        <v>22</v>
      </c>
      <c r="B55" s="47" t="s">
        <v>126</v>
      </c>
      <c r="C55" s="45" t="s">
        <v>127</v>
      </c>
      <c r="D55" s="37" t="s">
        <v>128</v>
      </c>
      <c r="E55" s="41">
        <v>15000</v>
      </c>
      <c r="F55" s="41" t="s">
        <v>109</v>
      </c>
      <c r="G55" s="40"/>
      <c r="H55" s="40"/>
      <c r="I55" s="40"/>
      <c r="J55" s="40"/>
      <c r="K55" s="40"/>
      <c r="L55" s="40"/>
      <c r="M55" s="40"/>
      <c r="N55" s="40"/>
      <c r="O55" s="40"/>
    </row>
    <row r="56" spans="1:16" ht="21" customHeight="1" x14ac:dyDescent="0.4">
      <c r="A56" s="41">
        <v>23</v>
      </c>
      <c r="B56" s="47" t="s">
        <v>129</v>
      </c>
      <c r="C56" s="45" t="s">
        <v>130</v>
      </c>
      <c r="D56" s="37"/>
      <c r="E56" s="41">
        <v>1</v>
      </c>
      <c r="F56" s="41" t="s">
        <v>131</v>
      </c>
      <c r="G56" s="40"/>
      <c r="H56" s="40"/>
      <c r="I56" s="40"/>
      <c r="J56" s="40"/>
      <c r="K56" s="40"/>
      <c r="L56" s="40"/>
      <c r="M56" s="40"/>
      <c r="N56" s="40"/>
      <c r="O56" s="40"/>
    </row>
    <row r="57" spans="1:16" ht="21" customHeight="1" x14ac:dyDescent="0.4">
      <c r="B57" s="27" t="s">
        <v>170</v>
      </c>
      <c r="C57" s="39"/>
      <c r="D57" s="37"/>
      <c r="E57" s="51"/>
      <c r="F57" s="41"/>
      <c r="G57" s="40"/>
      <c r="H57" s="40"/>
      <c r="I57" s="40"/>
      <c r="J57" s="40"/>
      <c r="K57" s="40"/>
      <c r="L57" s="40"/>
      <c r="M57" s="40"/>
      <c r="N57" s="40"/>
      <c r="O57" s="40"/>
    </row>
    <row r="58" spans="1:16" ht="21" customHeight="1" x14ac:dyDescent="0.4">
      <c r="A58" s="41">
        <v>1</v>
      </c>
      <c r="B58" s="45" t="s">
        <v>171</v>
      </c>
      <c r="C58" s="45" t="s">
        <v>172</v>
      </c>
      <c r="D58" s="37" t="s">
        <v>173</v>
      </c>
      <c r="E58" s="41">
        <v>1</v>
      </c>
      <c r="F58" s="41" t="s">
        <v>70</v>
      </c>
      <c r="G58" s="40"/>
      <c r="H58" s="40"/>
      <c r="I58" s="40"/>
      <c r="J58" s="40"/>
      <c r="K58" s="40"/>
      <c r="L58" s="40"/>
      <c r="M58" s="40"/>
      <c r="N58" s="40"/>
      <c r="O58" s="40"/>
    </row>
    <row r="59" spans="1:16" ht="21" customHeight="1" x14ac:dyDescent="0.4">
      <c r="A59" s="41">
        <v>2</v>
      </c>
      <c r="B59" s="45" t="s">
        <v>174</v>
      </c>
      <c r="C59" s="45" t="s">
        <v>175</v>
      </c>
      <c r="D59" s="37" t="s">
        <v>173</v>
      </c>
      <c r="E59" s="41">
        <v>1</v>
      </c>
      <c r="F59" s="41" t="s">
        <v>176</v>
      </c>
      <c r="G59" s="40"/>
      <c r="H59" s="40"/>
      <c r="I59" s="40"/>
      <c r="J59" s="40"/>
      <c r="K59" s="40"/>
      <c r="L59" s="40"/>
      <c r="M59" s="40"/>
      <c r="N59" s="40"/>
      <c r="O59" s="40"/>
    </row>
    <row r="60" spans="1:16" ht="21" customHeight="1" x14ac:dyDescent="0.4">
      <c r="A60" s="41">
        <v>3</v>
      </c>
      <c r="B60" s="45" t="s">
        <v>177</v>
      </c>
      <c r="C60" s="45" t="s">
        <v>178</v>
      </c>
      <c r="D60" s="37" t="s">
        <v>173</v>
      </c>
      <c r="E60" s="41">
        <v>1</v>
      </c>
      <c r="F60" s="41" t="s">
        <v>176</v>
      </c>
      <c r="G60" s="40"/>
      <c r="H60" s="40"/>
      <c r="I60" s="40"/>
      <c r="J60" s="40"/>
      <c r="K60" s="40"/>
      <c r="L60" s="40"/>
      <c r="M60" s="40"/>
      <c r="N60" s="40"/>
      <c r="O60" s="40"/>
    </row>
    <row r="61" spans="1:16" ht="21" customHeight="1" x14ac:dyDescent="0.4">
      <c r="B61" s="27" t="s">
        <v>179</v>
      </c>
      <c r="C61" s="39"/>
      <c r="D61" s="37"/>
      <c r="E61" s="40"/>
      <c r="F61" s="37"/>
      <c r="G61" s="40"/>
      <c r="H61" s="40"/>
      <c r="I61" s="40"/>
      <c r="J61" s="40"/>
      <c r="K61" s="40"/>
      <c r="L61" s="40"/>
      <c r="M61" s="40"/>
      <c r="N61" s="40"/>
      <c r="O61" s="40"/>
    </row>
    <row r="62" spans="1:16" ht="21" customHeight="1" x14ac:dyDescent="0.4">
      <c r="A62" s="41">
        <v>1</v>
      </c>
      <c r="B62" s="45" t="s">
        <v>180</v>
      </c>
      <c r="C62" s="45" t="s">
        <v>181</v>
      </c>
      <c r="D62" s="37" t="s">
        <v>182</v>
      </c>
      <c r="E62" s="41">
        <v>15</v>
      </c>
      <c r="F62" s="41" t="s">
        <v>70</v>
      </c>
      <c r="G62" s="40"/>
      <c r="H62" s="40"/>
      <c r="I62" s="40"/>
      <c r="J62" s="40"/>
      <c r="K62" s="40"/>
      <c r="L62" s="40"/>
      <c r="M62" s="40"/>
      <c r="N62" s="40"/>
      <c r="O62" s="40"/>
    </row>
    <row r="63" spans="1:16" ht="21" customHeight="1" x14ac:dyDescent="0.4">
      <c r="A63" s="41">
        <v>2</v>
      </c>
      <c r="B63" s="45" t="s">
        <v>183</v>
      </c>
      <c r="C63" s="45" t="s">
        <v>184</v>
      </c>
      <c r="D63" s="37" t="s">
        <v>182</v>
      </c>
      <c r="E63" s="41">
        <v>50</v>
      </c>
      <c r="F63" s="41" t="s">
        <v>70</v>
      </c>
      <c r="G63" s="40"/>
      <c r="H63" s="40"/>
      <c r="I63" s="40"/>
      <c r="J63" s="40"/>
      <c r="K63" s="40"/>
      <c r="L63" s="40"/>
      <c r="M63" s="40"/>
      <c r="N63" s="40"/>
      <c r="O63" s="40"/>
    </row>
    <row r="64" spans="1:16" ht="21" customHeight="1" x14ac:dyDescent="0.4">
      <c r="A64" s="41">
        <v>3</v>
      </c>
      <c r="B64" s="45" t="s">
        <v>185</v>
      </c>
      <c r="C64" s="45" t="s">
        <v>186</v>
      </c>
      <c r="D64" s="37" t="s">
        <v>182</v>
      </c>
      <c r="E64" s="41">
        <v>1</v>
      </c>
      <c r="F64" s="41" t="s">
        <v>70</v>
      </c>
      <c r="G64" s="40"/>
      <c r="H64" s="40"/>
      <c r="I64" s="40"/>
      <c r="J64" s="40"/>
      <c r="K64" s="40"/>
      <c r="L64" s="40"/>
      <c r="M64" s="40"/>
      <c r="N64" s="40"/>
      <c r="O64" s="40"/>
    </row>
    <row r="65" spans="1:15" ht="21" customHeight="1" x14ac:dyDescent="0.4">
      <c r="A65" s="41">
        <v>4</v>
      </c>
      <c r="B65" s="45" t="s">
        <v>187</v>
      </c>
      <c r="C65" s="45" t="s">
        <v>188</v>
      </c>
      <c r="D65" s="37" t="s">
        <v>182</v>
      </c>
      <c r="E65" s="41">
        <v>1</v>
      </c>
      <c r="F65" s="41" t="s">
        <v>176</v>
      </c>
      <c r="G65" s="40"/>
      <c r="H65" s="40"/>
      <c r="I65" s="40"/>
      <c r="J65" s="40"/>
      <c r="K65" s="40"/>
      <c r="L65" s="40"/>
      <c r="M65" s="40"/>
      <c r="N65" s="40"/>
      <c r="O65" s="40"/>
    </row>
    <row r="66" spans="1:15" ht="21" customHeight="1" x14ac:dyDescent="0.4">
      <c r="B66" s="27" t="s">
        <v>189</v>
      </c>
      <c r="C66" s="39"/>
      <c r="D66" s="37"/>
      <c r="E66" s="40"/>
      <c r="F66" s="37"/>
      <c r="G66" s="40"/>
      <c r="H66" s="40"/>
      <c r="I66" s="40"/>
      <c r="J66" s="40"/>
      <c r="K66" s="40"/>
      <c r="L66" s="40"/>
      <c r="M66" s="40"/>
      <c r="N66" s="40"/>
      <c r="O66" s="40"/>
    </row>
    <row r="67" spans="1:15" ht="21" customHeight="1" x14ac:dyDescent="0.4">
      <c r="A67" s="41">
        <v>1</v>
      </c>
      <c r="B67" s="45" t="s">
        <v>190</v>
      </c>
      <c r="C67" s="45" t="s">
        <v>191</v>
      </c>
      <c r="D67" s="37" t="s">
        <v>192</v>
      </c>
      <c r="E67" s="41">
        <v>22000</v>
      </c>
      <c r="F67" s="41" t="s">
        <v>109</v>
      </c>
      <c r="G67" s="40"/>
      <c r="H67" s="40"/>
      <c r="I67" s="40"/>
      <c r="J67" s="40"/>
      <c r="K67" s="40"/>
      <c r="L67" s="40"/>
      <c r="M67" s="40"/>
      <c r="N67" s="40"/>
      <c r="O67" s="40"/>
    </row>
    <row r="68" spans="1:15" ht="21" customHeight="1" x14ac:dyDescent="0.4">
      <c r="A68" s="41">
        <v>2</v>
      </c>
      <c r="B68" s="45" t="s">
        <v>193</v>
      </c>
      <c r="C68" s="45" t="s">
        <v>194</v>
      </c>
      <c r="D68" s="37" t="s">
        <v>192</v>
      </c>
      <c r="E68" s="41">
        <v>1</v>
      </c>
      <c r="F68" s="41" t="s">
        <v>70</v>
      </c>
      <c r="G68" s="40"/>
      <c r="H68" s="40"/>
      <c r="I68" s="40"/>
      <c r="J68" s="40"/>
      <c r="K68" s="40"/>
      <c r="L68" s="40"/>
      <c r="M68" s="40"/>
      <c r="N68" s="40"/>
      <c r="O68" s="40"/>
    </row>
    <row r="69" spans="1:15" ht="21" customHeight="1" x14ac:dyDescent="0.4">
      <c r="A69" s="41">
        <v>3</v>
      </c>
      <c r="B69" s="45" t="s">
        <v>195</v>
      </c>
      <c r="C69" s="45" t="s">
        <v>196</v>
      </c>
      <c r="D69" s="37" t="s">
        <v>192</v>
      </c>
      <c r="E69" s="41">
        <v>323</v>
      </c>
      <c r="F69" s="41" t="s">
        <v>197</v>
      </c>
      <c r="G69" s="52"/>
      <c r="H69" s="40"/>
      <c r="I69" s="40"/>
      <c r="J69" s="40"/>
      <c r="K69" s="40"/>
      <c r="L69" s="40"/>
      <c r="M69" s="40"/>
      <c r="N69" s="40"/>
      <c r="O69" s="40"/>
    </row>
    <row r="70" spans="1:15" ht="21" customHeight="1" x14ac:dyDescent="0.4">
      <c r="A70" s="41">
        <v>4</v>
      </c>
      <c r="B70" s="45" t="s">
        <v>198</v>
      </c>
      <c r="C70" s="45" t="s">
        <v>199</v>
      </c>
      <c r="D70" s="37" t="s">
        <v>192</v>
      </c>
      <c r="E70" s="41">
        <v>9</v>
      </c>
      <c r="F70" s="41" t="s">
        <v>200</v>
      </c>
      <c r="G70" s="52"/>
      <c r="H70" s="40"/>
      <c r="I70" s="40"/>
      <c r="J70" s="40"/>
      <c r="K70" s="40"/>
      <c r="L70" s="40"/>
      <c r="M70" s="40"/>
      <c r="N70" s="40"/>
      <c r="O70" s="40"/>
    </row>
    <row r="71" spans="1:15" ht="21" customHeight="1" x14ac:dyDescent="0.4">
      <c r="A71" s="41">
        <v>5</v>
      </c>
      <c r="B71" s="45" t="s">
        <v>201</v>
      </c>
      <c r="C71" s="45" t="s">
        <v>202</v>
      </c>
      <c r="D71" s="37" t="s">
        <v>192</v>
      </c>
      <c r="E71" s="41">
        <v>8800</v>
      </c>
      <c r="F71" s="41" t="s">
        <v>203</v>
      </c>
      <c r="G71" s="40"/>
      <c r="H71" s="40"/>
      <c r="I71" s="40"/>
      <c r="J71" s="40"/>
      <c r="K71" s="40"/>
      <c r="L71" s="40"/>
      <c r="M71" s="40"/>
      <c r="N71" s="40"/>
      <c r="O71" s="40"/>
    </row>
    <row r="72" spans="1:15" ht="21" customHeight="1" x14ac:dyDescent="0.4">
      <c r="A72" s="53">
        <v>6</v>
      </c>
      <c r="B72" s="54" t="s">
        <v>204</v>
      </c>
      <c r="C72" s="54" t="s">
        <v>205</v>
      </c>
      <c r="D72" s="55" t="s">
        <v>192</v>
      </c>
      <c r="E72" s="53">
        <v>1</v>
      </c>
      <c r="F72" s="53" t="s">
        <v>70</v>
      </c>
      <c r="G72" s="40"/>
      <c r="H72" s="40"/>
      <c r="I72" s="40"/>
      <c r="J72" s="40"/>
      <c r="K72" s="40"/>
      <c r="L72" s="40"/>
      <c r="M72" s="40"/>
      <c r="N72" s="40"/>
      <c r="O72" s="40"/>
    </row>
    <row r="73" spans="1:15" ht="21" customHeight="1" x14ac:dyDescent="0.4">
      <c r="A73" s="41">
        <v>7</v>
      </c>
      <c r="B73" s="45" t="s">
        <v>206</v>
      </c>
      <c r="C73" s="45" t="s">
        <v>207</v>
      </c>
      <c r="D73" s="37" t="s">
        <v>192</v>
      </c>
      <c r="E73" s="53">
        <v>1</v>
      </c>
      <c r="F73" s="53" t="s">
        <v>176</v>
      </c>
      <c r="G73" s="40"/>
      <c r="H73" s="40"/>
      <c r="I73" s="40"/>
      <c r="J73" s="40"/>
      <c r="K73" s="40"/>
      <c r="L73" s="40"/>
      <c r="M73" s="40"/>
      <c r="N73" s="40"/>
      <c r="O73" s="40"/>
    </row>
    <row r="74" spans="1:15" ht="21" customHeight="1" x14ac:dyDescent="0.4">
      <c r="A74" s="41">
        <v>8</v>
      </c>
      <c r="B74" s="45" t="s">
        <v>208</v>
      </c>
      <c r="C74" s="45" t="s">
        <v>209</v>
      </c>
      <c r="D74" s="55" t="s">
        <v>192</v>
      </c>
      <c r="E74" s="53">
        <v>1</v>
      </c>
      <c r="F74" s="53" t="s">
        <v>176</v>
      </c>
      <c r="G74" s="40"/>
      <c r="H74" s="40"/>
      <c r="I74" s="40"/>
      <c r="J74" s="40"/>
      <c r="K74" s="40"/>
      <c r="L74" s="40"/>
      <c r="M74" s="40"/>
      <c r="N74" s="40"/>
      <c r="O74" s="40"/>
    </row>
    <row r="75" spans="1:15" ht="21" customHeight="1" x14ac:dyDescent="0.4">
      <c r="A75" s="41">
        <v>7</v>
      </c>
      <c r="B75" s="45" t="s">
        <v>210</v>
      </c>
      <c r="C75" s="45" t="s">
        <v>211</v>
      </c>
      <c r="D75" s="37"/>
      <c r="E75" s="41">
        <v>3500</v>
      </c>
      <c r="F75" s="41" t="s">
        <v>109</v>
      </c>
      <c r="G75" s="40"/>
      <c r="H75" s="40"/>
      <c r="I75" s="40"/>
      <c r="J75" s="40"/>
      <c r="K75" s="40"/>
      <c r="L75" s="40"/>
      <c r="M75" s="40"/>
      <c r="N75" s="40"/>
      <c r="O75" s="40"/>
    </row>
    <row r="76" spans="1:15" ht="21" customHeight="1" x14ac:dyDescent="0.4">
      <c r="A76" s="41">
        <v>8</v>
      </c>
      <c r="B76" s="42" t="s">
        <v>212</v>
      </c>
      <c r="C76" s="42" t="s">
        <v>212</v>
      </c>
      <c r="D76" s="37"/>
      <c r="E76" s="41">
        <v>2000</v>
      </c>
      <c r="F76" s="41" t="s">
        <v>213</v>
      </c>
      <c r="G76" s="40"/>
      <c r="H76" s="40"/>
      <c r="I76" s="40"/>
      <c r="J76" s="40"/>
      <c r="K76" s="40"/>
      <c r="L76" s="40"/>
      <c r="M76" s="40"/>
      <c r="N76" s="40"/>
      <c r="O76" s="40"/>
    </row>
    <row r="77" spans="1:15" ht="21" customHeight="1" x14ac:dyDescent="0.4">
      <c r="B77" s="27" t="s">
        <v>214</v>
      </c>
      <c r="C77" s="56"/>
      <c r="D77" s="57"/>
      <c r="E77" s="58"/>
      <c r="F77" s="57"/>
      <c r="G77" s="40"/>
      <c r="H77" s="40"/>
      <c r="I77" s="40"/>
      <c r="J77" s="40"/>
      <c r="K77" s="40"/>
      <c r="L77" s="40"/>
      <c r="M77" s="40"/>
      <c r="N77" s="40"/>
      <c r="O77" s="40"/>
    </row>
    <row r="78" spans="1:15" ht="21" customHeight="1" x14ac:dyDescent="0.4">
      <c r="A78" s="41">
        <v>1</v>
      </c>
      <c r="B78" s="45" t="s">
        <v>215</v>
      </c>
      <c r="C78" s="45" t="s">
        <v>216</v>
      </c>
      <c r="D78" s="37" t="s">
        <v>192</v>
      </c>
      <c r="E78" s="41">
        <v>11</v>
      </c>
      <c r="F78" s="41" t="s">
        <v>104</v>
      </c>
      <c r="G78" s="40"/>
      <c r="H78" s="40"/>
      <c r="I78" s="40"/>
      <c r="J78" s="40"/>
      <c r="K78" s="40"/>
      <c r="L78" s="40"/>
      <c r="M78" s="40"/>
      <c r="N78" s="40"/>
      <c r="O78" s="40"/>
    </row>
    <row r="79" spans="1:15" ht="21" customHeight="1" x14ac:dyDescent="0.4">
      <c r="A79" s="41">
        <v>2</v>
      </c>
      <c r="B79" s="45" t="s">
        <v>217</v>
      </c>
      <c r="C79" s="45" t="s">
        <v>218</v>
      </c>
      <c r="D79" s="37" t="s">
        <v>192</v>
      </c>
      <c r="E79" s="41">
        <v>6</v>
      </c>
      <c r="F79" s="41" t="s">
        <v>70</v>
      </c>
      <c r="G79" s="40"/>
      <c r="H79" s="40"/>
      <c r="I79" s="40"/>
      <c r="J79" s="40"/>
      <c r="K79" s="40"/>
      <c r="L79" s="40"/>
      <c r="M79" s="40"/>
      <c r="N79" s="40"/>
      <c r="O79" s="40"/>
    </row>
    <row r="80" spans="1:15" ht="21" customHeight="1" x14ac:dyDescent="0.4">
      <c r="A80" s="41">
        <v>3</v>
      </c>
      <c r="B80" s="45" t="s">
        <v>219</v>
      </c>
      <c r="C80" s="45" t="s">
        <v>220</v>
      </c>
      <c r="D80" s="37" t="s">
        <v>192</v>
      </c>
      <c r="E80" s="41">
        <v>1</v>
      </c>
      <c r="F80" s="41" t="s">
        <v>70</v>
      </c>
      <c r="G80" s="40"/>
      <c r="H80" s="40"/>
      <c r="I80" s="40"/>
      <c r="J80" s="40"/>
      <c r="K80" s="40"/>
      <c r="L80" s="40"/>
      <c r="M80" s="40"/>
      <c r="N80" s="40"/>
      <c r="O80" s="40"/>
    </row>
    <row r="81" spans="1:15" ht="21" customHeight="1" x14ac:dyDescent="0.4">
      <c r="A81" s="41">
        <v>4</v>
      </c>
      <c r="B81" s="45" t="s">
        <v>221</v>
      </c>
      <c r="C81" s="45" t="s">
        <v>222</v>
      </c>
      <c r="D81" s="37" t="s">
        <v>192</v>
      </c>
      <c r="E81" s="41">
        <v>1</v>
      </c>
      <c r="F81" s="41" t="s">
        <v>70</v>
      </c>
      <c r="G81" s="40"/>
      <c r="H81" s="40"/>
      <c r="I81" s="40"/>
      <c r="J81" s="40"/>
      <c r="K81" s="40"/>
      <c r="L81" s="40"/>
      <c r="M81" s="40"/>
      <c r="N81" s="40"/>
      <c r="O81" s="40"/>
    </row>
    <row r="82" spans="1:15" ht="21" customHeight="1" x14ac:dyDescent="0.4">
      <c r="A82" s="41">
        <v>5</v>
      </c>
      <c r="B82" s="45" t="s">
        <v>223</v>
      </c>
      <c r="C82" s="45" t="s">
        <v>224</v>
      </c>
      <c r="D82" s="37" t="s">
        <v>192</v>
      </c>
      <c r="E82" s="41">
        <v>1</v>
      </c>
      <c r="F82" s="41" t="s">
        <v>70</v>
      </c>
      <c r="G82" s="40"/>
      <c r="H82" s="40"/>
      <c r="I82" s="40"/>
      <c r="J82" s="40"/>
      <c r="K82" s="40"/>
      <c r="L82" s="40"/>
      <c r="M82" s="40"/>
      <c r="N82" s="40"/>
      <c r="O82" s="40"/>
    </row>
    <row r="83" spans="1:15" ht="21" customHeight="1" x14ac:dyDescent="0.4">
      <c r="A83" s="41">
        <v>6</v>
      </c>
      <c r="B83" s="45" t="s">
        <v>225</v>
      </c>
      <c r="C83" s="45" t="s">
        <v>226</v>
      </c>
      <c r="D83" s="37" t="s">
        <v>192</v>
      </c>
      <c r="E83" s="41">
        <v>1</v>
      </c>
      <c r="F83" s="41" t="s">
        <v>95</v>
      </c>
      <c r="G83" s="40"/>
      <c r="H83" s="40"/>
      <c r="I83" s="40"/>
      <c r="J83" s="40"/>
      <c r="K83" s="40"/>
      <c r="L83" s="40"/>
      <c r="M83" s="40"/>
      <c r="N83" s="40"/>
      <c r="O83" s="40"/>
    </row>
    <row r="84" spans="1:15" ht="21" customHeight="1" x14ac:dyDescent="0.4">
      <c r="A84" s="41">
        <v>7</v>
      </c>
      <c r="B84" s="45" t="s">
        <v>227</v>
      </c>
      <c r="C84" s="45" t="s">
        <v>228</v>
      </c>
      <c r="D84" s="37" t="s">
        <v>192</v>
      </c>
      <c r="E84" s="41">
        <v>11</v>
      </c>
      <c r="F84" s="41" t="s">
        <v>70</v>
      </c>
      <c r="G84" s="40"/>
      <c r="H84" s="40"/>
      <c r="I84" s="40"/>
      <c r="J84" s="40"/>
      <c r="K84" s="40"/>
      <c r="L84" s="40"/>
      <c r="M84" s="40"/>
      <c r="N84" s="40"/>
      <c r="O84" s="40"/>
    </row>
    <row r="85" spans="1:15" ht="21" customHeight="1" x14ac:dyDescent="0.4">
      <c r="A85" s="41">
        <v>8</v>
      </c>
      <c r="B85" s="45" t="s">
        <v>229</v>
      </c>
      <c r="C85" s="45" t="s">
        <v>230</v>
      </c>
      <c r="D85" s="37" t="s">
        <v>192</v>
      </c>
      <c r="E85" s="41">
        <v>1</v>
      </c>
      <c r="F85" s="41" t="s">
        <v>70</v>
      </c>
      <c r="G85" s="40"/>
      <c r="H85" s="40"/>
      <c r="I85" s="40"/>
      <c r="J85" s="40"/>
      <c r="K85" s="40"/>
      <c r="L85" s="40"/>
      <c r="M85" s="40"/>
      <c r="N85" s="40"/>
      <c r="O85" s="40"/>
    </row>
    <row r="86" spans="1:15" ht="21" customHeight="1" x14ac:dyDescent="0.4">
      <c r="A86" s="41">
        <v>9</v>
      </c>
      <c r="B86" s="45" t="s">
        <v>121</v>
      </c>
      <c r="C86" s="45" t="s">
        <v>231</v>
      </c>
      <c r="D86" s="41" t="s">
        <v>100</v>
      </c>
      <c r="E86" s="41">
        <v>2400</v>
      </c>
      <c r="F86" s="41" t="s">
        <v>109</v>
      </c>
      <c r="G86" s="40"/>
      <c r="H86" s="40"/>
      <c r="I86" s="40"/>
      <c r="J86" s="40"/>
      <c r="K86" s="40"/>
      <c r="L86" s="40"/>
      <c r="M86" s="40"/>
      <c r="N86" s="40"/>
      <c r="O86" s="40"/>
    </row>
    <row r="87" spans="1:15" ht="21" customHeight="1" x14ac:dyDescent="0.4">
      <c r="A87" s="41">
        <v>10</v>
      </c>
      <c r="B87" s="45" t="s">
        <v>121</v>
      </c>
      <c r="C87" s="45" t="s">
        <v>232</v>
      </c>
      <c r="D87" s="41" t="s">
        <v>100</v>
      </c>
      <c r="E87" s="41">
        <v>200</v>
      </c>
      <c r="F87" s="41" t="s">
        <v>109</v>
      </c>
      <c r="G87" s="40"/>
      <c r="H87" s="40"/>
      <c r="I87" s="40"/>
      <c r="J87" s="40"/>
      <c r="K87" s="40"/>
      <c r="L87" s="40"/>
      <c r="M87" s="40"/>
      <c r="N87" s="40"/>
      <c r="O87" s="40"/>
    </row>
    <row r="88" spans="1:15" ht="21" customHeight="1" x14ac:dyDescent="0.4">
      <c r="A88" s="41">
        <v>11</v>
      </c>
      <c r="B88" s="47" t="s">
        <v>126</v>
      </c>
      <c r="C88" s="45" t="s">
        <v>127</v>
      </c>
      <c r="D88" s="37" t="s">
        <v>128</v>
      </c>
      <c r="E88" s="41">
        <v>1000</v>
      </c>
      <c r="F88" s="41" t="s">
        <v>109</v>
      </c>
      <c r="G88" s="40"/>
      <c r="H88" s="40"/>
      <c r="I88" s="40"/>
      <c r="J88" s="40"/>
      <c r="K88" s="40"/>
      <c r="L88" s="40"/>
      <c r="M88" s="40"/>
      <c r="N88" s="40"/>
      <c r="O88" s="40"/>
    </row>
    <row r="89" spans="1:15" ht="21" customHeight="1" x14ac:dyDescent="0.4">
      <c r="B89" s="27" t="s">
        <v>233</v>
      </c>
      <c r="C89" s="39"/>
      <c r="D89" s="37"/>
      <c r="E89" s="40"/>
      <c r="F89" s="37"/>
      <c r="G89" s="40"/>
      <c r="H89" s="40"/>
      <c r="I89" s="40"/>
      <c r="J89" s="40"/>
      <c r="K89" s="40"/>
      <c r="L89" s="40"/>
      <c r="M89" s="40"/>
      <c r="N89" s="40"/>
      <c r="O89" s="40"/>
    </row>
    <row r="90" spans="1:15" ht="68.25" customHeight="1" x14ac:dyDescent="0.4">
      <c r="A90" s="41">
        <v>1</v>
      </c>
      <c r="B90" s="45" t="s">
        <v>71</v>
      </c>
      <c r="C90" s="43" t="s">
        <v>234</v>
      </c>
      <c r="D90" s="41" t="s">
        <v>73</v>
      </c>
      <c r="E90" s="41">
        <v>1</v>
      </c>
      <c r="F90" s="41" t="s">
        <v>70</v>
      </c>
      <c r="G90" s="40"/>
      <c r="H90" s="40"/>
      <c r="I90" s="40"/>
      <c r="J90" s="40"/>
      <c r="K90" s="40"/>
      <c r="L90" s="40"/>
      <c r="M90" s="40"/>
      <c r="N90" s="40"/>
      <c r="O90" s="40"/>
    </row>
    <row r="91" spans="1:15" ht="21" customHeight="1" x14ac:dyDescent="0.4">
      <c r="A91" s="41">
        <v>2</v>
      </c>
      <c r="B91" s="45" t="s">
        <v>74</v>
      </c>
      <c r="C91" s="45" t="s">
        <v>75</v>
      </c>
      <c r="D91" s="41" t="s">
        <v>73</v>
      </c>
      <c r="E91" s="41">
        <v>9</v>
      </c>
      <c r="F91" s="41" t="s">
        <v>70</v>
      </c>
      <c r="G91" s="40"/>
      <c r="H91" s="40"/>
      <c r="I91" s="40"/>
      <c r="J91" s="40"/>
      <c r="K91" s="40"/>
      <c r="L91" s="40"/>
      <c r="M91" s="40"/>
      <c r="N91" s="40"/>
      <c r="O91" s="40"/>
    </row>
    <row r="92" spans="1:15" ht="21" customHeight="1" x14ac:dyDescent="0.4">
      <c r="A92" s="41">
        <v>3</v>
      </c>
      <c r="B92" s="45" t="s">
        <v>76</v>
      </c>
      <c r="C92" s="45" t="s">
        <v>235</v>
      </c>
      <c r="D92" s="41" t="s">
        <v>73</v>
      </c>
      <c r="E92" s="41">
        <v>9</v>
      </c>
      <c r="F92" s="41" t="s">
        <v>70</v>
      </c>
      <c r="G92" s="40"/>
      <c r="H92" s="40"/>
      <c r="I92" s="40"/>
      <c r="J92" s="40"/>
      <c r="K92" s="40"/>
      <c r="L92" s="40"/>
      <c r="M92" s="40"/>
      <c r="N92" s="40"/>
      <c r="O92" s="40"/>
    </row>
    <row r="93" spans="1:15" ht="108.75" customHeight="1" x14ac:dyDescent="0.4">
      <c r="A93" s="41">
        <v>4</v>
      </c>
      <c r="B93" s="45" t="s">
        <v>79</v>
      </c>
      <c r="C93" s="43" t="s">
        <v>80</v>
      </c>
      <c r="D93" s="41" t="s">
        <v>73</v>
      </c>
      <c r="E93" s="41">
        <v>9</v>
      </c>
      <c r="F93" s="41" t="s">
        <v>70</v>
      </c>
      <c r="G93" s="40"/>
      <c r="H93" s="40"/>
      <c r="I93" s="40"/>
      <c r="J93" s="40"/>
      <c r="K93" s="40"/>
      <c r="L93" s="40"/>
      <c r="M93" s="40"/>
      <c r="N93" s="40"/>
      <c r="O93" s="40"/>
    </row>
    <row r="94" spans="1:15" ht="21" customHeight="1" x14ac:dyDescent="0.4">
      <c r="A94" s="41">
        <v>5</v>
      </c>
      <c r="B94" s="45" t="s">
        <v>236</v>
      </c>
      <c r="C94" s="45" t="s">
        <v>237</v>
      </c>
      <c r="D94" s="41" t="s">
        <v>73</v>
      </c>
      <c r="E94" s="41">
        <v>39</v>
      </c>
      <c r="F94" s="41" t="s">
        <v>70</v>
      </c>
      <c r="G94" s="40"/>
      <c r="H94" s="40"/>
      <c r="I94" s="40"/>
      <c r="J94" s="40"/>
      <c r="K94" s="40"/>
      <c r="L94" s="40"/>
      <c r="M94" s="40"/>
      <c r="N94" s="40"/>
      <c r="O94" s="40"/>
    </row>
    <row r="95" spans="1:15" ht="21" customHeight="1" x14ac:dyDescent="0.4">
      <c r="A95" s="41">
        <v>6</v>
      </c>
      <c r="B95" s="45" t="s">
        <v>238</v>
      </c>
      <c r="C95" s="45" t="s">
        <v>239</v>
      </c>
      <c r="D95" s="44" t="s">
        <v>240</v>
      </c>
      <c r="E95" s="41">
        <v>14</v>
      </c>
      <c r="F95" s="41" t="s">
        <v>70</v>
      </c>
      <c r="G95" s="40"/>
      <c r="H95" s="40"/>
      <c r="I95" s="40"/>
      <c r="J95" s="40"/>
      <c r="K95" s="40"/>
      <c r="L95" s="40"/>
      <c r="M95" s="40"/>
      <c r="N95" s="40"/>
      <c r="O95" s="40"/>
    </row>
    <row r="96" spans="1:15" ht="21" customHeight="1" x14ac:dyDescent="0.4">
      <c r="A96" s="41">
        <v>7</v>
      </c>
      <c r="B96" s="47" t="s">
        <v>98</v>
      </c>
      <c r="C96" s="45" t="s">
        <v>99</v>
      </c>
      <c r="D96" s="41" t="s">
        <v>100</v>
      </c>
      <c r="E96" s="37">
        <f>E90+E91</f>
        <v>10</v>
      </c>
      <c r="F96" s="41" t="s">
        <v>95</v>
      </c>
      <c r="G96" s="40"/>
      <c r="H96" s="40"/>
      <c r="I96" s="40"/>
      <c r="J96" s="40"/>
      <c r="K96" s="40"/>
      <c r="L96" s="40"/>
      <c r="M96" s="40"/>
      <c r="N96" s="40"/>
      <c r="O96" s="40"/>
    </row>
    <row r="97" spans="1:15" ht="21" customHeight="1" x14ac:dyDescent="0.4">
      <c r="A97" s="41">
        <v>8</v>
      </c>
      <c r="B97" s="47" t="s">
        <v>101</v>
      </c>
      <c r="C97" s="45" t="s">
        <v>102</v>
      </c>
      <c r="D97" s="37" t="s">
        <v>103</v>
      </c>
      <c r="E97" s="37">
        <f>E90+E91</f>
        <v>10</v>
      </c>
      <c r="F97" s="41" t="s">
        <v>104</v>
      </c>
      <c r="G97" s="40"/>
      <c r="H97" s="40"/>
      <c r="I97" s="40"/>
      <c r="J97" s="40"/>
      <c r="K97" s="40"/>
      <c r="L97" s="40"/>
      <c r="M97" s="40"/>
      <c r="N97" s="40"/>
      <c r="O97" s="40"/>
    </row>
    <row r="98" spans="1:15" ht="21" customHeight="1" x14ac:dyDescent="0.4">
      <c r="A98" s="41">
        <v>9</v>
      </c>
      <c r="B98" s="47" t="s">
        <v>105</v>
      </c>
      <c r="C98" s="45" t="s">
        <v>106</v>
      </c>
      <c r="D98" s="37" t="s">
        <v>103</v>
      </c>
      <c r="E98" s="37">
        <v>1</v>
      </c>
      <c r="F98" s="41" t="s">
        <v>95</v>
      </c>
      <c r="G98" s="40"/>
      <c r="H98" s="40"/>
      <c r="I98" s="40"/>
      <c r="J98" s="40"/>
      <c r="K98" s="40"/>
      <c r="L98" s="40"/>
      <c r="M98" s="40"/>
      <c r="N98" s="40"/>
      <c r="O98" s="40"/>
    </row>
    <row r="99" spans="1:15" ht="21" customHeight="1" x14ac:dyDescent="0.4">
      <c r="A99" s="41">
        <v>10</v>
      </c>
      <c r="B99" s="47" t="s">
        <v>107</v>
      </c>
      <c r="C99" s="45" t="s">
        <v>108</v>
      </c>
      <c r="D99" s="41" t="s">
        <v>100</v>
      </c>
      <c r="E99" s="41">
        <f>E97*300</f>
        <v>3000</v>
      </c>
      <c r="F99" s="41" t="s">
        <v>109</v>
      </c>
      <c r="G99" s="40"/>
      <c r="H99" s="40"/>
      <c r="I99" s="40"/>
      <c r="J99" s="40"/>
      <c r="K99" s="40"/>
      <c r="L99" s="40"/>
      <c r="M99" s="40"/>
      <c r="N99" s="40"/>
      <c r="O99" s="40"/>
    </row>
    <row r="100" spans="1:15" ht="21" customHeight="1" x14ac:dyDescent="0.4">
      <c r="A100" s="41">
        <v>11</v>
      </c>
      <c r="B100" s="47" t="s">
        <v>110</v>
      </c>
      <c r="C100" s="45" t="s">
        <v>111</v>
      </c>
      <c r="D100" s="41" t="s">
        <v>100</v>
      </c>
      <c r="E100" s="41">
        <v>1</v>
      </c>
      <c r="F100" s="41" t="s">
        <v>95</v>
      </c>
      <c r="G100" s="40"/>
      <c r="H100" s="40"/>
      <c r="I100" s="40"/>
      <c r="J100" s="40"/>
      <c r="K100" s="40"/>
      <c r="L100" s="40"/>
      <c r="M100" s="40"/>
      <c r="N100" s="40"/>
      <c r="O100" s="40"/>
    </row>
    <row r="101" spans="1:15" ht="21" customHeight="1" x14ac:dyDescent="0.4">
      <c r="A101" s="41">
        <v>12</v>
      </c>
      <c r="B101" s="47" t="s">
        <v>112</v>
      </c>
      <c r="C101" s="45" t="s">
        <v>113</v>
      </c>
      <c r="D101" s="41" t="s">
        <v>100</v>
      </c>
      <c r="E101" s="41">
        <f>E97</f>
        <v>10</v>
      </c>
      <c r="F101" s="41" t="s">
        <v>95</v>
      </c>
      <c r="G101" s="40"/>
      <c r="H101" s="40"/>
      <c r="I101" s="40"/>
      <c r="J101" s="40"/>
      <c r="K101" s="40"/>
      <c r="L101" s="40"/>
      <c r="M101" s="40"/>
      <c r="N101" s="40"/>
      <c r="O101" s="40"/>
    </row>
    <row r="102" spans="1:15" ht="135.75" customHeight="1" x14ac:dyDescent="0.4">
      <c r="A102" s="41">
        <v>13</v>
      </c>
      <c r="B102" s="47" t="s">
        <v>114</v>
      </c>
      <c r="C102" s="45" t="s">
        <v>241</v>
      </c>
      <c r="D102" s="41" t="s">
        <v>100</v>
      </c>
      <c r="E102" s="41">
        <f>E97*2</f>
        <v>20</v>
      </c>
      <c r="F102" s="41" t="s">
        <v>95</v>
      </c>
      <c r="G102" s="40"/>
      <c r="H102" s="40"/>
      <c r="I102" s="40"/>
      <c r="J102" s="40"/>
      <c r="K102" s="40"/>
      <c r="L102" s="40"/>
      <c r="M102" s="40"/>
      <c r="N102" s="40"/>
      <c r="O102" s="40"/>
    </row>
    <row r="103" spans="1:15" ht="21" customHeight="1" x14ac:dyDescent="0.4">
      <c r="A103" s="41">
        <v>14</v>
      </c>
      <c r="B103" s="47" t="s">
        <v>242</v>
      </c>
      <c r="C103" s="45" t="s">
        <v>243</v>
      </c>
      <c r="D103" s="37" t="s">
        <v>118</v>
      </c>
      <c r="E103" s="37">
        <v>1</v>
      </c>
      <c r="F103" s="41" t="s">
        <v>70</v>
      </c>
      <c r="G103" s="40"/>
      <c r="H103" s="40"/>
      <c r="I103" s="40"/>
      <c r="J103" s="40"/>
      <c r="K103" s="40"/>
      <c r="L103" s="40"/>
      <c r="M103" s="40"/>
      <c r="N103" s="40"/>
      <c r="O103" s="40"/>
    </row>
    <row r="104" spans="1:15" ht="21" customHeight="1" x14ac:dyDescent="0.4">
      <c r="A104" s="41">
        <v>15</v>
      </c>
      <c r="B104" s="47" t="s">
        <v>119</v>
      </c>
      <c r="C104" s="45" t="s">
        <v>120</v>
      </c>
      <c r="D104" s="37" t="s">
        <v>118</v>
      </c>
      <c r="E104" s="41">
        <f>(E103)*2</f>
        <v>2</v>
      </c>
      <c r="F104" s="41" t="s">
        <v>95</v>
      </c>
      <c r="G104" s="59"/>
      <c r="H104" s="60"/>
      <c r="I104" s="60"/>
      <c r="J104" s="60"/>
      <c r="K104" s="60"/>
      <c r="L104" s="60"/>
      <c r="M104" s="60"/>
      <c r="N104" s="60"/>
      <c r="O104" s="60"/>
    </row>
    <row r="105" spans="1:15" ht="14.25" customHeight="1" x14ac:dyDescent="0.4">
      <c r="A105" s="41">
        <v>16</v>
      </c>
      <c r="B105" s="45" t="s">
        <v>121</v>
      </c>
      <c r="C105" s="45" t="s">
        <v>244</v>
      </c>
      <c r="D105" s="41" t="s">
        <v>100</v>
      </c>
      <c r="E105" s="41">
        <f>E94*70*1.1</f>
        <v>3003.0000000000005</v>
      </c>
      <c r="F105" s="61" t="s">
        <v>109</v>
      </c>
      <c r="G105" s="62"/>
      <c r="H105" s="62"/>
      <c r="I105" s="62"/>
      <c r="J105" s="62"/>
      <c r="K105" s="40"/>
      <c r="L105" s="40"/>
      <c r="M105" s="40"/>
      <c r="N105" s="40"/>
      <c r="O105" s="62"/>
    </row>
    <row r="106" spans="1:15" ht="14.25" customHeight="1" x14ac:dyDescent="0.4">
      <c r="A106" s="41">
        <v>17</v>
      </c>
      <c r="B106" s="45" t="s">
        <v>245</v>
      </c>
      <c r="C106" s="45" t="s">
        <v>124</v>
      </c>
      <c r="D106" s="41" t="s">
        <v>100</v>
      </c>
      <c r="E106" s="41">
        <f>E95*70*1.1</f>
        <v>1078</v>
      </c>
      <c r="F106" s="61" t="s">
        <v>109</v>
      </c>
      <c r="G106" s="62"/>
      <c r="H106" s="62"/>
      <c r="I106" s="62"/>
      <c r="J106" s="62"/>
      <c r="K106" s="40"/>
      <c r="L106" s="40"/>
      <c r="M106" s="40"/>
      <c r="N106" s="40"/>
      <c r="O106" s="62"/>
    </row>
    <row r="107" spans="1:15" ht="14.25" customHeight="1" x14ac:dyDescent="0.4">
      <c r="A107" s="41">
        <v>18</v>
      </c>
      <c r="B107" s="47" t="s">
        <v>126</v>
      </c>
      <c r="C107" s="45" t="s">
        <v>127</v>
      </c>
      <c r="D107" s="37" t="s">
        <v>128</v>
      </c>
      <c r="E107" s="41">
        <f>E105+E106</f>
        <v>4081.0000000000005</v>
      </c>
      <c r="F107" s="61" t="s">
        <v>109</v>
      </c>
      <c r="G107" s="62"/>
      <c r="H107" s="62"/>
      <c r="I107" s="62"/>
      <c r="J107" s="62"/>
      <c r="K107" s="40"/>
      <c r="L107" s="40"/>
      <c r="M107" s="40"/>
      <c r="N107" s="40"/>
      <c r="O107" s="62"/>
    </row>
    <row r="108" spans="1:15" ht="14.25" customHeight="1" x14ac:dyDescent="0.4">
      <c r="A108" s="53">
        <v>19</v>
      </c>
      <c r="B108" s="54" t="s">
        <v>129</v>
      </c>
      <c r="C108" s="54" t="s">
        <v>130</v>
      </c>
      <c r="D108" s="55"/>
      <c r="E108" s="53">
        <v>1</v>
      </c>
      <c r="F108" s="63" t="s">
        <v>131</v>
      </c>
      <c r="G108" s="62"/>
      <c r="H108" s="62"/>
      <c r="I108" s="62"/>
      <c r="J108" s="62"/>
      <c r="K108" s="40"/>
      <c r="L108" s="40"/>
      <c r="M108" s="40"/>
      <c r="N108" s="40"/>
      <c r="O108" s="62"/>
    </row>
    <row r="109" spans="1:15" ht="19.05" customHeight="1" x14ac:dyDescent="0.4">
      <c r="A109" s="37"/>
      <c r="B109" s="64" t="s">
        <v>246</v>
      </c>
      <c r="C109" s="39"/>
      <c r="D109" s="41"/>
      <c r="E109" s="41"/>
      <c r="F109" s="61"/>
      <c r="G109" s="62"/>
      <c r="H109" s="62"/>
      <c r="I109" s="62"/>
      <c r="J109" s="62"/>
      <c r="K109" s="40"/>
      <c r="L109" s="40"/>
      <c r="M109" s="40"/>
      <c r="N109" s="40"/>
      <c r="O109" s="62"/>
    </row>
    <row r="110" spans="1:15" ht="19.05" customHeight="1" x14ac:dyDescent="0.4">
      <c r="A110" s="37">
        <v>1</v>
      </c>
      <c r="B110" s="45" t="s">
        <v>247</v>
      </c>
      <c r="C110" s="39"/>
      <c r="D110" s="41"/>
      <c r="E110" s="41">
        <v>1</v>
      </c>
      <c r="F110" s="61" t="s">
        <v>131</v>
      </c>
      <c r="G110" s="62"/>
      <c r="H110" s="62"/>
      <c r="I110" s="62"/>
      <c r="J110" s="62"/>
      <c r="K110" s="40"/>
      <c r="L110" s="40"/>
      <c r="M110" s="40"/>
      <c r="N110" s="40"/>
      <c r="O110" s="62"/>
    </row>
    <row r="111" spans="1:15" ht="19.05" customHeight="1" x14ac:dyDescent="0.4">
      <c r="A111" s="37"/>
      <c r="B111" s="42"/>
      <c r="C111" s="39"/>
      <c r="D111" s="37"/>
      <c r="E111" s="62"/>
      <c r="F111" s="65"/>
      <c r="G111" s="62"/>
      <c r="H111" s="62"/>
      <c r="I111" s="62"/>
      <c r="J111" s="62"/>
      <c r="K111" s="40"/>
      <c r="L111" s="40"/>
      <c r="M111" s="40"/>
      <c r="N111" s="40"/>
      <c r="O111" s="62"/>
    </row>
  </sheetData>
  <autoFilter ref="A2:XFD1048576" xr:uid="{00000000-0009-0000-0000-000003000000}"/>
  <mergeCells count="1">
    <mergeCell ref="A1:F1"/>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6"/>
  <sheetViews>
    <sheetView zoomScale="85" zoomScaleNormal="85" workbookViewId="0">
      <selection activeCell="B69" sqref="B69"/>
    </sheetView>
  </sheetViews>
  <sheetFormatPr defaultColWidth="10" defaultRowHeight="16.5" customHeight="1" x14ac:dyDescent="0.4"/>
  <cols>
    <col min="1" max="1" width="18.234375" customWidth="1"/>
    <col min="2" max="2" width="17.3515625"/>
    <col min="3" max="3" width="16.46875" style="1" customWidth="1"/>
    <col min="4" max="4" width="32.8203125" style="1" customWidth="1"/>
    <col min="5" max="5" width="12.46875" style="1"/>
    <col min="6" max="6" width="29.46875" style="2" customWidth="1"/>
    <col min="7" max="7" width="6.5859375"/>
  </cols>
  <sheetData>
    <row r="1" spans="1:7" ht="16.5" customHeight="1" x14ac:dyDescent="0.4">
      <c r="A1" s="3" t="s">
        <v>248</v>
      </c>
      <c r="B1" s="3" t="s">
        <v>249</v>
      </c>
      <c r="C1" s="4" t="s">
        <v>1</v>
      </c>
      <c r="D1" s="4" t="s">
        <v>250</v>
      </c>
      <c r="E1" s="4" t="s">
        <v>56</v>
      </c>
      <c r="F1" s="4" t="s">
        <v>251</v>
      </c>
      <c r="G1" s="3"/>
    </row>
    <row r="2" spans="1:7" ht="16.5" customHeight="1" x14ac:dyDescent="0.4">
      <c r="A2" s="124" t="s">
        <v>252</v>
      </c>
      <c r="B2" s="124" t="s">
        <v>253</v>
      </c>
      <c r="C2" s="6">
        <v>1</v>
      </c>
      <c r="D2" s="6" t="s">
        <v>254</v>
      </c>
      <c r="E2" s="6" t="s">
        <v>255</v>
      </c>
      <c r="F2" s="7" t="s">
        <v>256</v>
      </c>
      <c r="G2" s="8"/>
    </row>
    <row r="3" spans="1:7" ht="41.25" customHeight="1" x14ac:dyDescent="0.4">
      <c r="A3" s="125"/>
      <c r="B3" s="125"/>
      <c r="C3" s="6">
        <v>2</v>
      </c>
      <c r="D3" s="6" t="s">
        <v>257</v>
      </c>
      <c r="E3" s="6" t="s">
        <v>258</v>
      </c>
      <c r="F3" s="7" t="s">
        <v>259</v>
      </c>
      <c r="G3" s="8"/>
    </row>
    <row r="4" spans="1:7" ht="16.5" customHeight="1" x14ac:dyDescent="0.4">
      <c r="A4" s="125"/>
      <c r="B4" s="125"/>
      <c r="C4" s="6">
        <v>3</v>
      </c>
      <c r="D4" s="6" t="s">
        <v>260</v>
      </c>
      <c r="E4" s="6" t="s">
        <v>261</v>
      </c>
      <c r="F4" s="7" t="s">
        <v>262</v>
      </c>
      <c r="G4" s="8"/>
    </row>
    <row r="5" spans="1:7" ht="27.75" customHeight="1" x14ac:dyDescent="0.4">
      <c r="A5" s="125"/>
      <c r="B5" s="125"/>
      <c r="C5" s="6">
        <v>4</v>
      </c>
      <c r="D5" s="6" t="s">
        <v>263</v>
      </c>
      <c r="E5" s="6" t="s">
        <v>261</v>
      </c>
      <c r="F5" s="7" t="s">
        <v>264</v>
      </c>
      <c r="G5" s="8"/>
    </row>
    <row r="6" spans="1:7" ht="16.5" customHeight="1" x14ac:dyDescent="0.4">
      <c r="A6" s="125"/>
      <c r="B6" s="125"/>
      <c r="C6" s="6">
        <v>5</v>
      </c>
      <c r="D6" s="6" t="s">
        <v>265</v>
      </c>
      <c r="E6" s="6" t="s">
        <v>266</v>
      </c>
      <c r="F6" s="7" t="s">
        <v>267</v>
      </c>
      <c r="G6" s="8"/>
    </row>
    <row r="7" spans="1:7" ht="16.5" customHeight="1" x14ac:dyDescent="0.4">
      <c r="A7" s="125"/>
      <c r="B7" s="125"/>
      <c r="C7" s="6">
        <v>6</v>
      </c>
      <c r="D7" s="6" t="s">
        <v>268</v>
      </c>
      <c r="E7" s="6" t="s">
        <v>269</v>
      </c>
      <c r="F7" s="7" t="s">
        <v>270</v>
      </c>
      <c r="G7" s="8"/>
    </row>
    <row r="8" spans="1:7" ht="27.75" customHeight="1" x14ac:dyDescent="0.4">
      <c r="A8" s="125"/>
      <c r="B8" s="125"/>
      <c r="C8" s="6">
        <v>7</v>
      </c>
      <c r="D8" s="6" t="s">
        <v>271</v>
      </c>
      <c r="E8" s="6" t="s">
        <v>269</v>
      </c>
      <c r="F8" s="7" t="s">
        <v>272</v>
      </c>
      <c r="G8" s="8"/>
    </row>
    <row r="9" spans="1:7" ht="16.5" customHeight="1" x14ac:dyDescent="0.4">
      <c r="A9" s="125"/>
      <c r="B9" s="125"/>
      <c r="C9" s="6">
        <v>8</v>
      </c>
      <c r="D9" s="6" t="s">
        <v>273</v>
      </c>
      <c r="E9" s="6" t="s">
        <v>274</v>
      </c>
      <c r="F9" s="7" t="s">
        <v>275</v>
      </c>
      <c r="G9" s="8"/>
    </row>
    <row r="10" spans="1:7" ht="16.5" customHeight="1" x14ac:dyDescent="0.4">
      <c r="A10" s="125"/>
      <c r="B10" s="125"/>
      <c r="C10" s="6">
        <v>9</v>
      </c>
      <c r="D10" s="6" t="s">
        <v>276</v>
      </c>
      <c r="E10" s="6" t="s">
        <v>277</v>
      </c>
      <c r="F10" s="7" t="s">
        <v>278</v>
      </c>
      <c r="G10" s="8"/>
    </row>
    <row r="11" spans="1:7" ht="27.75" customHeight="1" x14ac:dyDescent="0.4">
      <c r="A11" s="125"/>
      <c r="B11" s="125"/>
      <c r="C11" s="6">
        <v>10</v>
      </c>
      <c r="D11" s="6" t="s">
        <v>279</v>
      </c>
      <c r="E11" s="6" t="s">
        <v>280</v>
      </c>
      <c r="F11" s="7" t="s">
        <v>281</v>
      </c>
      <c r="G11" s="8"/>
    </row>
    <row r="12" spans="1:7" ht="27.75" customHeight="1" x14ac:dyDescent="0.4">
      <c r="A12" s="125"/>
      <c r="B12" s="125"/>
      <c r="C12" s="6">
        <v>11</v>
      </c>
      <c r="D12" s="6" t="s">
        <v>282</v>
      </c>
      <c r="E12" s="6" t="s">
        <v>283</v>
      </c>
      <c r="F12" s="7" t="s">
        <v>284</v>
      </c>
      <c r="G12" s="8"/>
    </row>
    <row r="13" spans="1:7" ht="41.25" customHeight="1" x14ac:dyDescent="0.4">
      <c r="A13" s="125"/>
      <c r="B13" s="125"/>
      <c r="C13" s="6">
        <v>12</v>
      </c>
      <c r="D13" s="6" t="s">
        <v>285</v>
      </c>
      <c r="E13" s="6" t="s">
        <v>286</v>
      </c>
      <c r="F13" s="7" t="s">
        <v>287</v>
      </c>
      <c r="G13" s="8"/>
    </row>
    <row r="14" spans="1:7" ht="27.75" customHeight="1" x14ac:dyDescent="0.4">
      <c r="A14" s="125"/>
      <c r="B14" s="125"/>
      <c r="C14" s="6">
        <v>13</v>
      </c>
      <c r="D14" s="6" t="s">
        <v>288</v>
      </c>
      <c r="E14" s="6" t="s">
        <v>289</v>
      </c>
      <c r="F14" s="7" t="s">
        <v>290</v>
      </c>
      <c r="G14" s="8"/>
    </row>
    <row r="15" spans="1:7" ht="16.5" customHeight="1" x14ac:dyDescent="0.4">
      <c r="A15" s="125"/>
      <c r="B15" s="125"/>
      <c r="C15" s="6">
        <v>14</v>
      </c>
      <c r="D15" s="6" t="s">
        <v>291</v>
      </c>
      <c r="E15" s="6" t="s">
        <v>292</v>
      </c>
      <c r="F15" s="7" t="s">
        <v>293</v>
      </c>
      <c r="G15" s="8"/>
    </row>
    <row r="16" spans="1:7" ht="16.5" customHeight="1" x14ac:dyDescent="0.4">
      <c r="A16" s="125"/>
      <c r="B16" s="126"/>
      <c r="C16" s="6">
        <v>15</v>
      </c>
      <c r="D16" s="6" t="s">
        <v>294</v>
      </c>
      <c r="E16" s="6" t="s">
        <v>295</v>
      </c>
      <c r="F16" s="7" t="s">
        <v>296</v>
      </c>
      <c r="G16" s="8"/>
    </row>
    <row r="17" spans="1:7" ht="16.5" customHeight="1" x14ac:dyDescent="0.4">
      <c r="A17" s="125"/>
      <c r="B17" s="124" t="s">
        <v>297</v>
      </c>
      <c r="C17" s="6">
        <v>16</v>
      </c>
      <c r="D17" s="6" t="s">
        <v>298</v>
      </c>
      <c r="E17" s="6" t="s">
        <v>299</v>
      </c>
      <c r="F17" s="7" t="s">
        <v>300</v>
      </c>
      <c r="G17" s="8"/>
    </row>
    <row r="18" spans="1:7" ht="16.5" customHeight="1" x14ac:dyDescent="0.4">
      <c r="A18" s="125"/>
      <c r="B18" s="126"/>
      <c r="C18" s="6">
        <v>17</v>
      </c>
      <c r="D18" s="6" t="s">
        <v>301</v>
      </c>
      <c r="E18" s="6" t="s">
        <v>302</v>
      </c>
      <c r="F18" s="7" t="s">
        <v>303</v>
      </c>
      <c r="G18" s="8"/>
    </row>
    <row r="19" spans="1:7" ht="16.5" customHeight="1" x14ac:dyDescent="0.4">
      <c r="A19" s="125"/>
      <c r="B19" s="124" t="s">
        <v>304</v>
      </c>
      <c r="C19" s="6">
        <v>18</v>
      </c>
      <c r="D19" s="6" t="s">
        <v>305</v>
      </c>
      <c r="E19" s="6" t="s">
        <v>306</v>
      </c>
      <c r="F19" s="7" t="s">
        <v>307</v>
      </c>
      <c r="G19" s="8"/>
    </row>
    <row r="20" spans="1:7" ht="16.5" customHeight="1" x14ac:dyDescent="0.4">
      <c r="A20" s="125"/>
      <c r="B20" s="126"/>
      <c r="C20" s="6">
        <v>19</v>
      </c>
      <c r="D20" s="6" t="s">
        <v>308</v>
      </c>
      <c r="E20" s="6" t="s">
        <v>309</v>
      </c>
      <c r="F20" s="7" t="s">
        <v>310</v>
      </c>
      <c r="G20" s="8"/>
    </row>
    <row r="21" spans="1:7" ht="16.5" customHeight="1" x14ac:dyDescent="0.4">
      <c r="A21" s="125"/>
      <c r="B21" s="8" t="s">
        <v>311</v>
      </c>
      <c r="C21" s="6"/>
      <c r="D21" s="6"/>
      <c r="E21" s="6"/>
      <c r="F21" s="7" t="s">
        <v>310</v>
      </c>
      <c r="G21" s="8"/>
    </row>
    <row r="22" spans="1:7" ht="16.5" customHeight="1" x14ac:dyDescent="0.4">
      <c r="A22" s="125"/>
      <c r="B22" s="124" t="s">
        <v>312</v>
      </c>
      <c r="C22" s="6">
        <v>20</v>
      </c>
      <c r="D22" s="6" t="s">
        <v>313</v>
      </c>
      <c r="E22" s="6"/>
      <c r="F22" s="7" t="s">
        <v>314</v>
      </c>
      <c r="G22" s="8"/>
    </row>
    <row r="23" spans="1:7" ht="16.5" customHeight="1" x14ac:dyDescent="0.4">
      <c r="A23" s="125"/>
      <c r="B23" s="125"/>
      <c r="C23" s="6">
        <v>21</v>
      </c>
      <c r="D23" s="6" t="s">
        <v>315</v>
      </c>
      <c r="E23" s="6" t="s">
        <v>316</v>
      </c>
      <c r="F23" s="7" t="s">
        <v>317</v>
      </c>
      <c r="G23" s="8"/>
    </row>
    <row r="24" spans="1:7" ht="16.5" customHeight="1" x14ac:dyDescent="0.4">
      <c r="A24" s="125"/>
      <c r="B24" s="126"/>
      <c r="C24" s="6">
        <v>22</v>
      </c>
      <c r="D24" s="6" t="s">
        <v>318</v>
      </c>
      <c r="E24" s="6"/>
      <c r="F24" s="7" t="s">
        <v>319</v>
      </c>
      <c r="G24" s="8"/>
    </row>
    <row r="25" spans="1:7" ht="16.5" customHeight="1" x14ac:dyDescent="0.4">
      <c r="A25" s="125"/>
      <c r="B25" s="124" t="s">
        <v>320</v>
      </c>
      <c r="C25" s="6">
        <v>23</v>
      </c>
      <c r="D25" s="6" t="s">
        <v>321</v>
      </c>
      <c r="E25" s="6" t="s">
        <v>292</v>
      </c>
      <c r="F25" s="7" t="s">
        <v>322</v>
      </c>
      <c r="G25" s="8"/>
    </row>
    <row r="26" spans="1:7" ht="27.75" customHeight="1" x14ac:dyDescent="0.4">
      <c r="A26" s="125"/>
      <c r="B26" s="126"/>
      <c r="C26" s="6">
        <v>24</v>
      </c>
      <c r="D26" s="6" t="s">
        <v>323</v>
      </c>
      <c r="E26" s="6" t="s">
        <v>324</v>
      </c>
      <c r="F26" s="7" t="s">
        <v>325</v>
      </c>
      <c r="G26" s="8"/>
    </row>
    <row r="27" spans="1:7" ht="27.75" customHeight="1" x14ac:dyDescent="0.4">
      <c r="A27" s="125"/>
      <c r="B27" s="8" t="s">
        <v>326</v>
      </c>
      <c r="C27" s="6"/>
      <c r="D27" s="6"/>
      <c r="E27" s="6"/>
      <c r="F27" s="7" t="s">
        <v>327</v>
      </c>
      <c r="G27" s="8"/>
    </row>
    <row r="28" spans="1:7" ht="27.75" customHeight="1" x14ac:dyDescent="0.4">
      <c r="A28" s="125"/>
      <c r="B28" s="124" t="s">
        <v>328</v>
      </c>
      <c r="C28" s="6">
        <v>25</v>
      </c>
      <c r="D28" s="6" t="s">
        <v>329</v>
      </c>
      <c r="E28" s="6"/>
      <c r="F28" s="7" t="s">
        <v>330</v>
      </c>
      <c r="G28" s="8"/>
    </row>
    <row r="29" spans="1:7" ht="27.75" customHeight="1" x14ac:dyDescent="0.4">
      <c r="A29" s="125"/>
      <c r="B29" s="125"/>
      <c r="C29" s="6">
        <v>26</v>
      </c>
      <c r="D29" s="6" t="s">
        <v>331</v>
      </c>
      <c r="E29" s="6"/>
      <c r="F29" s="7" t="s">
        <v>332</v>
      </c>
      <c r="G29" s="8"/>
    </row>
    <row r="30" spans="1:7" ht="16.5" customHeight="1" x14ac:dyDescent="0.4">
      <c r="A30" s="125"/>
      <c r="B30" s="125"/>
      <c r="C30" s="6">
        <v>27</v>
      </c>
      <c r="D30" s="6" t="s">
        <v>333</v>
      </c>
      <c r="E30" s="6"/>
      <c r="F30" s="7" t="s">
        <v>334</v>
      </c>
      <c r="G30" s="8"/>
    </row>
    <row r="31" spans="1:7" ht="16.5" customHeight="1" x14ac:dyDescent="0.4">
      <c r="A31" s="125"/>
      <c r="B31" s="125"/>
      <c r="C31" s="6"/>
      <c r="D31" s="6" t="s">
        <v>335</v>
      </c>
      <c r="E31" s="6"/>
      <c r="F31" s="7" t="s">
        <v>336</v>
      </c>
      <c r="G31" s="8"/>
    </row>
    <row r="32" spans="1:7" ht="16.5" customHeight="1" x14ac:dyDescent="0.4">
      <c r="A32" s="125"/>
      <c r="B32" s="125"/>
      <c r="C32" s="6"/>
      <c r="D32" s="6" t="s">
        <v>337</v>
      </c>
      <c r="E32" s="6"/>
      <c r="F32" s="7">
        <v>8</v>
      </c>
      <c r="G32" s="8"/>
    </row>
    <row r="33" spans="1:7" ht="16.5" customHeight="1" x14ac:dyDescent="0.4">
      <c r="A33" s="125"/>
      <c r="B33" s="125"/>
      <c r="C33" s="6"/>
      <c r="D33" s="6" t="s">
        <v>338</v>
      </c>
      <c r="E33" s="6"/>
      <c r="F33" s="7">
        <v>15</v>
      </c>
      <c r="G33" s="8"/>
    </row>
    <row r="34" spans="1:7" ht="16.5" customHeight="1" x14ac:dyDescent="0.4">
      <c r="A34" s="125"/>
      <c r="B34" s="125"/>
      <c r="C34" s="6"/>
      <c r="D34" s="6" t="s">
        <v>339</v>
      </c>
      <c r="E34" s="6"/>
      <c r="F34" s="7" t="s">
        <v>340</v>
      </c>
      <c r="G34" s="8"/>
    </row>
    <row r="35" spans="1:7" ht="16.5" customHeight="1" x14ac:dyDescent="0.4">
      <c r="A35" s="125"/>
      <c r="B35" s="126"/>
      <c r="C35" s="6"/>
      <c r="D35" s="6" t="s">
        <v>341</v>
      </c>
      <c r="E35" s="6"/>
      <c r="F35" s="7" t="s">
        <v>342</v>
      </c>
      <c r="G35" s="8"/>
    </row>
    <row r="36" spans="1:7" ht="27.75" customHeight="1" x14ac:dyDescent="0.4">
      <c r="A36" s="126"/>
      <c r="B36" s="8" t="s">
        <v>343</v>
      </c>
      <c r="C36" s="6">
        <v>28</v>
      </c>
      <c r="D36" s="6" t="s">
        <v>180</v>
      </c>
      <c r="E36" s="6"/>
      <c r="F36" s="7" t="s">
        <v>344</v>
      </c>
      <c r="G36" s="8"/>
    </row>
    <row r="37" spans="1:7" ht="16.5" customHeight="1" x14ac:dyDescent="0.4">
      <c r="A37" s="124" t="s">
        <v>12</v>
      </c>
      <c r="B37" s="124" t="s">
        <v>345</v>
      </c>
      <c r="C37" s="6">
        <v>29</v>
      </c>
      <c r="D37" s="6" t="s">
        <v>346</v>
      </c>
      <c r="E37" s="6"/>
      <c r="F37" s="7" t="s">
        <v>347</v>
      </c>
      <c r="G37" s="8"/>
    </row>
    <row r="38" spans="1:7" ht="27.75" customHeight="1" x14ac:dyDescent="0.4">
      <c r="A38" s="125"/>
      <c r="B38" s="125"/>
      <c r="C38" s="6">
        <v>30</v>
      </c>
      <c r="D38" s="6" t="s">
        <v>348</v>
      </c>
      <c r="E38" s="6"/>
      <c r="F38" s="7" t="s">
        <v>349</v>
      </c>
      <c r="G38" s="8"/>
    </row>
    <row r="39" spans="1:7" ht="27.75" customHeight="1" x14ac:dyDescent="0.4">
      <c r="A39" s="125"/>
      <c r="B39" s="125"/>
      <c r="C39" s="6">
        <v>31</v>
      </c>
      <c r="D39" s="6" t="s">
        <v>350</v>
      </c>
      <c r="E39" s="6"/>
      <c r="F39" s="7" t="s">
        <v>351</v>
      </c>
      <c r="G39" s="8"/>
    </row>
    <row r="40" spans="1:7" ht="16.5" customHeight="1" x14ac:dyDescent="0.4">
      <c r="A40" s="125"/>
      <c r="B40" s="124" t="s">
        <v>352</v>
      </c>
      <c r="C40" s="6">
        <v>32</v>
      </c>
      <c r="D40" s="6" t="s">
        <v>353</v>
      </c>
      <c r="E40" s="6"/>
      <c r="F40" s="7" t="s">
        <v>354</v>
      </c>
      <c r="G40" s="8"/>
    </row>
    <row r="41" spans="1:7" ht="16.5" customHeight="1" x14ac:dyDescent="0.4">
      <c r="A41" s="125"/>
      <c r="B41" s="125"/>
      <c r="C41" s="6">
        <v>33</v>
      </c>
      <c r="D41" s="6" t="s">
        <v>355</v>
      </c>
      <c r="E41" s="6"/>
      <c r="F41" s="7" t="s">
        <v>356</v>
      </c>
      <c r="G41" s="8"/>
    </row>
    <row r="42" spans="1:7" ht="16.5" customHeight="1" x14ac:dyDescent="0.4">
      <c r="A42" s="125"/>
      <c r="B42" s="126"/>
      <c r="C42" s="6">
        <v>34</v>
      </c>
      <c r="D42" s="6" t="s">
        <v>171</v>
      </c>
      <c r="E42" s="6"/>
      <c r="F42" s="7" t="s">
        <v>357</v>
      </c>
      <c r="G42" s="8"/>
    </row>
    <row r="43" spans="1:7" ht="16.5" customHeight="1" x14ac:dyDescent="0.4">
      <c r="A43" s="126"/>
      <c r="B43" s="8" t="s">
        <v>358</v>
      </c>
      <c r="C43" s="6">
        <v>35</v>
      </c>
      <c r="D43" s="6" t="s">
        <v>359</v>
      </c>
      <c r="E43" s="6"/>
      <c r="F43" s="7" t="s">
        <v>360</v>
      </c>
      <c r="G43" s="8"/>
    </row>
    <row r="44" spans="1:7" ht="16.5" customHeight="1" x14ac:dyDescent="0.4">
      <c r="A44" s="5"/>
      <c r="B44" s="8"/>
      <c r="C44" s="6"/>
      <c r="D44" s="6"/>
      <c r="E44" s="6"/>
      <c r="F44" s="7"/>
      <c r="G44" s="8"/>
    </row>
    <row r="45" spans="1:7" ht="16.5" customHeight="1" x14ac:dyDescent="0.4">
      <c r="A45" s="9" t="s">
        <v>361</v>
      </c>
      <c r="B45" s="9" t="s">
        <v>362</v>
      </c>
      <c r="C45" s="10" t="s">
        <v>363</v>
      </c>
      <c r="D45" s="10" t="s">
        <v>364</v>
      </c>
      <c r="E45" s="10"/>
      <c r="F45" s="11" t="s">
        <v>365</v>
      </c>
      <c r="G45" s="9" t="s">
        <v>366</v>
      </c>
    </row>
    <row r="46" spans="1:7" ht="27.75" customHeight="1" x14ac:dyDescent="0.4">
      <c r="A46" s="12" t="s">
        <v>367</v>
      </c>
      <c r="B46" s="12" t="s">
        <v>368</v>
      </c>
      <c r="C46" s="13" t="s">
        <v>369</v>
      </c>
      <c r="D46" s="13" t="s">
        <v>370</v>
      </c>
      <c r="E46" s="13"/>
      <c r="F46" s="14">
        <v>24</v>
      </c>
      <c r="G46" s="12" t="s">
        <v>371</v>
      </c>
    </row>
    <row r="47" spans="1:7" ht="27.75" customHeight="1" x14ac:dyDescent="0.4">
      <c r="A47" s="12" t="s">
        <v>367</v>
      </c>
      <c r="B47" s="12" t="s">
        <v>368</v>
      </c>
      <c r="C47" s="13" t="s">
        <v>372</v>
      </c>
      <c r="D47" s="13" t="s">
        <v>373</v>
      </c>
      <c r="E47" s="13"/>
      <c r="F47" s="14">
        <v>16</v>
      </c>
      <c r="G47" s="12" t="s">
        <v>371</v>
      </c>
    </row>
    <row r="48" spans="1:7" ht="27.75" customHeight="1" x14ac:dyDescent="0.4">
      <c r="A48" s="12" t="s">
        <v>367</v>
      </c>
      <c r="B48" s="12" t="s">
        <v>368</v>
      </c>
      <c r="C48" s="13" t="s">
        <v>374</v>
      </c>
      <c r="D48" s="13" t="s">
        <v>375</v>
      </c>
      <c r="E48" s="13"/>
      <c r="F48" s="14">
        <v>0</v>
      </c>
      <c r="G48" s="12" t="s">
        <v>376</v>
      </c>
    </row>
    <row r="49" spans="1:7" ht="27.75" customHeight="1" x14ac:dyDescent="0.4">
      <c r="A49" s="12" t="s">
        <v>367</v>
      </c>
      <c r="B49" s="12" t="s">
        <v>368</v>
      </c>
      <c r="C49" s="13" t="s">
        <v>377</v>
      </c>
      <c r="D49" s="13" t="s">
        <v>378</v>
      </c>
      <c r="E49" s="13"/>
      <c r="F49" s="14">
        <v>1</v>
      </c>
      <c r="G49" s="12" t="s">
        <v>376</v>
      </c>
    </row>
    <row r="50" spans="1:7" ht="27.75" customHeight="1" x14ac:dyDescent="0.4">
      <c r="A50" s="12" t="s">
        <v>367</v>
      </c>
      <c r="B50" s="12" t="s">
        <v>368</v>
      </c>
      <c r="C50" s="13" t="s">
        <v>379</v>
      </c>
      <c r="D50" s="13" t="s">
        <v>380</v>
      </c>
      <c r="E50" s="13"/>
      <c r="F50" s="14">
        <v>2</v>
      </c>
      <c r="G50" s="12" t="s">
        <v>376</v>
      </c>
    </row>
    <row r="51" spans="1:7" ht="27.75" customHeight="1" x14ac:dyDescent="0.4">
      <c r="A51" s="12" t="s">
        <v>367</v>
      </c>
      <c r="B51" s="12" t="s">
        <v>381</v>
      </c>
      <c r="C51" s="13" t="s">
        <v>382</v>
      </c>
      <c r="D51" s="13" t="s">
        <v>383</v>
      </c>
      <c r="E51" s="13"/>
      <c r="F51" s="14">
        <v>1</v>
      </c>
      <c r="G51" s="12" t="s">
        <v>376</v>
      </c>
    </row>
    <row r="52" spans="1:7" ht="27.75" customHeight="1" x14ac:dyDescent="0.4">
      <c r="A52" s="12" t="s">
        <v>367</v>
      </c>
      <c r="B52" s="12" t="s">
        <v>381</v>
      </c>
      <c r="C52" s="13" t="s">
        <v>384</v>
      </c>
      <c r="D52" s="13" t="s">
        <v>385</v>
      </c>
      <c r="E52" s="13"/>
      <c r="F52" s="14">
        <v>1</v>
      </c>
      <c r="G52" s="12" t="s">
        <v>376</v>
      </c>
    </row>
    <row r="53" spans="1:7" ht="27.75" customHeight="1" x14ac:dyDescent="0.4">
      <c r="A53" s="12" t="s">
        <v>367</v>
      </c>
      <c r="B53" s="12" t="s">
        <v>381</v>
      </c>
      <c r="C53" s="13" t="s">
        <v>386</v>
      </c>
      <c r="D53" s="13" t="s">
        <v>387</v>
      </c>
      <c r="E53" s="13"/>
      <c r="F53" s="14">
        <v>0</v>
      </c>
      <c r="G53" s="12" t="s">
        <v>371</v>
      </c>
    </row>
    <row r="54" spans="1:7" ht="27.75" customHeight="1" x14ac:dyDescent="0.4">
      <c r="A54" s="12" t="s">
        <v>367</v>
      </c>
      <c r="B54" s="12" t="s">
        <v>388</v>
      </c>
      <c r="C54" s="13" t="s">
        <v>389</v>
      </c>
      <c r="D54" s="13" t="s">
        <v>390</v>
      </c>
      <c r="E54" s="13"/>
      <c r="F54" s="14">
        <v>1</v>
      </c>
      <c r="G54" s="12" t="s">
        <v>371</v>
      </c>
    </row>
    <row r="55" spans="1:7" ht="27.75" customHeight="1" x14ac:dyDescent="0.4">
      <c r="A55" s="12" t="s">
        <v>367</v>
      </c>
      <c r="B55" s="12" t="s">
        <v>388</v>
      </c>
      <c r="C55" s="13" t="s">
        <v>391</v>
      </c>
      <c r="D55" s="13" t="s">
        <v>392</v>
      </c>
      <c r="E55" s="13"/>
      <c r="F55" s="14">
        <v>0</v>
      </c>
      <c r="G55" s="12" t="s">
        <v>371</v>
      </c>
    </row>
    <row r="56" spans="1:7" ht="16.5" customHeight="1" x14ac:dyDescent="0.4">
      <c r="A56" s="12" t="s">
        <v>367</v>
      </c>
      <c r="B56" s="12" t="s">
        <v>393</v>
      </c>
      <c r="C56" s="13" t="s">
        <v>394</v>
      </c>
      <c r="D56" s="13" t="s">
        <v>395</v>
      </c>
      <c r="E56" s="13"/>
      <c r="F56" s="14" t="s">
        <v>309</v>
      </c>
      <c r="G56" s="12" t="s">
        <v>376</v>
      </c>
    </row>
    <row r="57" spans="1:7" ht="41.25" customHeight="1" x14ac:dyDescent="0.4">
      <c r="A57" s="12" t="s">
        <v>367</v>
      </c>
      <c r="B57" s="12" t="s">
        <v>393</v>
      </c>
      <c r="C57" s="13" t="s">
        <v>396</v>
      </c>
      <c r="D57" s="13" t="s">
        <v>397</v>
      </c>
      <c r="E57" s="13"/>
      <c r="F57" s="14">
        <v>4</v>
      </c>
      <c r="G57" s="12" t="s">
        <v>371</v>
      </c>
    </row>
    <row r="58" spans="1:7" ht="41.25" customHeight="1" x14ac:dyDescent="0.4">
      <c r="A58" s="12" t="s">
        <v>367</v>
      </c>
      <c r="B58" s="12" t="s">
        <v>393</v>
      </c>
      <c r="C58" s="13" t="s">
        <v>398</v>
      </c>
      <c r="D58" s="13" t="s">
        <v>397</v>
      </c>
      <c r="E58" s="13"/>
      <c r="F58" s="14">
        <v>3</v>
      </c>
      <c r="G58" s="12" t="s">
        <v>371</v>
      </c>
    </row>
    <row r="59" spans="1:7" ht="41.25" customHeight="1" x14ac:dyDescent="0.4">
      <c r="A59" s="12" t="s">
        <v>367</v>
      </c>
      <c r="B59" s="12" t="s">
        <v>393</v>
      </c>
      <c r="C59" s="13" t="s">
        <v>399</v>
      </c>
      <c r="D59" s="13" t="s">
        <v>400</v>
      </c>
      <c r="E59" s="13"/>
      <c r="F59" s="14">
        <v>0</v>
      </c>
      <c r="G59" s="12" t="s">
        <v>376</v>
      </c>
    </row>
    <row r="60" spans="1:7" ht="41.25" customHeight="1" x14ac:dyDescent="0.4">
      <c r="A60" s="12" t="s">
        <v>367</v>
      </c>
      <c r="B60" s="12" t="s">
        <v>401</v>
      </c>
      <c r="C60" s="13" t="s">
        <v>402</v>
      </c>
      <c r="D60" s="13" t="s">
        <v>403</v>
      </c>
      <c r="E60" s="13"/>
      <c r="F60" s="14">
        <v>2</v>
      </c>
      <c r="G60" s="12" t="s">
        <v>371</v>
      </c>
    </row>
    <row r="61" spans="1:7" ht="16.5" customHeight="1" x14ac:dyDescent="0.4">
      <c r="A61" s="12" t="s">
        <v>367</v>
      </c>
      <c r="B61" s="12" t="s">
        <v>404</v>
      </c>
      <c r="C61" s="13" t="s">
        <v>405</v>
      </c>
      <c r="D61" s="13" t="s">
        <v>406</v>
      </c>
      <c r="E61" s="13"/>
      <c r="F61" s="14">
        <v>0</v>
      </c>
      <c r="G61" s="12" t="s">
        <v>376</v>
      </c>
    </row>
    <row r="62" spans="1:7" ht="27.75" customHeight="1" x14ac:dyDescent="0.4">
      <c r="A62" s="12" t="s">
        <v>367</v>
      </c>
      <c r="B62" s="12" t="s">
        <v>407</v>
      </c>
      <c r="C62" s="13" t="s">
        <v>408</v>
      </c>
      <c r="D62" s="13" t="s">
        <v>409</v>
      </c>
      <c r="E62" s="13"/>
      <c r="F62" s="14">
        <v>0</v>
      </c>
      <c r="G62" s="12" t="s">
        <v>376</v>
      </c>
    </row>
    <row r="63" spans="1:7" ht="27.75" customHeight="1" x14ac:dyDescent="0.4">
      <c r="A63" s="12" t="s">
        <v>367</v>
      </c>
      <c r="B63" s="12" t="s">
        <v>381</v>
      </c>
      <c r="C63" s="13" t="s">
        <v>410</v>
      </c>
      <c r="D63" s="13" t="s">
        <v>411</v>
      </c>
      <c r="E63" s="13"/>
      <c r="F63" s="14">
        <v>0</v>
      </c>
      <c r="G63" s="12" t="s">
        <v>376</v>
      </c>
    </row>
    <row r="64" spans="1:7" ht="27.75" customHeight="1" x14ac:dyDescent="0.4">
      <c r="A64" s="12" t="s">
        <v>367</v>
      </c>
      <c r="B64" s="12" t="s">
        <v>412</v>
      </c>
      <c r="C64" s="13" t="s">
        <v>413</v>
      </c>
      <c r="D64" s="13" t="s">
        <v>414</v>
      </c>
      <c r="E64" s="13"/>
      <c r="F64" s="14">
        <v>34</v>
      </c>
      <c r="G64" s="12" t="s">
        <v>376</v>
      </c>
    </row>
    <row r="65" spans="1:7" ht="27.75" customHeight="1" x14ac:dyDescent="0.4">
      <c r="A65" s="12" t="s">
        <v>367</v>
      </c>
      <c r="B65" s="12" t="s">
        <v>412</v>
      </c>
      <c r="C65" s="13" t="s">
        <v>413</v>
      </c>
      <c r="D65" s="13" t="s">
        <v>415</v>
      </c>
      <c r="E65" s="13"/>
      <c r="F65" s="14">
        <v>26</v>
      </c>
      <c r="G65" s="12" t="s">
        <v>376</v>
      </c>
    </row>
    <row r="66" spans="1:7" ht="16.5" customHeight="1" x14ac:dyDescent="0.4">
      <c r="A66" s="12" t="s">
        <v>367</v>
      </c>
      <c r="B66" s="12" t="s">
        <v>416</v>
      </c>
      <c r="C66" s="13" t="s">
        <v>417</v>
      </c>
      <c r="D66" s="13" t="s">
        <v>418</v>
      </c>
      <c r="E66" s="13"/>
      <c r="F66" s="14">
        <v>1</v>
      </c>
      <c r="G66" s="12" t="s">
        <v>376</v>
      </c>
    </row>
    <row r="67" spans="1:7" ht="16.5" customHeight="1" x14ac:dyDescent="0.4">
      <c r="A67" s="12" t="s">
        <v>367</v>
      </c>
      <c r="B67" s="12" t="s">
        <v>416</v>
      </c>
      <c r="C67" s="13" t="s">
        <v>419</v>
      </c>
      <c r="D67" s="13" t="s">
        <v>420</v>
      </c>
      <c r="E67" s="13"/>
      <c r="F67" s="14">
        <v>1</v>
      </c>
      <c r="G67" s="12" t="s">
        <v>376</v>
      </c>
    </row>
    <row r="68" spans="1:7" ht="16.5" customHeight="1" x14ac:dyDescent="0.4">
      <c r="A68" s="12" t="s">
        <v>367</v>
      </c>
      <c r="B68" s="12" t="s">
        <v>416</v>
      </c>
      <c r="C68" s="13" t="s">
        <v>421</v>
      </c>
      <c r="D68" s="13" t="s">
        <v>422</v>
      </c>
      <c r="E68" s="13"/>
      <c r="F68" s="14">
        <v>3</v>
      </c>
      <c r="G68" s="12" t="s">
        <v>376</v>
      </c>
    </row>
    <row r="69" spans="1:7" ht="16.5" customHeight="1" x14ac:dyDescent="0.4">
      <c r="A69" s="12" t="s">
        <v>367</v>
      </c>
      <c r="B69" s="12" t="s">
        <v>416</v>
      </c>
      <c r="C69" s="13" t="s">
        <v>423</v>
      </c>
      <c r="D69" s="13" t="s">
        <v>424</v>
      </c>
      <c r="E69" s="13"/>
      <c r="F69" s="14">
        <v>3</v>
      </c>
      <c r="G69" s="12" t="s">
        <v>376</v>
      </c>
    </row>
    <row r="70" spans="1:7" ht="16.5" customHeight="1" x14ac:dyDescent="0.4">
      <c r="A70" s="12" t="s">
        <v>367</v>
      </c>
      <c r="B70" s="12" t="s">
        <v>416</v>
      </c>
      <c r="C70" s="13" t="s">
        <v>425</v>
      </c>
      <c r="D70" s="13" t="s">
        <v>387</v>
      </c>
      <c r="E70" s="13"/>
      <c r="F70" s="14">
        <v>3</v>
      </c>
      <c r="G70" s="12" t="s">
        <v>371</v>
      </c>
    </row>
    <row r="71" spans="1:7" ht="41.25" customHeight="1" x14ac:dyDescent="0.4">
      <c r="A71" s="12" t="s">
        <v>367</v>
      </c>
      <c r="B71" s="12" t="s">
        <v>426</v>
      </c>
      <c r="C71" s="13" t="s">
        <v>427</v>
      </c>
      <c r="D71" s="13" t="s">
        <v>428</v>
      </c>
      <c r="E71" s="13"/>
      <c r="F71" s="14">
        <v>311</v>
      </c>
      <c r="G71" s="12" t="s">
        <v>371</v>
      </c>
    </row>
    <row r="72" spans="1:7" ht="16.5" customHeight="1" x14ac:dyDescent="0.4">
      <c r="A72" s="8"/>
      <c r="B72" s="8"/>
      <c r="C72" s="6"/>
      <c r="D72" s="6"/>
      <c r="E72" s="6"/>
      <c r="F72" s="7"/>
      <c r="G72" s="8"/>
    </row>
    <row r="73" spans="1:7" ht="16.5" customHeight="1" x14ac:dyDescent="0.4">
      <c r="A73" s="15" t="s">
        <v>361</v>
      </c>
      <c r="B73" s="15" t="s">
        <v>362</v>
      </c>
      <c r="C73" s="16" t="s">
        <v>363</v>
      </c>
      <c r="D73" s="16" t="s">
        <v>364</v>
      </c>
      <c r="E73" s="16"/>
      <c r="F73" s="16" t="s">
        <v>365</v>
      </c>
      <c r="G73" s="15" t="s">
        <v>366</v>
      </c>
    </row>
    <row r="74" spans="1:7" ht="16.5" customHeight="1" x14ac:dyDescent="0.4">
      <c r="A74" s="17" t="s">
        <v>429</v>
      </c>
      <c r="B74" s="17" t="s">
        <v>427</v>
      </c>
      <c r="C74" s="18" t="s">
        <v>430</v>
      </c>
      <c r="D74" s="18" t="s">
        <v>431</v>
      </c>
      <c r="E74" s="18"/>
      <c r="F74" s="19">
        <v>311</v>
      </c>
      <c r="G74" s="17" t="s">
        <v>432</v>
      </c>
    </row>
    <row r="75" spans="1:7" ht="16.5" customHeight="1" x14ac:dyDescent="0.4">
      <c r="A75" s="17" t="s">
        <v>345</v>
      </c>
      <c r="B75" s="17" t="s">
        <v>433</v>
      </c>
      <c r="C75" s="18" t="s">
        <v>430</v>
      </c>
      <c r="D75" s="18" t="s">
        <v>434</v>
      </c>
      <c r="E75" s="18"/>
      <c r="F75" s="19">
        <v>92</v>
      </c>
      <c r="G75" s="17" t="s">
        <v>376</v>
      </c>
    </row>
    <row r="76" spans="1:7" ht="16.5" customHeight="1" x14ac:dyDescent="0.4">
      <c r="A76" s="17" t="s">
        <v>435</v>
      </c>
      <c r="B76" s="17" t="s">
        <v>436</v>
      </c>
      <c r="C76" s="18" t="s">
        <v>430</v>
      </c>
      <c r="D76" s="18" t="s">
        <v>437</v>
      </c>
      <c r="E76" s="18"/>
      <c r="F76" s="19">
        <v>0</v>
      </c>
      <c r="G76" s="17" t="s">
        <v>371</v>
      </c>
    </row>
    <row r="77" spans="1:7" ht="16.5" customHeight="1" x14ac:dyDescent="0.4">
      <c r="A77" s="17" t="s">
        <v>438</v>
      </c>
      <c r="B77" s="17" t="s">
        <v>439</v>
      </c>
      <c r="C77" s="18" t="s">
        <v>430</v>
      </c>
      <c r="D77" s="18" t="s">
        <v>331</v>
      </c>
      <c r="E77" s="18"/>
      <c r="F77" s="19">
        <v>150</v>
      </c>
      <c r="G77" s="17" t="s">
        <v>432</v>
      </c>
    </row>
    <row r="78" spans="1:7" ht="16.5" customHeight="1" x14ac:dyDescent="0.4">
      <c r="A78" s="17" t="s">
        <v>440</v>
      </c>
      <c r="B78" s="17" t="s">
        <v>441</v>
      </c>
      <c r="C78" s="18" t="s">
        <v>442</v>
      </c>
      <c r="D78" s="18" t="s">
        <v>443</v>
      </c>
      <c r="E78" s="18"/>
      <c r="F78" s="19">
        <v>7</v>
      </c>
      <c r="G78" s="17" t="s">
        <v>371</v>
      </c>
    </row>
    <row r="79" spans="1:7" ht="16.5" customHeight="1" x14ac:dyDescent="0.4">
      <c r="A79" s="17"/>
      <c r="B79" s="17" t="s">
        <v>444</v>
      </c>
      <c r="C79" s="18" t="s">
        <v>445</v>
      </c>
      <c r="D79" s="18" t="s">
        <v>446</v>
      </c>
      <c r="E79" s="18"/>
      <c r="F79" s="19">
        <v>6</v>
      </c>
      <c r="G79" s="17" t="s">
        <v>371</v>
      </c>
    </row>
    <row r="80" spans="1:7" ht="16.5" customHeight="1" x14ac:dyDescent="0.4">
      <c r="A80" s="17" t="s">
        <v>447</v>
      </c>
      <c r="B80" s="17" t="s">
        <v>441</v>
      </c>
      <c r="C80" s="18" t="s">
        <v>442</v>
      </c>
      <c r="D80" s="18" t="s">
        <v>447</v>
      </c>
      <c r="E80" s="18"/>
      <c r="F80" s="19">
        <v>28</v>
      </c>
      <c r="G80" s="17" t="s">
        <v>371</v>
      </c>
    </row>
    <row r="81" spans="1:7" ht="16.5" customHeight="1" x14ac:dyDescent="0.4">
      <c r="A81" s="17"/>
      <c r="B81" s="17" t="s">
        <v>444</v>
      </c>
      <c r="C81" s="18" t="s">
        <v>445</v>
      </c>
      <c r="D81" s="18" t="s">
        <v>448</v>
      </c>
      <c r="E81" s="18"/>
      <c r="F81" s="19">
        <v>28</v>
      </c>
      <c r="G81" s="17" t="s">
        <v>371</v>
      </c>
    </row>
    <row r="82" spans="1:7" ht="16.5" customHeight="1" x14ac:dyDescent="0.4">
      <c r="A82" s="17" t="s">
        <v>268</v>
      </c>
      <c r="B82" s="17" t="s">
        <v>441</v>
      </c>
      <c r="C82" s="18" t="s">
        <v>442</v>
      </c>
      <c r="D82" s="18" t="s">
        <v>449</v>
      </c>
      <c r="E82" s="18"/>
      <c r="F82" s="19">
        <v>9</v>
      </c>
      <c r="G82" s="17" t="s">
        <v>371</v>
      </c>
    </row>
    <row r="83" spans="1:7" ht="16.5" customHeight="1" x14ac:dyDescent="0.4">
      <c r="A83" s="17" t="s">
        <v>271</v>
      </c>
      <c r="B83" s="17" t="s">
        <v>441</v>
      </c>
      <c r="C83" s="18" t="s">
        <v>442</v>
      </c>
      <c r="D83" s="18" t="s">
        <v>450</v>
      </c>
      <c r="E83" s="18"/>
      <c r="F83" s="19">
        <v>28</v>
      </c>
      <c r="G83" s="17" t="s">
        <v>371</v>
      </c>
    </row>
    <row r="84" spans="1:7" ht="16.5" customHeight="1" x14ac:dyDescent="0.4">
      <c r="A84" s="17" t="s">
        <v>273</v>
      </c>
      <c r="B84" s="17" t="s">
        <v>353</v>
      </c>
      <c r="C84" s="18" t="s">
        <v>451</v>
      </c>
      <c r="D84" s="18" t="s">
        <v>452</v>
      </c>
      <c r="E84" s="18"/>
      <c r="F84" s="19">
        <v>30</v>
      </c>
      <c r="G84" s="17" t="s">
        <v>371</v>
      </c>
    </row>
    <row r="85" spans="1:7" ht="16.5" customHeight="1" x14ac:dyDescent="0.4">
      <c r="A85" s="17" t="s">
        <v>276</v>
      </c>
      <c r="B85" s="17" t="s">
        <v>453</v>
      </c>
      <c r="C85" s="18" t="s">
        <v>454</v>
      </c>
      <c r="D85" s="18" t="s">
        <v>452</v>
      </c>
      <c r="E85" s="18"/>
      <c r="F85" s="19">
        <v>200</v>
      </c>
      <c r="G85" s="17" t="s">
        <v>371</v>
      </c>
    </row>
    <row r="86" spans="1:7" ht="16.5" customHeight="1" x14ac:dyDescent="0.4">
      <c r="A86" s="17" t="s">
        <v>455</v>
      </c>
      <c r="B86" s="17" t="s">
        <v>456</v>
      </c>
      <c r="C86" s="18" t="s">
        <v>457</v>
      </c>
      <c r="D86" s="18" t="s">
        <v>458</v>
      </c>
      <c r="E86" s="18"/>
      <c r="F86" s="19">
        <v>13</v>
      </c>
      <c r="G86" s="17" t="s">
        <v>371</v>
      </c>
    </row>
  </sheetData>
  <mergeCells count="10">
    <mergeCell ref="A2:A36"/>
    <mergeCell ref="A37:A43"/>
    <mergeCell ref="B2:B16"/>
    <mergeCell ref="B17:B18"/>
    <mergeCell ref="B19:B20"/>
    <mergeCell ref="B22:B24"/>
    <mergeCell ref="B25:B26"/>
    <mergeCell ref="B28:B35"/>
    <mergeCell ref="B37:B39"/>
    <mergeCell ref="B40:B42"/>
  </mergeCells>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总价汇总表</vt:lpstr>
      <vt:lpstr>硬件-报价汇总表</vt:lpstr>
      <vt:lpstr>硬件-报价说明</vt:lpstr>
      <vt:lpstr>硬件-报价明细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Lin Lin69 Wang</cp:lastModifiedBy>
  <dcterms:created xsi:type="dcterms:W3CDTF">2006-09-16T00:00:00Z</dcterms:created>
  <dcterms:modified xsi:type="dcterms:W3CDTF">2026-09-02T13:15:05Z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2052-12.1.0.28043</vt:lpwstr>
  </property>
  <property fmtid="{D5CDD505-2E9C-101B-9397-08002B2CF9AE}" pid="4" name="CalculationRule">
    <vt:i4>0</vt:i4>
  </property>
</Properties>
</file>