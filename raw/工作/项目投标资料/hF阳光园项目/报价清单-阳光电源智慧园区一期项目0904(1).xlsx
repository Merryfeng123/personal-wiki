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emf" ContentType="image/x-emf"/>
  <Default Extension="svg" ContentType="image/svg+xml"/>
  <Default Extension="tiff" ContentType="image/tiff"/>
  <Default Extension="tif" ContentType="image/tiff"/>
  <Default Extension="jpeg" ContentType="image/jpeg"/>
  <Default Extension="bmp" ContentType="application/x-bmp"/>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Default Extension="gif" ContentType="image/gif"/>
  <Default Extension="jpg" ContentType="image/jpeg"/>
  <Override PartName="/xl/worksheets/sheet5.xml" ContentType="application/vnd.openxmlformats-officedocument.spreadsheetml.worksheet+xml"/>
  <Override PartName="/xl/drawings/drawing3.xml" ContentType="application/vnd.openxmlformats-officedocument.drawing+xml"/>
  <Override PartName="/xl/drawings/drawing4.xml" ContentType="application/vnd.openxmlformats-officedocument.drawing+xml"/>
  <Override PartName="/docProps/app.xml" ContentType="application/vnd.openxmlformats-officedocument.extended-properties+xml"/>
  <Override PartName="/xl/drawings/drawing2.xml" ContentType="application/vnd.openxmlformats-officedocument.drawing+xml"/>
  <Override PartName="/xl/worksheets/sheet8.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6.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7.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drawings/drawing5.xml" ContentType="application/vnd.openxmlformats-officedocument.drawing+xml"/>
  <Override PartName="/xl/comments1.xml" ContentType="application/vnd.openxmlformats-officedocument.spreadsheetml.comments+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3"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bookViews>
    <workbookView xWindow="2680" yWindow="1500" windowWidth="28240" windowHeight="17440" xr2:uid="{752BAC88-3D22-6345-9E5D-6A586CA68B77}"/>
  </bookViews>
  <sheets>
    <sheet name="总价汇总表" sheetId="1" r:id="rId1"/>
    <sheet name="硬件-报价汇总表" sheetId="2" r:id="rId2"/>
    <sheet name="硬件-报价说明" sheetId="3" r:id="rId3"/>
    <sheet name="硬件-报价明细" sheetId="4" r:id="rId4"/>
    <sheet name="软件-报价汇总表" sheetId="5" r:id="rId5"/>
    <sheet name="软件-产品费用报价明细" sheetId="6" r:id="rId6"/>
    <sheet name="软件-实施费用报价明细" sheetId="7" r:id="rId7"/>
    <sheet name="附录五硬件场景需求表" sheetId="8" r:id="rId8"/>
  </sheets>
  <definedNames>
    <definedName name="_xlnm._FilterDatabase" localSheetId="3">'硬件-报价明细'!$2:$1048576</definedName>
  </definedNames>
  <calcPr calcId="0" refMode="R1C1"/>
</workbook>
</file>

<file path=xl/comments1.xml><?xml version="1.0" encoding="utf-8"?>
<comments xmlns="http://schemas.openxmlformats.org/spreadsheetml/2006/main" xmlns:mc="http://schemas.openxmlformats.org/markup-compatibility/2006" xmlns:xr="http://schemas.microsoft.com/office/spreadsheetml/2014/revision" mc:Ignorable="xr">
  <authors>
    <author>Unknown User</author>
  </authors>
  <commentList>
    <comment ref="D4" authorId="0">
      <text>
        <r>
          <rPr>
            <rFont val="宋体"/>
            <b/>
            <color rgb="FF000000"/>
            <sz val="9.0"/>
          </rPr>
          <t xml:space="preserve">Administrator:</t>
        </r>
        <r>
          <rPr>
            <rFont val="宋体"/>
            <color rgb="FF000000"/>
            <sz val="9.0"/>
          </rPr>
          <t xml:space="preserve">
仅为示意，请根据SOW要求划分关键阶段</t>
        </r>
        <r>
          <rPr>
            <rFont val="宋体"/>
            <color rgb="FF000000"/>
            <sz val="10.0"/>
          </rPr>
          <t xml:space="preserve">
  - 卢晓华 lulu</t>
        </r>
        <r>
          <rPr>
            <rFont val="宋体"/>
            <color rgb="FF000000"/>
            <sz val="10.0"/>
          </rPr>
          <t xml:space="preserve">
  - 吕先超</t>
        </r>
        <r>
          <t xml:space="preserve">
</t>
        </r>
        <r>
          <t xml:space="preserve">  - 辛辰</t>
        </r>
      </text>
    </comment>
  </commentList>
</comments>
</file>

<file path=xl/sharedStrings.xml><?xml version="1.0" encoding="utf-8"?>
<sst xmlns="http://schemas.openxmlformats.org/spreadsheetml/2006/main">
  <si>
    <t>密级：公开</t>
  </si>
  <si>
    <t>阳光电源智慧园区一期建设清单报价清单-汇总表</t>
  </si>
  <si>
    <t>序号</t>
  </si>
  <si>
    <t>系统名称</t>
  </si>
  <si>
    <t>税率</t>
  </si>
  <si>
    <t>不含税总价</t>
  </si>
  <si>
    <t>含税总价</t>
  </si>
  <si>
    <t>备注</t>
  </si>
  <si>
    <t>硬件部分</t>
  </si>
  <si>
    <t>软件部分</t>
  </si>
  <si>
    <t>总计（元）</t>
  </si>
  <si>
    <t>按此未税金额投标</t>
  </si>
  <si>
    <t>阳光电源智慧园区一期建设清单（硬件）报价清单</t>
  </si>
  <si>
    <t>智慧消防及物联系统</t>
  </si>
  <si>
    <t>智慧安防系统</t>
  </si>
  <si>
    <t>等保测评</t>
  </si>
  <si>
    <t>不含税总计（元）</t>
  </si>
  <si>
    <r>
      <rPr>
        <color rgb="FF000000"/>
        <rFont val="等线"/>
        <sz val="11"/>
      </rPr>
      <t xml:space="preserve">报价须知：
1、报价前请仔细阅读《硬件-报价说明》。
2、付款方式：</t>
    </r>
    <r>
      <rPr>
        <color rgb="FFFF0000"/>
        <rFont val="等线"/>
        <sz val="11"/>
      </rPr>
      <t xml:space="preserve">电汇，合同签订后预付合同对应金额的20%，初验完成后支付合同对应金额的50%（且累积支付不超实际产值70%），终验决算完成支付至决算对应金额的90%，剩余10%作为质保金，自竣工验收通过满1年后如无质量问题、无发生甲方代扣代付维修费用，甲方无息支付质保金。</t>
    </r>
  </si>
  <si>
    <t>阳光电源智慧园区一期建设清单（硬件） 投标报价说明</t>
  </si>
  <si>
    <t>说明</t>
  </si>
  <si>
    <t>本报价说明作为投标文件的重要组成部分，与招标文件、技术规格书及合同具有同等效力。投标人须仔细阅读并充分理解所有条款，报价提交后视为已完全响应。</t>
  </si>
  <si>
    <t>一、报价范围与计价模式</t>
  </si>
  <si>
    <t>总价包含范围</t>
  </si>
  <si>
    <t>1、投标总价含设备、材料等运输、卸货、搬用、保存、安装、集成调试，通断测试，福禄克测试，质保期内保证项目稳定运行的所需全部费用。</t>
  </si>
  <si>
    <t>2、投标总价含设备、线缆、柜、箱体等的机打标签、整理等工作，达到《阳光电源弱电施工工艺参考图册》、《阳光电源厂区及办公区弱电标识标签规则》要求。</t>
  </si>
  <si>
    <r>
      <rPr>
        <color rgb="FF000000"/>
        <rFont val="宋体"/>
        <sz val="12"/>
      </rPr>
      <t xml:space="preserve">3、投标总价含施工、技术支持、操作人员培训等，含3年原厂质保运维服务等，</t>
    </r>
    <r>
      <rPr>
        <color rgb="FFFE0300"/>
        <rFont val="宋体"/>
        <sz val="12"/>
      </rPr>
      <t xml:space="preserve">故障1小时响应，故障处理6小时内完成。</t>
    </r>
  </si>
  <si>
    <r>
      <rPr>
        <color rgb="FF000000"/>
        <rFont val="宋体"/>
        <sz val="12"/>
      </rPr>
      <t xml:space="preserve">4、投标总价含材料费、施工费、调试费、措施费、安全文明施工费、税金、总包管理服务费、施工用水电费用、辅材、</t>
    </r>
    <r>
      <rPr>
        <color rgb="FFFE0300"/>
        <rFont val="宋体"/>
        <sz val="12"/>
      </rPr>
      <t xml:space="preserve">实现平台功能前端设备调整（角度、位置等）</t>
    </r>
    <r>
      <rPr>
        <color rgb="FF000000"/>
        <rFont val="宋体"/>
        <sz val="12"/>
      </rPr>
      <t xml:space="preserve">等项目交付前一切费用，辅材包括但不限于六类非屏蔽水晶头、音频接插头、各种螺丝、吊卡、丝杆、铁皮卡、自攻螺丝、膨胀管、绝缘子、接线端子、弓背、管道支持柱、拉爆三件套、膨胀螺栓、机柜螺丝、垫片、绝缘胶布、透明胶布、扎带、标签纸、魔术贴、网线固线器、标签机、钩钉、刚性卡箍、螺丝杆帽、PVC线槽、自喷漆、明装86盒、明装86盒盖板、弯管器、</t>
    </r>
    <r>
      <rPr>
        <color rgb="FFFE0300"/>
        <rFont val="宋体"/>
        <sz val="12"/>
      </rPr>
      <t xml:space="preserve">墙面开孔及开槽及修复、地面开挖及绿化恢复、</t>
    </r>
    <r>
      <rPr>
        <color rgb="FF000000"/>
        <rFont val="宋体"/>
        <sz val="12"/>
      </rPr>
      <t xml:space="preserve">其他施工工具等辅材。</t>
    </r>
  </si>
  <si>
    <t>“实体净量+量价分离”计价规则</t>
  </si>
  <si>
    <t>本项目所有强弱电管、线、桥架类材料实行“实体净量+量价分离”计价模式，清单工程量仅依据设计图纸标注的水平/垂直投影净长度计算，施工中必然发生的桥架（含管道）内敷设弯曲、桥架上翻下翻、机柜与终端处的预留长度，以及各类管、线、桥架类材料的合理损耗等，其工程量与费用均视为投标人施工技术的一部分，须在编制综合单价时一并考虑（相关费用在材料单价中体现），结算时不再单独计量。</t>
  </si>
  <si>
    <t>综合单价包干</t>
  </si>
  <si>
    <t>综合单价为包干价，包括但不限于完成工程量清单子目特征描述、工作内容描述等全部内容所需的人工费、材料费（甲供材除外）、机械费、管理费、利润、税金等全部费用，特征描述中不完善，但按常规属于完成该对应子目所必须有的工作内容，视为已包含在综合单价中。</t>
  </si>
  <si>
    <t>二、技术要求与执行标准</t>
  </si>
  <si>
    <t>工艺与标签规范</t>
  </si>
  <si>
    <t>施工须符合《阳光电源弱电施工工艺参考图册》、《阳光电源厂区及办公区弱电标识标签规则》，含设备、线缆、柜体等机打标签及整理。</t>
  </si>
  <si>
    <t>施工界面与现场踏勘</t>
  </si>
  <si>
    <t>投标人应踏勘现场，充分了解施工移交界面及标准（如地面、墙面找平层厚度可能产生的变化），相关费用包含在报价中。</t>
  </si>
  <si>
    <t>深化设计与规范要求</t>
  </si>
  <si>
    <t>本工程工程量清单项目仅列出主要包含范围，投标单位应结合设计图及标准作法进行理解，投标单位需按规范及设计要求深化施工工艺及对应施工工艺作法，本部分费用已含在本合同总价中。</t>
  </si>
  <si>
    <t>三、投标报价与格式要求</t>
  </si>
  <si>
    <t>报价格式</t>
  </si>
  <si>
    <t>报价时按照甲方提供表格格式要求进行报价；乙方提供excel表格报价电子档文件（可编辑版本即可），并提供word版本盖章报价扫描件（包含表头：序号、项目名称、工程量、单位、投标品牌、投标型号、参数（响应/正偏离/负偏离）、正/负偏离参数项、材料未税单价、施工未税单价、未税小计、备注）。</t>
  </si>
  <si>
    <t>单价一致性</t>
  </si>
  <si>
    <t>清单中所列相同项目，投标单位报价须保持一致，若投标报价不一致，则以报价较低的单价计算并调整总价。</t>
  </si>
  <si>
    <t>链接正确性</t>
  </si>
  <si>
    <t>投标清单中的链接由投标人自行负责核实。</t>
  </si>
  <si>
    <t>金额精度</t>
  </si>
  <si>
    <t>工程量清单内所有工程量及金额均需保留两位小数，并以显示精度为准。</t>
  </si>
  <si>
    <t>四、风险与变更条款</t>
  </si>
  <si>
    <t>未尽事宜</t>
  </si>
  <si>
    <t>其他未尽事宜详见招标技术规格书及其他招标材料。</t>
  </si>
  <si>
    <t>设计冲突处理</t>
  </si>
  <si>
    <t>清单中的所有主材要求详见图纸说明、技术规范书要求及清单描述，如相关描述有冲突时，按高标准执行。</t>
  </si>
  <si>
    <t>材料及品牌更换</t>
  </si>
  <si>
    <t>材料如招标人提出替换时，费用只计算材料价差和税金，不再计取其他费用。</t>
  </si>
  <si>
    <t>施工风险</t>
  </si>
  <si>
    <t>1、投标人已综合考虑施工中可能发生的各类风险（如材料损耗、预留长度、现场条件变化等），相关费用已包含在报价中。</t>
  </si>
  <si>
    <t>2、合同期内人工、材料、机械和临时设施及施工水电费的费用、费率等价格要素的波动，合同执行期内一律不予调整。</t>
  </si>
  <si>
    <t>3、施工费含白天施工、夜间施工、节假日施工等。</t>
  </si>
  <si>
    <t>乙方必填项</t>
  </si>
  <si>
    <t>设备名称</t>
  </si>
  <si>
    <t>技术参数要求</t>
  </si>
  <si>
    <t>推荐品牌</t>
  </si>
  <si>
    <t>数量</t>
  </si>
  <si>
    <t>单位</t>
  </si>
  <si>
    <t>投标品牌</t>
  </si>
  <si>
    <t>投标型号</t>
  </si>
  <si>
    <t>投标参数</t>
  </si>
  <si>
    <t>参数（响应/正偏离/负偏离）</t>
  </si>
  <si>
    <t>正/负偏离
参数项</t>
  </si>
  <si>
    <t>施工未税单价</t>
  </si>
  <si>
    <t>材料未税单价</t>
  </si>
  <si>
    <t>未税小计</t>
  </si>
  <si>
    <t>一、智慧消防及物联系统</t>
  </si>
  <si>
    <t>用户信息传输装置</t>
  </si>
  <si>
    <t>壁挂式，用于消防远程监控，通过RS232端口实时监测所连接火灾报警控制器的报警信息，并通过有线网络传递到监控平台。满足GB26875-2011标准。</t>
  </si>
  <si>
    <t>主机信号采集数量：青鸟自动报警主机*20，青岛鼎信自动报警主机*1，利达自动报警主机*1，各品牌需对应使用适配的用户信息传输硬件</t>
  </si>
  <si>
    <t>台</t>
  </si>
  <si>
    <t>全局网络控制器</t>
  </si>
  <si>
    <r>
      <rPr>
        <color rgb="FF000000"/>
        <rFont val="宋体"/>
        <sz val="11"/>
      </rPr>
      <t xml:space="preserve">1.名称：全局网络控制器 </t>
    </r>
    <r>
      <t xml:space="preserve">
</t>
    </r>
    <r>
      <rPr>
        <color rgb="FFFE0300"/>
        <rFont val="宋体"/>
        <sz val="11"/>
      </rPr>
      <t xml:space="preserve">2.参数要求：单核 A8@1GHz，1GB DDR3 / 4GB microSD，2× 百兆，2×RS-485，可扩展4 个 I/O/ 现场总线模块。协议：BACnet IP/MS/TP + Modbus TCP/RTU + LonWorks + KNX + SNMP + oBIX，编程：Niagara 图形化编程，功能极强，适合复杂联锁 / 算法。满足现场现场功能所需的点位授权费</t>
    </r>
  </si>
  <si>
    <t>霍尼韦尔、江森、西门子</t>
  </si>
  <si>
    <t>可编程网络控制器</t>
  </si>
  <si>
    <t>通讯接口：100M以太网，双网口
协议：BACnetIP/Modbus-TCP
扩展接口通讯：控制器内部协议
DI输入接口：数量最大24路，干接点接入
DO控制接口：8路，继电器负载能力2A/30VDC
UI输入接口：最大16路，支持电阻型温度NTC20K，电压型湿度0~10V，电压型CO2,0~10V，电压型CO 0~10V,电流型水压4~20mA，电流型流量计4~20mA，执行器0~10V和2~10V反馈
AO输出接口：8路，支持4~20mA和0~10V输出
RS485接口数量：2个，其中一个支持多合一传感器接入，另外一路备用
支持PLC功能，支持PLC逻辑编程
尺寸：225x115x 57mm
外壳原料： UL 94 ABS
电源：DC24V/3A
重量：500g</t>
  </si>
  <si>
    <t>可编程控制盘</t>
  </si>
  <si>
    <t>1、包含：空开、导轨及接线端子
2、国产优质箱体，根据实际安装设备测量后成套定制</t>
  </si>
  <si>
    <t>国产一线品牌，空开品牌为良信、正泰、公牛</t>
  </si>
  <si>
    <t>电源模块</t>
  </si>
  <si>
    <t>输入：85–264VAC（全球宽压），50/60Hz
输出：24VDC 可调（约 24–26V）
电流：1.3A / 2.5A / 4A（常用 4A 配 DDC）
保护：过压、短路、过载、过热（自恢复）
EMC：EN61000-6-2、EN61000-4 系列，工业级
安装：35mm DIN 导轨
外壳：UL94 V-0 阻燃塑料
工作温度：-20℃ ~ +60℃</t>
  </si>
  <si>
    <t>霍尼韦尔、江森、西门子、施耐德、同方泰德</t>
  </si>
  <si>
    <t>液位开关</t>
  </si>
  <si>
    <t>电缆长度：3M；电缆类型：PVC（聚氯乙烯）；包装形式：纸箱批量简易包装；</t>
  </si>
  <si>
    <t>压力变送器</t>
  </si>
  <si>
    <t>输出信号：4-20MA；量程范围：0-25 bar；过程连接：1/4 NPT；电气连接：1M；</t>
  </si>
  <si>
    <t>流量传感器</t>
  </si>
  <si>
    <r>
      <rPr>
        <color rgb="FF000000"/>
        <rFont val="宋体"/>
        <sz val="11"/>
      </rPr>
      <t xml:space="preserve">电源:10 to 35 VDC；电源消耗:最大40mA；输出:脉冲:NPN开集方波输出，最大60V@50mA;频率:3.2至200Hz。脉冲宽度:2.5毫秒+25%，4-20mA:4mA是0fts，20 mA是25 fts。过程连接:标准配置为1-1/2”NPT外螺纹，可选2“NPT外螺纹。</t>
    </r>
    <r>
      <rPr>
        <color rgb="FFFE0300"/>
        <rFont val="宋体"/>
        <sz val="11"/>
      </rPr>
      <t xml:space="preserve">管径满足现场环境（DN100）</t>
    </r>
  </si>
  <si>
    <t>氧浓度监测传感器</t>
  </si>
  <si>
    <t>工作温度 -20~50℃
工作湿度 5~95% RH 无冷凝
压力范围 90~110KPa
稳定性 ≤5% 信号值 / 年
响应时间 ≤10S
预热时间 ≥5 分钟
零点漂移（-20~40℃） ±0.3%Vol
重复性 ≤1%
使用寿命 ≥24 个月
量程 0~25% VOL
精度 ±2%FS
分辨率 0.1%VOL</t>
  </si>
  <si>
    <t>温湿度传感器</t>
  </si>
  <si>
    <t>精度：±2%RH；湿度输出：0-10V；温度输出：NTC20K，±0.2°C @25°C；温度量程：0~50℃；继电器输出：无；LCD显示无；</t>
  </si>
  <si>
    <t>管道风速监测传感器</t>
  </si>
  <si>
    <r>
      <rPr>
        <color rgb="FFFE0300"/>
        <rFont val="宋体"/>
        <sz val="11"/>
      </rPr>
      <t xml:space="preserve">量程：0–20 m/s（0–4000 ft/min），精度：±0.2 m/s（≤10 m/s）；±2% FS（&gt;10 m/s），输出信号：0–10VDC（线性对应量程），供电：24VDC ±10%（BA 标准供电）</t>
    </r>
    <r>
      <t xml:space="preserve">
</t>
    </r>
    <r>
      <rPr>
        <color rgb="FF000000"/>
        <rFont val="宋体"/>
        <sz val="11"/>
      </rPr>
      <t xml:space="preserve">材质 / 防护：ABS 外壳，探杆 304 不锈钢；IP65</t>
    </r>
    <r>
      <t xml:space="preserve">
</t>
    </r>
    <r>
      <rPr>
        <color rgb="FF000000"/>
        <rFont val="宋体"/>
        <sz val="11"/>
      </rPr>
      <t xml:space="preserve">温度：-10℃~+50℃（耐高温款可达 80℃）</t>
    </r>
    <r>
      <t xml:space="preserve">
</t>
    </r>
    <r>
      <rPr>
        <color rgb="FF000000"/>
        <rFont val="宋体"/>
        <sz val="11"/>
      </rPr>
      <t xml:space="preserve">安装：法兰开孔插入式，带密封圈，漏风小</t>
    </r>
  </si>
  <si>
    <t>继电器</t>
  </si>
  <si>
    <t>适配电磁阀信号选配</t>
  </si>
  <si>
    <t>个</t>
  </si>
  <si>
    <t>交流电流变送器</t>
  </si>
  <si>
    <t>输出4-20mA三相模块RS485信号</t>
  </si>
  <si>
    <t>光纤熔接盒（含光纤熔纤）</t>
  </si>
  <si>
    <t>SC4芯单模满配含熔接尾纤、法兰、SC光跳线</t>
  </si>
  <si>
    <t>一舟、普天天纪、罗格朗</t>
  </si>
  <si>
    <t>光纤收发器</t>
  </si>
  <si>
    <t>1个10/100M/1000M网口，1个1000Mbps光口（SC），工作波长：1550nm（发送）、1310nm（接收），20km。</t>
  </si>
  <si>
    <t>TP-LINK、山泽、烽火</t>
  </si>
  <si>
    <t>对</t>
  </si>
  <si>
    <t>光纤收发器架</t>
  </si>
  <si>
    <t>14槽光纤收发器机架；标准机柜安装；</t>
  </si>
  <si>
    <t>室外4芯单模光缆</t>
  </si>
  <si>
    <t>1.标准：YD/T769，ISO/IEC11801，ANSI/TIA -568-C.3
2.全截面阻水结构，松套管填充纤膏，松套管和钢带之间填充缆膏，确保良好的阻水防潮性能
3.光纤规格：B1.3（OS2）
4.衰减＠20℃（dB/Km）：＠1310nm≤0.36，＠1550nm≤0.22
5.光纤芯数：4芯
6.护套：夹带钢丝的钢-聚乙烯粘结护套，MDPE，黑色
7.允许拉伸力：长期：600N，短期：1500N
8.允许压扁力：长期：300N/100mm，短期：1000N/100mm
9.最小弯曲半径：动态：20D，静态：10D</t>
  </si>
  <si>
    <t>m</t>
  </si>
  <si>
    <t>24口光纤配线架（含尾纤、LC双工耦合器、熔接）</t>
  </si>
  <si>
    <t>1.标准：YD/T778，ISO/IEC 11801，ANSI/TIA -568-C.3
2.安装方式：19″机架式安装
3.4个光缆进线口，带固定PG头，盒内配置光缆护套固定装置，光缆加强件固定装置
4.通用型设计，可兼容：LC双工、SC单工、FC、ST适配器，一个4口支架仅需一颗螺丝，便于安装和拆卸
5.进出光纤方便灵活，有充裕的光纤盘存空间，光纤和尾纤弯曲半径不小于30mm
6.端口数量： 24口，空余端口可安装空白功能件，高度：1U
7.表面处理：静电喷塑
8.材料：优质冷扎钢板
9.表面颜色：黑色
10.含LC双工耦合器</t>
  </si>
  <si>
    <t>光纤跳线</t>
  </si>
  <si>
    <t>单模双芯SC-LC优质2米光纤跳线；</t>
  </si>
  <si>
    <t>六类非屏蔽跳线（2m）</t>
  </si>
  <si>
    <t>1.标准：不低于TIA/EIA568-C.2、ISO/IEC11801、IEC60332-1、GB 50311；
2.导体规格：2.导体规格：多股绞合铜线，4×2×24AWG；
3.护套材料：PVC，护套外径：6.3±0.3mm；
4.插头规格：RJ45，8P8C；
5.插拔次数：≥1000次；
6.最高传输频率：不小于250MHz；
7.线缆外护套上间隔印有商标、电缆编号、电缆类别、线规、防火等级、标准；
8.支持以太网供电应用（POE/POE+）；
9.描述：用于办公桌桌面跳线，长度2米
10.为了保证性能的匹配性和稳定性，综合布线光纤系统、铜缆系统应采用同一品牌。</t>
  </si>
  <si>
    <t>24口接入交换机-单电源</t>
  </si>
  <si>
    <t>★在不插板卡情况下，单设备交换容量≥336Gbps，包转发率≥120Mpps，提供≥24个千兆电接口、≥4个千兆SFP光接口      
1、支持堆叠技术或者虚拟化技术
2、支持 4K 802.1Q VLAN,支持Voice VLAN及Voice VLAN中可以同时识别多厂家的OUI地址，支持端口VLAN、MAC VLAN
3、支持标准IP ACL（基于IP地址的硬件ACL）支持扩展IP ACL（基于IP地址、TCP/UDP端口号的硬件ACL）
4、支持QOS
5、支持一对一、多对一、一对多的镜像
6、支持DHCP Server、DHCP Client、DHCP Snooping、DHCP Relay、DHCP Option82
7、支持广播风暴抑制
8、支持设备登陆管理的AAA安全认证、radius认证、支持802.1x、支持ssh2.0
9、支持STP/RSTP/MSTP协议
10、支持链路聚合（支持静态、动态链路聚合、千兆口聚合）
11、有标准的或私有的邻居发现协议
12、支持VLAN虚接口
13、支持 IPv4 /ipv6静态路由
14、支持OSPFv2、OSPFv3
15、支持SNMPv1/v2/v3，WEB网管，支持命令行接口配置，Telnet，SSH，Console口配置，支持系统日志，分级告警，调试信息输出，NTP/SNTP
★16、提供真实有效的工信部入网证复印件；
★17、原厂质保≥3年
★18、考虑设备兼容性、项目实施、交付及售后服务，采用与核心交换机同一品牌。</t>
  </si>
  <si>
    <t>华三、锐捷（非睿易）</t>
  </si>
  <si>
    <t>千兆单模光模块</t>
  </si>
  <si>
    <t>LC接口，单模千兆光纤（和交换机同品牌）</t>
  </si>
  <si>
    <t>信号线</t>
  </si>
  <si>
    <t>国标，RVV2*1.0</t>
  </si>
  <si>
    <t>国标，RVVP2*1.0</t>
  </si>
  <si>
    <t>国标，RVVP4*1.0</t>
  </si>
  <si>
    <t>国标，RVVP6*1.0</t>
  </si>
  <si>
    <t>JDG20管</t>
  </si>
  <si>
    <t>JDG管，壁厚不小于1.0MM,φ20；含主材、接头、固定扣件（含钢结构扣件）等辅材</t>
  </si>
  <si>
    <t>国产</t>
  </si>
  <si>
    <t>辅材</t>
  </si>
  <si>
    <t>设备安装配套辅材，水晶头，扎带等</t>
  </si>
  <si>
    <t>项</t>
  </si>
  <si>
    <t>二、智慧安防系统</t>
  </si>
  <si>
    <t>2.1、视频监控系统</t>
  </si>
  <si>
    <t>抗振防抖场景专用摄像机</t>
  </si>
  <si>
    <t>1.设备采用金属机身，主要接口：1个M12航空头网络接口、1个CVBS接口、1个音频输入接口，1个音频输出接口、1个RS485接口、1个报警输入接口、1个报警输出接口、1个SD卡卡槽（内置）
2.内置1/1.8英寸，400万像素CMOS传感器；最大亮度鉴别等级试验≥11级；最大帧率60fps；延时试验小于200ms；照度适应范围不小于140dB
3.外壳防护等级IP66/IP68
4.机身部分碰撞防护等级IK10
5.摄像机应能在额定电源电压DC9V-DC36V范围内正常工作，支持POE供电
6.设备支持红外和暖光补光灯，可通过IE浏览器或客户端切换补光灯类型
7.最低照度试验：彩色：0.0005 lx，黑白：0.0001 lx
8.支持开启、关闭畸变矫正功能
9.防抖功能检查：在水平X轴方向随机抖动频率范围5Hz-62Hz，加速度有效值：5.6m/s²，最大振幅3.39mm；相机配置：2560X1440，最大焦距，座装安装，镜头方向朝下；在图像中指定4个像素点，最大偏移应不超过±1%。
10.防抖功能检查：在水平Y轴方向随机抖动频率范围5Hz-62Hz，加速度有效值：5.6m/s²，最大振幅3.39mm；相机配置：2560X1440，最大焦距，座装安装，镜头方向朝下；在图像中指定4个像素点，最大偏移应不超过±1%。
11.防抖功能检查：在垂直Z轴方向随机抖动频率范围5Hz-26Hz，加速度有效值：5.6m/s²，最大振幅3.39mm；相机配置：2560X1440，最大焦距，座装安装，镜头方向朝下；在图像中指定4个像素点，最大偏移应不超过±1.5%。
12.在彩色模式下，当照度降低至一定值时，设备可自动开启白光灯补光，设备在白天、夜晚均可输出彩色视频图像
13.可通过扫描预览界面上生产的二维码获取设备资料。
14.当移动侦测、进入区域、离开区域、越界区域或区域入侵报警类型设置为人和/或车时，仅当检测区域中出现对应的人和/或车时，才触发报警；当报警产生时，可触发联动白光灯闪烁，白光灯闪烁的时间和频率可设置
15.设备具有APP管理功能，支持在线导入APP、删除APP、加载运行APP、配置APP操作，APP管理操作无需重启设备，操作期间预览画面无中断。
16.设备支持用户自定义最多16个AI算法库，可设置当前生效的算法库和显示当前算法库的运行状态，并支持修改、删除算法库及自定义算法库名称。
17.设备具有良好的环境适应性，工作温度范围可达-40℃～60℃。</t>
  </si>
  <si>
    <t>海康</t>
  </si>
  <si>
    <t>400万变焦筒型网络摄像机</t>
  </si>
  <si>
    <t>1.支持输出图像分辨率不低于2560x1440
2.最低照度彩色：0.005 lx，最大亮度鉴别等级不小于11级
3.补光距离：红外不低于50 m，白光不低于30 m
4.支持电动变焦
5.具备区域入侵、越界、进入区域、离开区域、人员聚集、快速移动、徘徊、物品移除、物品遗留、停车智能分析功能，当以上智能分析行为达到设定的阈值时，可通过客户端软件或IE浏览器给出报警提示
6.同一场景相同图像质量下设备在H.264或H265编码方式时，开启智能编码功能和不开启智能编码相比，码率节约80%
7.靶面尺寸为1/2.7英寸，内置1个麦克风，具有1个RJ45 网络接口，1路音频输入、1路音频输出、1路报警输入、1路报警输出、1 个复位按钮、1个 SD 卡槽、1个 DC12V 电压输出接口
8.支持H.264、H.265视频编码格式，且具有High Profile编码能力
9.支持电源电源在DC12V±25%范围内变化时正常工作，支持POE
10.IP67防护等级</t>
  </si>
  <si>
    <t>热成像摄像机</t>
  </si>
  <si>
    <r>
      <rPr>
        <color rgb="FF000000"/>
        <rFont val="宋体"/>
        <sz val="11"/>
      </rPr>
      <t xml:space="preserve">★热成像：分辨率：256×192；焦距：</t>
    </r>
    <r>
      <rPr>
        <color rgb="FFFE0300"/>
        <rFont val="宋体"/>
        <sz val="11"/>
      </rPr>
      <t xml:space="preserve">焦距可选：3/7/10mm</t>
    </r>
    <r>
      <rPr>
        <color rgb="FF000000"/>
        <rFont val="宋体"/>
        <sz val="11"/>
      </rPr>
      <t xml:space="preserve">；</t>
    </r>
    <r>
      <t xml:space="preserve">
</t>
    </r>
    <r>
      <rPr>
        <color rgb="FF000000"/>
        <rFont val="宋体"/>
        <sz val="11"/>
      </rPr>
      <t xml:space="preserve">可见光：分辨率：2688*1520，400万；</t>
    </r>
    <r>
      <rPr>
        <color rgb="FFFE0300"/>
        <rFont val="宋体"/>
        <sz val="11"/>
      </rPr>
      <t xml:space="preserve">焦距：焦距可选：4mm/8mm/12.4mm</t>
    </r>
    <r>
      <rPr>
        <color rgb="FF000000"/>
        <rFont val="宋体"/>
        <sz val="11"/>
      </rPr>
      <t xml:space="preserve">；</t>
    </r>
    <r>
      <t xml:space="preserve">
</t>
    </r>
    <r>
      <rPr>
        <color rgb="FF000000"/>
        <rFont val="宋体"/>
        <sz val="11"/>
      </rPr>
      <t xml:space="preserve">支持1路音频输入，1路音频输出；</t>
    </r>
    <r>
      <t xml:space="preserve">
</t>
    </r>
    <r>
      <rPr>
        <color rgb="FF000000"/>
        <rFont val="宋体"/>
        <sz val="11"/>
      </rPr>
      <t xml:space="preserve">支持2路报警输入，2路报警输出；</t>
    </r>
    <r>
      <t xml:space="preserve">
</t>
    </r>
    <r>
      <rPr>
        <color rgb="FF000000"/>
        <rFont val="宋体"/>
        <sz val="11"/>
      </rPr>
      <t xml:space="preserve">外壳防护等级：IP67；</t>
    </r>
    <r>
      <t xml:space="preserve">
</t>
    </r>
    <r>
      <rPr>
        <color rgb="FF000000"/>
        <rFont val="宋体"/>
        <sz val="11"/>
      </rPr>
      <t xml:space="preserve">电源电压在DC12V±20%范围内变化时，能正常工作；</t>
    </r>
    <r>
      <t xml:space="preserve">
</t>
    </r>
    <r>
      <rPr>
        <color rgb="FF000000"/>
        <rFont val="宋体"/>
        <sz val="11"/>
      </rPr>
      <t xml:space="preserve">可通过IE浏览器在热成像画面中设置点、线段、区域测温规则；</t>
    </r>
    <r>
      <t xml:space="preserve">
</t>
    </r>
    <r>
      <rPr>
        <color rgb="FF000000"/>
        <rFont val="宋体"/>
        <sz val="11"/>
      </rPr>
      <t xml:space="preserve">点测温、线测温、区域测温中存在高于或者低于报警或预报警温度时，可在客户端显示不同的报警颜色进行报警提示，联动报警输出，联动录像及联动抓拍；</t>
    </r>
    <r>
      <t xml:space="preserve">
</t>
    </r>
    <r>
      <rPr>
        <color rgb="FF000000"/>
        <rFont val="宋体"/>
        <sz val="11"/>
      </rPr>
      <t xml:space="preserve">支持声音联动报警功能。可对智能行为、温度超过阈值、出现高温点等行为进行检测并报警，报警声音可设置，同时支持自定义；</t>
    </r>
    <r>
      <t xml:space="preserve">
</t>
    </r>
    <r>
      <rPr>
        <color rgb="FF000000"/>
        <rFont val="宋体"/>
        <sz val="11"/>
      </rPr>
      <t xml:space="preserve">★噪声等效温差为8mk，最小可分辨温差为200mk（（公京检第2401130038号第100条）</t>
    </r>
    <r>
      <t xml:space="preserve">
</t>
    </r>
    <r>
      <rPr>
        <color rgb="FF000000"/>
        <rFont val="宋体"/>
        <sz val="11"/>
      </rPr>
      <t xml:space="preserve">热成像视频图像具有白热、黑热、融合1、融合2、彩虹1、铁红2、深褐色等42种显示模式</t>
    </r>
    <r>
      <t xml:space="preserve">
</t>
    </r>
    <r>
      <rPr>
        <color rgb="FF000000"/>
        <rFont val="宋体"/>
        <sz val="11"/>
      </rPr>
      <t xml:space="preserve">含安装支架</t>
    </r>
  </si>
  <si>
    <t>高空球型鹰眼</t>
  </si>
  <si>
    <t>1.全景通道最高分辨率不小于6072 x 2640，细节通道最高分辨率不小于3840x2160。
2.全景通道内置4个镜头、靶面尺寸不小于1/1.8英寸的CMOS传感器，细节通道内置1个镜头，靶面尺寸不小于1/1.2英寸的CMOS传感器。
3.设备在全景拼接模式下，垂直视场角不小于110°，水平视场角不小于180°。可将4个全景视频图像进行拼接，实现不小于180°拼接画面显示，并抓拍拼接后的图片。
4.细节通道内置镜头支持不小于45倍光学变倍，镜头最大焦距不小于320mm。
5.设备具有光学防抖功能，将镜头倍率设置为最大，快门设置为1/25s，在振动台振幅不大于0.3°，振动频率不大于10Hz情况下，设备视场角应无明显变化，视频图像在振动过程中应保持稳定清晰
6.设备内置2个雨刷器，雨刷器1可清洁全景通道镜头表面玻璃，雨刷器2可清洁细节通道镜头表面玻璃。
7.设备细节通道水平手控最大速度不小于500°/s，垂直手控最大速度不小于350°/s。
8.设备具备双安装接口，一个为快速旋转安装接口，一个为多孔稳定安装接口。
9.支持不小于300个预置位，支持预置位冻结功能。
10.内置不少于3个GPU芯片。
11.支持智能行为分析功能，智能分析行为类型为区域入侵、越界入侵、进入区域、离开区域等，支持行为分析触发后联动聚焦、联动目标跟踪、报警上传等多种报警触发方式。
12.设备在全景视频图像中点击或框选移动目标至设备开始转动的时间小于0.3s，全景图像检测到且框选出移动目标至设备开始转动时间小于0.3s。
13.设备全景通道支持人员密度检测功能，可开启、关闭人员密度检测功能，最多可设置8个多边形（3～10条边）人员密度检测区域。每个区域的名称、人员数量报警阈值等级（低、中、高等级）可自定义。
14.设备全景通道车辆拥堵检测功能，开启车辆拥堵检测功能后，当设置区域内的车辆滞留时间超过设定值时，可通过IE浏览器给出报警提示。
15.设备可切换智能模式，当更换当前智能模式时设备不需重启，新智能模式即可生效。
16.设备全景通道具有默认拼接、手动拼接、自动拼接3种拼接模式；自动拼接模式下设备可自动获取特征并进行拼接。
17.设备具有AI-ISP图像质量提升功能，在低照度环境下，可自动调节预览场景视频画面中人脸、人体、车辆等目标及预览场景视频画面的区域曝光、亮度、色彩饱和度、对比度、锐度等。
18.设备具有不少于1个RJ45网络接口、1个光纤接口、7路报警输入、2路报警输出、1路音频输入、1路音频输出。内置的北斗定位模块，具有定位功能，可自动获取设备所在位置经纬度信息。
19.防护等级不低于IP67。</t>
  </si>
  <si>
    <t>人脸识别布控球</t>
  </si>
  <si>
    <t>1.单北斗5G双摄便携球套装
2.支持双摄：40倍光学变倍机芯，最大分辨率2560*1440，图像清晰、细腻，低照度，彩色0.0001Lux；全景镜头8M，分辨率2160×3840
3.支持自动彩转黑功能，实现昼夜监控
4.支持人脸比对，可存储30W张人脸名单（含一张1TB TF卡）
5.支持车辆检测及抓拍
6.支持抽烟、佩戴安全帽、玩手机、未穿工作服检测
7.支持3D-DNR
8.支持双TF卡存储
9.支持5G模块（天线内置），可额外扩展1个4G模块
10.配置可拆卸电池，单电池可支持8-9小时连续工作
11.支持双MIC、双扬声器，可选配支持LINE IN\LINE OUT
12.支持自定义语音导入，可关联智能分析报警
13.自带2.4寸LCD显示屏，可支持视频预览，云台控制等，可显示当前电池电量、定位状态、3G/4G/5G状态、录像状态、存储容量、蓝牙状态、平台连接状态、Wi-Fi状态、智能算法模式等
14.底部配置高吸力磁铁，安装便捷</t>
  </si>
  <si>
    <t>智能融合应用主机</t>
  </si>
  <si>
    <t>1.整机最大支持512路普通视频流(2MP)接入或768路文搜相机(2MP/4MP)接入，实现大模型以文搜图算法、人脸算法、结构化算法并行分析
2.整机共搭载8张GPU计算卡，其中4张抓拍卡，用于视频全目标抓拍；4张计算卡，共6个虚拟引擎，可自定义配置以文搜图算法、人脸算法、结构化算法
3.设备支持1亿条目标抓拍图片、结构化属性、模型存储（人脸+结构化）
4.集成GCN聚类算法，实现二级人员聚类方案，提供更优的人员目标聚类效果
5.大模型以文搜图算法；支持1亿条图片数据秒级文本搜图
6.大模型文本预警：支持文本描述目标关键特征，快速开启布防任务；支持1000条文本语义预警布防；最大支持50路视频流文本预警
7.大模型文本微调：支持对搜索结果进行快速标定和文本微调训练，提升文本搜图和预警效果；单次最大支持50张图片进行微调
8.人脸应用：支持目标抓拍、比对报警，以图搜图、属性检索，高频报警，1V1比对，人员档案
9.支持300万人脸静态库，300万人脸名单库比对报警，128个名单库，1亿条抓拍数据秒级检索
10.结构化应用：支持人体/车辆/非机动车抓拍、建模，以图搜图、属性检索
11.CPU：2颗64位多核处理器
12.GPU：8张GPU计算卡
13.系统内存：160GB DDR4内存
14.系统盘：2×240GB SSD
15.数据盘：1×1.92T SSD（M.2 NVMe），1× 4TB SATA盘，8× 8TB SATA盘
16.网络接口：2×千兆电口 + 2×万兆光口
17.其它接口：2×VGA接口，4×USB接口
18.整机电源：1200W ，1+1冗余电源</t>
  </si>
  <si>
    <t>AI服务器</t>
  </si>
  <si>
    <r>
      <rPr>
        <color rgb="FF000000"/>
        <rFont val="宋体"/>
        <sz val="11"/>
      </rPr>
      <t xml:space="preserve">主处理器：配置2颗KP920处理器，核数≥24核，主频≥2.5GHz；</t>
    </r>
    <r>
      <t xml:space="preserve">
</t>
    </r>
    <r>
      <rPr>
        <color rgb="FF000000"/>
        <rFont val="宋体"/>
        <sz val="11"/>
      </rPr>
      <t xml:space="preserve">操作系统：openEuler-22.03-LTS-aarch64</t>
    </r>
    <r>
      <t xml:space="preserve">
</t>
    </r>
    <r>
      <rPr>
        <color rgb="FF000000"/>
        <rFont val="宋体"/>
        <sz val="11"/>
      </rPr>
      <t xml:space="preserve">智能卡数量：配置8张Atlas 300V 智能卡；最大可支持8个智能卡</t>
    </r>
    <r>
      <t xml:space="preserve">
</t>
    </r>
    <r>
      <rPr>
        <color rgb="FFFE0300"/>
        <rFont val="宋体"/>
        <sz val="11"/>
      </rPr>
      <t xml:space="preserve">场景以本表格《附录五硬件场景需求表》为准</t>
    </r>
    <r>
      <t xml:space="preserve">
</t>
    </r>
    <r>
      <rPr>
        <color rgb="FFFE0300"/>
        <rFont val="宋体"/>
        <sz val="11"/>
      </rPr>
      <t xml:space="preserve">要求算法识别准确率、设备监测准确率不低于95%</t>
    </r>
  </si>
  <si>
    <t>存储服务器</t>
  </si>
  <si>
    <t>1.服务器配置： 1颗64位多核处理器，8GB内存，内存支持扩展到≥256GB，内置SSD固态硬盘（可以扩展到4个SSD作为缓存盘），配置8个风扇，风扇支持热插拔并可冗余温控调速；支持热插拔1+1AC220V电源或1+1直流冗余电源供电
2. 设备具备1个定位灯、1个电源灯、1个设备报警灯、1个就绪灯、1个网络状态灯、1个系统盘状态灯、1个硬盘状态灯，机箱具备防尘滤网，采用双立柱防震设计。设备左右侧面各2个抬手，具备前面板抽拉标签卡
3. 4个2.5Gb网口，支持2个前置 USB2.0接口、2个后置USB3.0接口，支持1个前置VGA接口、1个后置HDMI接口，支持1个RS-232串口，支持4个PCI-E3.0 
4. 可接入2T/3T/4T/6T/8T/10T/12T/14T/16T/18T/20T/25T/26T/30T SATA/SAS硬盘；支持NL-SAS 硬盘、HDD硬盘、SSD硬盘、氦气硬盘、空气硬盘；支持 CMR或SMR硬盘；支持硬盘交错/分时启动
5.支持SATA和SAS混插，支持不同品牌（希捷、西数、东芝、海康威视）的硬盘混插；支持不同大小的硬盘混合使用，可显示硬盘的总容量（各个硬盘容量之和）
6. 应能接入并存储总码流不超过4096Mbps的2048路2Mbps码流或1024路4Mbps码流的视(音)频图像;同时转发总码流不超过4096Mbps的2048路2MbpS码流或1024路4Mbps码流的视(音)频图像;同时下载总码流不超过4096Mbps的2Mbps码流的视(音)频图像;同时回放总码流不超过1400 Mbps的视(音)频图像。当RAID处于降级或重构状态时，存储业务正常。在转发模式下，可进行4096路2Mbps视频码流转发，在总带宽不变的情况下，接入、转发、回放间的性能值可自由调整
7. 支持 ONVIF、PSIA、TCP/IP、UDP、SIP、SIP2.0、RTSP、RTP、RTCP、iSCSI、CIFS(SMB)、NFS、FTP、HTTP、AFP、RSYNC、SNMP、IPV4、IPV6、HLS、S3、OSS等协议，支持IP组播
8.抓拍图片、弹出报警画面、发送语音提示、上传中心、蜂鸣报警以及日志
9.可扩展支持将前端一路视频流同时存入两台存储；支持双机间编码器和录像同步，故障时可进行互相接管
10.可对视音频、图片、结构化数据、对象等文件进行混合存储，并可通过http和https方式下载 
11.支持查看硬盘体检报告、硬盘深度体检和磁盘档案；支持下载单个硬盘或批量硬盘的报告，支持按时间显示硬盘的坏扇区、温度、振动变化趋势的曲线图；支持硬盘体检报告打印输出；支持查看硬盘体检的历史记录、硬盘健康状态，包括健康、亚健康、故障等；
12.更换系统盘并配置好信息后，再次开机无需人工介入，可自动恢复业务，历史数据不应丢失。
13.配置48块8T硬盘</t>
  </si>
  <si>
    <t>原有安防监控平台扩容</t>
  </si>
  <si>
    <t>本次项目新增的前端摄像机需接入原有监控管理平台进行统一管理，并实现如下功能：
一、视频预览
1、支持视频实时预览能力，实现预览窗口布局切换、预览画面自适应及全屏切换；
2、支持云台控制、实时抓图、紧急录像、即时回放、主子码流切换、声音开启\关闭、辅屏预览（1个辅屏）、对讲、广播、报警输出控制的能力；
3、支持智能规则展示的能力（如：针对热成像设备温度信息实时展示）；
4、支持资源视图管理能力，以视图形式管理监控点、视频预览轮巡等自定义资源组，其中视图类型包含公有视图和私有视图；
5、支持全景视频监控预览能力，支持球型鹰眼、全景摄像机的全景模式；
二、录像回放
1、支持录像计划管理能力，支持实时录像计划、录像回传计划；
2、支持录像回放能力，支持多画面同步回放和异步回放切换、超高倍速回放、分段回放、录像下载、录像剪辑、录像标签、录像锁定、录像抓图；
三、图片监控
1、支持视频预览与图片实时监控模式切换能力，实现图片监控模式；
2、支持图片查询回放能力，实现按监控点、时间段展示抓拍图片；
3、支持图片自动播放能力，支持图片自动播放速度可设置；
4、支持图片下载能力；
四、视频上墙
1、支持电视墙场景管理能力，实现场景窗口配置、场景切换计划配置以及轮巡计划的管理；
2、支持上墙控制能力，实现场景一键上墙、场景切换、电视墙切换、监控点上下墙、轮巡控制操作；
五、视频事件
1、支持视频事件布撤防能力，可按计划模版进行布防，事件类型包括移动侦测、视频丢失、视频遮挡、报警输入、报警输出；
六、事件录像管理
支持事件录像存储配置、事件录像检索和下载管理。</t>
  </si>
  <si>
    <t>路</t>
  </si>
  <si>
    <t>8口POE接入交换机（带光口）</t>
  </si>
  <si>
    <t>千兆以太网交换机，PoE交换机；
端口描述：不低于10个10/100/1000M电口，不低于2个SFP口，1个console口；
背板带宽：不低于336Gbps/3.36Tbps；
包转发率：不低于27Mpps/102Mpps；
支持Console，Telnet，WEB，SNMP；
PoE：1-8口支持（整机PoE供电不低于125W，最大同时支持8个PoE端口）
PoE+：1-8口支持（整机PoE供电不低于125W，最大同时支持4个PoE+端口）</t>
  </si>
  <si>
    <t>24口POE接入交换机-单电源</t>
  </si>
  <si>
    <t>1.在不插板卡情况下，单设备交换容量≥336Gbps，包转发率≥126Mpps，提供≥24个千兆电接口、≥4个万兆SFP+光接口。
2.支持支持802.3at/POE+供电标准。              
1、支持堆叠技术或者虚拟化技术
2、支持 4K 802.1Q VLAN,支持Voice VLAN及Voice VLAN中可以同时识别多厂家的OUI地址，支持端口VLAN、MAC VLAN
3、支持标准IP ACL（基于IP地址的硬件ACL）支持扩展IP ACL（基于IP地址、TCP/UDP端口号的硬件ACL）
4、支持QOS
5、支持一对一、多对一、一对多的镜像
6、支持DHCP Server、DHCP Client、DHCP Snooping、DHCP Relay、DHCP Option82
7、支持广播风暴抑制
8、支持设备登陆管理的AAA安全认证、radius认证、支持802.1x、支持ssh2.0
9、支持STP/RSTP/MSTP协议
10、支持链路聚合（支持静态、动态链路聚合、千兆口聚合、万兆口聚合）
11、有标准的或私有的邻居发现协议
12、支持VLAN虚接口
13、支持 IPv4 /ipv6静态路由
14、支持OSPFv2、OSPFv3
15、支持SNMPv1/v2/v3，WEB网管，支持命令行接口配置，Telnet，SSH，Console口配置，支持系统日志，分级告警，调试信息输出，NTP/SNTP
★15、提供真实有效的工信部入网证复印件；
★16、原厂质保≥3年</t>
  </si>
  <si>
    <t>万兆单模光模块</t>
  </si>
  <si>
    <t>SFP+万兆模块(1310nm,10km,LC)</t>
  </si>
  <si>
    <t>六类非屏蔽双绞线</t>
  </si>
  <si>
    <t>1.标准：不低于TIA/EIA568-C.2、ISO/IEC11801、IEC60332-1、GB 50311；
2.最高传输频率不低于250MHz；
3.导体规格：单根导体直径不小于0.57±0.02；
4.屏蔽方式：U/UTP，线对采用“十”字骨架隔离；
5.护套材料：LSZH，护套外径：6.3±0.3mm；
6.支持以太网供电（Power over Ethernet）应用（POE/POE+）；
7.综合布线光纤系统、铜缆系统应采用同一品牌。</t>
  </si>
  <si>
    <t>电源线</t>
  </si>
  <si>
    <t>国标，RVV3*2.5</t>
  </si>
  <si>
    <t>背包箱</t>
  </si>
  <si>
    <t>1.尺寸：不低于400mmX300mmX500mm
2.配置空开、插线板，设备的安装附件和安装螺钉；满足现场使用需求。
3.结构：整体结构采用拼焊结构，牢固、钢性好、牢固可靠，表面采用热镀锌处理。
4.防护等级不低于IP55，保护内部设备不受外界恶劣环境的干扰；
5.箱体采用1.2mm的标号201不锈钢板，整体喷塑。
颜色和立杆保持一致。</t>
  </si>
  <si>
    <t>3.5米监控立杆</t>
  </si>
  <si>
    <t>1.3.5米监控立杆，含地笼及混凝土基础；
2.颜色和背包箱保持一致。</t>
  </si>
  <si>
    <t>SC4芯单模满配含熔接尾纤、法兰、SC光跳线。</t>
  </si>
  <si>
    <t>单模双芯LC-LC优质3米光纤跳线；</t>
  </si>
  <si>
    <t>2.2、无人机软硬件套装</t>
  </si>
  <si>
    <t>无人机</t>
  </si>
  <si>
    <t>最大飞行时间（无风环境）：＞50分钟
环境适应性：防护等级≥ IP55，最大抗风速度≥12 米/秒
环境感知：全向双目视觉系统，辅以机身底部三维红外传感器
广角：1/1.3 英寸 CMOS，有效像素 4800 万
中长焦：1/1.3 英寸 CMOS，有效像素 4800 万
长焦：1/1.5 英寸 CMOS，有效像素 4800 万
热成像相机：1280 × 1024@30fps
激光测距：正入射量程 1800 米（1 Hz）@20% 反射率目标
线缆级自动避障</t>
  </si>
  <si>
    <t>大疆、道通、复亚智能、云圣智能</t>
  </si>
  <si>
    <t>无人机巢及中继</t>
  </si>
  <si>
    <t>环境适应性：工作温度为 -30℃ 至 50℃ ，防护等级为 IP56
最大作业半径≥5 公里
充电时间＜30 分钟
舱内可直播相机分辨率：1920 × 1080
机巢图传系统
依据现场情况自行评估是否需要增加中继设备</t>
  </si>
  <si>
    <t>套</t>
  </si>
  <si>
    <t>无人机平台</t>
  </si>
  <si>
    <t>私有化平台，支持算法和大模型，支持二次开发，可视化界面操作
支持本地建模，支持一键起飞，多航线设定（巡检航线和指令航线）
支持自定义模糊查找、导出照片
接入智慧安防系统
巡查管理支持无人机航线绘制和飞行任务管理，同时提供飞行实时监控：
1、航线绘制：
提供自定义航线，支持手动在地图上绘制航电，生成航线
2、飞行任务管理：
提供基础巡查任务管理，对指定航线进行巡检，支持单次、重复、定时、连续等飞行策略
3、飞行监控：支持全局视角、无人机视角多视角展示：
1）支持以2.5D地图可视化呈现无人机、机库、手持地面站、飞手等地理位置及相关信息，对禁飞区、电子围栏等区域分布进行图上统计展示。
2）支持展示地面站数量、无人机数量、任务数量、飞行里程、飞行架次、飞行时长等。
3）支持对当前执飞无人机进行实时动态监测，展示无人机当前位置、高度、速度等信息，可以查看当前无人机挂载视频实时画面。
4）支持无人机远程控制，包含一键起飞、一键返航等操作，可以针对无人机挂载设备进行广播喊话、拍照、云台控制等操作。
5）支持展示任务信息、航线信息、预警信息、地面站信息等。
6）支持按飞机、按飞手、按任务查询对应飞行任务的图片档案信息。
7）支持飞机、按飞手、按任务查询对应飞行任务的视频档案信息。</t>
  </si>
  <si>
    <t>2.3、巡更管理</t>
  </si>
  <si>
    <t>手持设备</t>
  </si>
  <si>
    <t>1.ARM八核2.0GHz处理器，4GB RAM，64GB ROM
2.图像采集：前置摄像头500万像素；后置摄像头1300万像素
3.支持二维码、NFC读卡、室外GPS定位+电子地图巡更方案
4.内置高灵敏度卫星定位模块，支持北斗，GPS，Glonass定位
5.防水、防尘、防摔（IP68）,支持1.5米防摔，适合全天候野外作业
6.支持NFC协议；支持ISO15693、ISO14443A/B
7.支持远程巡更任务接收，巡更任务管理
8.支持巡更人员登录注册，进行权限管理
9.支持巡更任务查询，巡更任务提醒等协助巡更的功能
10.有网络环境下支持巡更记录实时上传，无网络环境下支持巡更记录断点续传</t>
  </si>
  <si>
    <t>蓝卡、广拓、海康</t>
  </si>
  <si>
    <t>巡更牌</t>
  </si>
  <si>
    <t>1.NFC巡更打卡，使用单兵设备可直接进行巡更打卡
2.二维码扫描，通过系统权限验证的用户，可通过扫描二维码查看巡更记录
3.抬头预留空窗，可根据需求自主印刷
4.工作温度：-40℃～85℃
5.工作湿度：5%～95% 无冷凝</t>
  </si>
  <si>
    <t>卡片录入仪</t>
  </si>
  <si>
    <t>1.支持发卡类型：ID卡、IC卡、身份证物料卡号（序列号）、普通CPU卡、国密CPU卡
2.USB2.0接口
3.具有2个Sim卡尺寸的PSAM卡座
4.工作电压：DC 5V
5.工作电流：0.2A</t>
  </si>
  <si>
    <t>巡更管理软件</t>
  </si>
  <si>
    <t>一、巡更点
1、支持将门禁设备、近距离射频识别NFC、二维码等多种方式设置为巡更点打卡凭证；
2、支持根据实际管理需求自定义扩展巡更点类型；
二、巡更计划
1、支持有序巡更与无序巡更两种现场巡更模式。
2、支持对巡更计划进行全流程管理，可配置计划名称、有效期、任务执行周期（支持每天/每周/每月/每年或指定日期）、巡更点及执行人。执行人支持按具体人员、角色或组织进行灵活分配。
3、支持查看巡更计划列表，显示信息包括计划名称、巡更区域、巡更点数量、计划有效期等；同时支持按计划名称、状态、计划有效期、创建时间、巡更区域等多条件对计划进行检索。
三、巡更任务
1、支持系统根据巡更计划自动执行巡更任务的生成。
2、支持管理人员手动触发基于巡更计划的巡更任务生成。
3、支持通过待办任务方式提醒巡更人员按时执行巡更任务。
4、支持查看巡更任务列表，显示信息包括巡更任务编号、所属巡更计划、所属区域、任务类型、巡更点数量、发现问题数、任务开始时间等；同时支持按任务状态、任务类型、任务开始时间等多条件对任务进行检索。
3、支持离线巡更模式，可通过专用巡更棒或现场移动APP执行打卡操作。
四、巡更记录
1、支持查看巡更任务记录，显示信息包括巡更任务编号、所属区域、巡更计划模板、任务时间、巡更对象数等，并支持按条件检索及数据导出。
2、支持查看单次巡更任务的详细报告，并可支持打印。</t>
  </si>
  <si>
    <t>2.4、周界防护-定位型振动光纤系统</t>
  </si>
  <si>
    <t>传感光缆</t>
  </si>
  <si>
    <t>1.光纤类型: 4芯单模光纤
2.纤芯类型: G.652D 9/125μm 非色散位移单模光纤
3.光缆外径: 8.6mm(±5%)
4.抗压系数: 短期：1000N/10cm
5.长期：300N/10cm
6.拉伸强度: 短期：1500N
7.长期：600N
8.最小弯曲半径: 光缆外径的10倍（静态）
9.光缆外径的20倍（动态）
10.光缆传输衰减: 1310nm≤0.36dB/km；1550nm≤0.22dB/km
11.工作温度: -40~70℃
12.工作湿度: 0~95%R.H
13.防护等级: IP68</t>
  </si>
  <si>
    <t>福科斯、广拓、海康</t>
  </si>
  <si>
    <t>定位型振动光纤处理器</t>
  </si>
  <si>
    <t>1.当在布防区域模拟触发入侵报警时，在1s的时间内输出入侵报警信号。
2.当出现断纤时，在1s的时间内通过系统输出断纤报警信号，且可通过显示/指示单元显示距光纤始端最近的断纤位置，该信号的输出形式应在说明书中明示且应区别于其他报警信号。
3.分布式定位型振动光纤系统的外壳设有防拆保护装置,当外壳被打开到足以触及其中的任何控制部件或机械固定的调节器时,防拆保护装置动作,并输出防拆报警信号,该信号的输出形式应区别于其他报瞥信号。
4.通道开关按键16个，支持通过通道开关按键启用/关闭通道功能
5.系统支持报警分级功能，共分为3个级别，由3至1报警紧迫或重要程度逐级增加。系统支持各等级独立设置阈值参数。
6.系统支持与摄像机联动，并支持通过摄像机对图片、视频进行分析复核
7.定位精度（检测结果）：探测距离≤5km，定位精度±2.0m；探测距离＞5km且≤20km，定位精度±5.0m；探测距离＞20km且≤40km，定位精度±5.0m；探测距离＞40km且≤80km，定位精度±5.0m
8.在固定的振动激励条件下（振幅及频率不变），系统探测到的振动幅度最大偏差在±10%以内。
9.在固定声源激励敏感部件的条件下，系统支持音频信号还原及播放。
10.抗风干扰符合III级风速干扰条件下，不产生误报警和漏报警：Ill级：7～8级风速、Ih、17.1m/s～20.7m/s
11.抗雨干扰符合满足III级暴雨干扰条件下，不产生误报警和漏报警：Ill级：暴雨、每24h降水强度100mm、lh
12.主机应支持至少8路输入(开关量),至少8路输出(开关量)接口扩展。
13.系统应具有远程参数配置与程序更新功能;应具有集中维护管理功能,应可在远端进行系统设备的日常维护管理。
14.单通道瀑布图数据应每分钟实时上报；瀑布图原始数据采样分辨率应能达到0.4m，时间分辨率应不大于0.1；系统应支持瀑布图数据输出和瀑布图数据管理</t>
  </si>
  <si>
    <t>抗紫外线扎带</t>
  </si>
  <si>
    <t>1.安装方式: 将扎线带尾巴穿过头部，即可束紧。
2.尺寸规格: 5*300mm
3.最大承受拉力: 200N±15N
4.包装数量: 250根/包
5.耐温: -40℃ ~ +80℃
6.材料: 尼龙PA66抗紫外线（UV）原料</t>
  </si>
  <si>
    <t>包</t>
  </si>
  <si>
    <t>光纤接续盒</t>
  </si>
  <si>
    <t>1.光纤接续盒
2.材质：ABS工程塑料
3.规格：进出缆数，二进二出</t>
  </si>
  <si>
    <t>只</t>
  </si>
  <si>
    <t>塑料格栅</t>
  </si>
  <si>
    <t>1.塑料格栅是用于埋地方式部署振动光纤时，用于埋地时承载探测光缆的承载物
2.尺寸(宽x高x深): 网格：3.2cm*3.5cm；边宽3.3mm；边厚：1.3mm</t>
  </si>
  <si>
    <t>m2</t>
  </si>
  <si>
    <t>周界防范大模型超脑</t>
  </si>
  <si>
    <t>1.存储接口：1个SATA接口，内置1TB硬盘
2.视频接口：1×HDMI，1×VGA
3.网络接口：2×RJ45 10/100/1000Mbps自适应以太网口
4.报警接口：4路报警输入，1路报警输出
5.串行接口：1路RS-232接口、1路RS-485接口
6.USB接口：1×USB 2.0，1×USB 3.0
7.整机搭载2颗高性能AI引擎，支持周界防范引擎模式
8.周界防范应用：支持对平台下发图片进行二次分析，检测图片中的人体，车辆目标，并将分析结果回传平台；图片流性能：4张/s；单颗AI引擎分析能力：2张/s</t>
  </si>
  <si>
    <t>振动光纤接入管理软件</t>
  </si>
  <si>
    <t>一、设备管理
1、支持以海康ISAPI协议接入，实现振动光纤单元采集的事件接收；
2、支持根据单元号、振动光纤主机名称查询振动光纤单元报警信息；
3、支持在地图上展示振动光纤实际部署位置、有效长度；
4、支持以列表方式展示振动设备信息，包含设备名称、IP等信息；
5、支持对振动光纤主机设备添加、删除、修改；
6、支持对振动光纤主机设备进行手动校时；
7、支持筛选出从未被平台连接成功的振动光纤主机设备。
二、光纤标定
1、支持通过振动曲线方式查询振动单元号，并支持与监控点位进行绑定；
2、支持通过导入导出的方式对单元号、监控点、经纬度进行绑定；
三、光纤上图
1、支持振动光纤主机上图，地图上可以查看主机的部署位置；
2、支持光纤上图，地图上可以查看光纤的铺设情况；
3、支持在地图上控制振动光纤的显示与隐藏；
4、支持查看振动光纤的主机数量、光纤长度（在线长度、离线长度）；
5、支持在地图上查看在线光纤分布及离线光纤分布情况；
6、支持在地图上查看光纤每个单元号与视频设备关联关系；
7、振动光纤报警时，支持在地图上高亮报警的光纤位置及关联球机高亮显示。</t>
  </si>
  <si>
    <t>周界监测预警软件</t>
  </si>
  <si>
    <t>一、光纤报警定位及处置
1、提供报警实时信息的展示及处置能力，；
2、支持实时报警信息展示，以及历史报警信息的查询和回看；
3、支持报警发生时报警信息弹窗，显示当前的报警信息以及报警联动信息，包括：视频、录像、抓图、报警位置。
二 、雷达轨迹
1、提供布防区域目标物的轨迹跟踪显示以及视频跟踪能力；
2、支持对布防区域内报警目标物体的轨迹跟踪和实时视频接力跟踪（仅雷达设备支持轨迹跟踪）；
3、支持目标物跟踪时，显示目标物的位置、速度、方向信息；
4、支持布防区域内单目标和多目标跟踪；
三、重点视频点位管理
1、提供地图上重点点位视频的布局配置、实时视频播放及广播能力；
2、支持显示重点点位实时视频，可以任意拖放具体位置。
四、预警策略编排
1、支持振动光纤联动、雷达联动、区域入侵等不同事件组合产生新组合预警。
2、支持组合预警发生的时间间隔配置。
3、支持事件的发生先后顺序进行配置。
4、支持配置组合策略生效的资源、时间。
五、图上数据展示
1、支持数据统计展示，可以自由拖放布局，包括：图上资源统计数据、报警统计数据、资源在线状态统计。
六、图上资源控制
1、支持地图上资源显示控制，包括：虚拟防区、监控点、岗亭、雷达、报警器、自定义资源等。
七、报警研判复核管理
1、从空间维度对报警进行处理，以虚拟防区为单位，对关联的物联设备的报警事件进行合并；
2、从时间维度对报警进行处理，提供周计划配置、有效期配置、临时失效时间配置等功能；
3、从报警的业务属性维度进行处理，例如温度报警的温度属性、雷达轨迹时间的速度属性。
八、预警事件管理
1、提供历史报警检索、报警统计报表。</t>
  </si>
  <si>
    <t>土方开完及回填</t>
  </si>
  <si>
    <t>现场开挖回填</t>
  </si>
  <si>
    <t>绿化破坏恢复</t>
  </si>
  <si>
    <t>平方米</t>
  </si>
  <si>
    <t>2.5、红外对射报警</t>
  </si>
  <si>
    <t>四光束红外对射</t>
  </si>
  <si>
    <t>1.探测方式：主动红外
2.警戒距离：100米
3.光源类型：红外数字脉冲
4.光源波长：940nm
5.光束频率：750Hz
6.光轴角度：水平180°(±90°)；垂直 20°(±10°)
7.感应速度：50-700ms 
8.防拆输出：NC  触点容量  DC30V0.5A max 
9.光束数量：4光束
10.报警输出接口：NC/NO  触点容量 DC30V0.5A max 
11.防护等级：IP55
12.工作温度及湿度：-25℃~+55℃；≤95%（无凝结）
13.产品重量：2265g（毛重）
14.产品尺寸：370mm*96mm*95mm
15.外壳材质：PC(外罩)+ABS(本体)
16.工作电压：DC12-24V / AC12-18V
17.工作电流：投光器+受光器≤130mA
18.最大功率：≤5W 
19.含配套支架</t>
  </si>
  <si>
    <t>工控箱</t>
  </si>
  <si>
    <t>配套工控箱</t>
  </si>
  <si>
    <t>总线报警主机</t>
  </si>
  <si>
    <t>1.具有规定权限的用户应能对控制指示设备进行全部和/或部分设防操作。设防成功后，控制指示设备应有相应的指示。设防失败时，控制指示设备应能立即给出指示和/或报警信号和/或信息。
2.当控制指示设备的多个探测回路依次或同时被触发时，不应产生漏报警。
3.告警装置安装在机内时，报警声压应不小于80dB(A)，告警装置安装在机外时，报警声压应不小于100dB(A)。
4.控制指示设备在开机后，应能进行自检，并给出自检结果指示。
5.控制指示设备应具有主电源和备用电源，应能在主电源和备用电源之间转换，电源转换时，工作应正常，不应出现漏报警及误报警:当主电源断电时，应能自动转换至备用电源供电;当主电源恢复时，可自动转换至主电源供电，并对备用电源自动充电:在给备用电源充电的同时，工作应正常。
6.主机支持 MAC、IP 绑定或限制访问
7.主机防拆报警不额外占用主机防区
8.主机上报支持至少4个中心组</t>
  </si>
  <si>
    <t>控制键盘</t>
  </si>
  <si>
    <t>1.有线LCD键盘（支持遥控器&amp;刷卡）
2.操作指令接收：支持对报警系统进行布防、撤防、消警、旁路、旁路恢复、紧急求助等操作
3.操作方式管理：支持密码、遥控器、刷卡方式对报警系统进行操作指令交互
4.报警状态指示：支持对报警系统防区报警状态进行实时指示，包括指示灯变化，提示音变化，文字内容变化等
5.系统状态展示：支持对报警系统运行状态进行展示，包括主电源状态、蓄电池状态、防拆状态、子系统布撤防状态，防区状态、扩展模块状态等
6.胁迫码功能：支持通过胁迫密码进行布撤防管理，并将警情进行中心上报
7.防区名称自定义：支持防区名称自定义配置，在键盘屏幕中展示对应文字内容
8.配置管理：支持通过键盘对报警主机进行参数配置，包括密码修改、防区类型配置、上报中心参数配置等</t>
  </si>
  <si>
    <t>报警主机蓄电池</t>
  </si>
  <si>
    <t>1.电池类型：阀控密封式铅酸蓄电池
2.电池规格：DC12V7AH
3.停止供电电压：10.5V
4.电池放电温度及湿度：-20°C~50°C，湿度小于95%（无凝结）
5.电池充电温度及湿度：-20°C~50°C，湿度小于95%（无凝结） 
6.安装方式：立式
7.颜色：黑色
8.外壳材质：ABS阻燃（V-1）
9.产品重量：2.0±3%Kg
10.产品尺寸：151mm*65mm*100mm
11.工作温度及湿度：-20°C~50°C，湿度小于95%（无凝结）</t>
  </si>
  <si>
    <t>警灯警号</t>
  </si>
  <si>
    <t>1.设备类型：声光警号（声光报警器）
2.警灯颜色：红色
3.报警音量：105dB
4.硬件接口：红/黑线
5.使用环境：室内/外（IP54室外防水）
6.外壳材质：PC+ABS
7.安装方式：壁挂
8.工作电源：DC12V/220mA（宽压8-16V DC）
9.工作温度：-20 °C 至 60 °C
10.工作湿度：10% 至 90%
11.产品尺寸：140*134*33mm</t>
  </si>
  <si>
    <t>总线2防区扩展模块</t>
  </si>
  <si>
    <t>1.设备类型：总线2防区扩展模块
2.防区数量：2个
3.通讯接口：M-BUS
4.通讯线材：RVV2*1.5
5.通讯协议：M-BUS协议
6.外壳材质：塑料
7.使用环境：室内
8.工作电源：DC36V/20mA Max（主机总线供电）
9.工作温度：-10 °C 至 55 °C
10.工作湿度：10% 至 90%
11.产品尺寸：49.4*32*14.3mm</t>
  </si>
  <si>
    <t>入侵报警软件</t>
  </si>
  <si>
    <t>1、支持报警子系统管理能力，包含布防、撤防、消警控制操作；
2、支持防区管理能力，包含旁路、旁路恢复操作；
3、支持实时入侵报警能力；
4、支持历史入侵报警事件查询及导出能力；</t>
  </si>
  <si>
    <t>国标，RVV2*1.5</t>
  </si>
  <si>
    <t>国标，RVV4*0.75</t>
  </si>
  <si>
    <t>2.6、其它硬件</t>
  </si>
  <si>
    <t>1.名称：全局网络控制器 
2.参数：单核 A8@1GHz，1GB DDR3 / 4GB microSD，2× 百兆，2×RS-485，可扩展4 个 I/O/ 现场总线模块。协议：BACnet IP/MS/TP + Modbus TCP/RTU + LonWorks + KNX + SNMP + oBIX，编程：Niagara 图形化编程，功能极强，适合复杂联锁 / 算法。满足现场现场功能所需的点位授权费</t>
  </si>
  <si>
    <r>
      <rPr>
        <color rgb="FF000000"/>
        <rFont val="Calibri"/>
        <sz val="11"/>
      </rPr>
      <t xml:space="preserve">1</t>
    </r>
    <r>
      <rPr>
        <color rgb="FF000000"/>
        <rFont val="宋体"/>
        <sz val="11"/>
      </rPr>
      <t xml:space="preserve">、包含、空开、导轨及接线端子</t>
    </r>
    <r>
      <rPr>
        <color rgb="FF000000"/>
        <rFont val="Calibri"/>
        <sz val="11"/>
      </rPr>
      <t xml:space="preserve">
2</t>
    </r>
    <r>
      <rPr>
        <color rgb="FF000000"/>
        <rFont val="宋体"/>
        <sz val="11"/>
      </rPr>
      <t xml:space="preserve">、国产优质箱体，根据实际安装设备测量后成套定制</t>
    </r>
  </si>
  <si>
    <t>水浸变送器</t>
  </si>
  <si>
    <t>漏水探测器;固定电极式;可设置 5 级灵敏度;继电器：1×SPST(3A-30VDC 或 250VAC) 
工作环境：-10~50°C，5~95%RH，非凝露</t>
  </si>
  <si>
    <t>噪声监测传感器</t>
  </si>
  <si>
    <t>量程：30~120dBA（A 计权）。
精度：±0.5dB，分辨率 0.1dB。
频率：20Hz~12.5kHz。
供电：10~30VDC（建议 24V）。
防护：IP65，室外可用 输出信号为 0-10V。</t>
  </si>
  <si>
    <t>国产一线品牌</t>
  </si>
  <si>
    <r>
      <rPr>
        <color rgb="FF000000"/>
        <rFont val="宋体"/>
        <sz val="11"/>
      </rPr>
      <t xml:space="preserve">1.标准：不低于TIA/EIA568-C.2、ISO/IEC11801、IEC60332-1、GB 50311；</t>
    </r>
    <r>
      <t xml:space="preserve">
</t>
    </r>
    <r>
      <rPr>
        <color rgb="FFFE0300"/>
        <rFont val="宋体"/>
        <sz val="11"/>
      </rPr>
      <t xml:space="preserve">2.导体规格：2.导体规格：多股绞合铜线，4×2×24AWG；</t>
    </r>
    <r>
      <t xml:space="preserve">
</t>
    </r>
    <r>
      <rPr>
        <color rgb="FF000000"/>
        <rFont val="宋体"/>
        <sz val="11"/>
      </rPr>
      <t xml:space="preserve">3.护套材料：PVC，护套外径：6.3±0.3mm；</t>
    </r>
    <r>
      <t xml:space="preserve">
</t>
    </r>
    <r>
      <rPr>
        <color rgb="FF000000"/>
        <rFont val="宋体"/>
        <sz val="11"/>
      </rPr>
      <t xml:space="preserve">4.插头规格：RJ45，8P8C；</t>
    </r>
    <r>
      <t xml:space="preserve">
</t>
    </r>
    <r>
      <rPr>
        <color rgb="FF000000"/>
        <rFont val="宋体"/>
        <sz val="11"/>
      </rPr>
      <t xml:space="preserve">5.插拔次数：≥1000次；</t>
    </r>
    <r>
      <t xml:space="preserve">
</t>
    </r>
    <r>
      <rPr>
        <color rgb="FF000000"/>
        <rFont val="宋体"/>
        <sz val="11"/>
      </rPr>
      <t xml:space="preserve">6.最高传输频率：不小于250MHz；</t>
    </r>
    <r>
      <t xml:space="preserve">
</t>
    </r>
    <r>
      <rPr>
        <color rgb="FF000000"/>
        <rFont val="宋体"/>
        <sz val="11"/>
      </rPr>
      <t xml:space="preserve">7.线缆外护套上间隔印有商标、电缆编号、电缆类别、线规、防火等级、标准；</t>
    </r>
    <r>
      <t xml:space="preserve">
</t>
    </r>
    <r>
      <rPr>
        <color rgb="FF000000"/>
        <rFont val="宋体"/>
        <sz val="11"/>
      </rPr>
      <t xml:space="preserve">8.支持以太网供电应用（POE/POE+）；</t>
    </r>
    <r>
      <t xml:space="preserve">
</t>
    </r>
    <r>
      <rPr>
        <color rgb="FF000000"/>
        <rFont val="宋体"/>
        <sz val="11"/>
      </rPr>
      <t xml:space="preserve">9.描述：用于办公桌桌面跳线，长度2米</t>
    </r>
    <r>
      <t xml:space="preserve">
</t>
    </r>
    <r>
      <rPr>
        <color rgb="FF000000"/>
        <rFont val="宋体"/>
        <sz val="11"/>
      </rPr>
      <t xml:space="preserve">10.为了保证性能的匹配性和稳定性，综合布线光纤系统、铜缆系统应采用同一品牌。</t>
    </r>
  </si>
  <si>
    <t>48口接入交换机-集成单电源</t>
  </si>
  <si>
    <t xml:space="preserve">在不插板卡情况下，单设备交换容量≥432Gbps 包转发率≥166Mpps, 提供≥48个千兆电接口、≥4个千兆SFP光接口。
1、支持堆叠技术或者虚拟化技术
2、支持 4K 802.1Q VLAN,支持Voice VLAN及Voice VLAN中可以同时识别多厂家的OUI地址，支持端口VLAN、MAC VLAN
3、支持标准IP ACL（基于IP地址的硬件ACL）支持扩展IP ACL（基于IP地址、TCP/UDP端口号的硬件ACL）
4、支持QOS
5、支持一对一、多对一、一对多的镜像
6、支持DHCP Server、DHCP Client、DHCP Snooping、DHCP Relay、DHCP Option82
7、支持广播风暴抑制
8、支持设备登陆管理的AAA安全认证、radius认证、支持802.1x、支持ssh2.0
9、支持STP/RSTP/MSTP协议
10、支持链路聚合（支持静态、动态链路聚合、千兆口聚合、万兆口聚合）
11、有标准的或私有的邻居发现协议
12、支持VLAN虚接口
13、支持 IPv4 /ipv6静态路由
14、支持OSPFv2、OSPFv3
15、支持SNMPv1/v2/v3，WEB网管，支持命令行接口配置，Telnet，SSH，Console口配置，支持系统日志，分级告警，调试信息输出，NTP/SNTP
★16、提供真实有效的工信部入网证复印件；
★17、原厂质保≥3年 </t>
  </si>
  <si>
    <t>国标，RVV4*1.0</t>
  </si>
  <si>
    <t>线缆</t>
  </si>
  <si>
    <t>三、等保测评</t>
  </si>
  <si>
    <t>二级等保测评</t>
  </si>
  <si>
    <t>阳光电源智慧园区一期建设清单（软件）报价清单</t>
  </si>
  <si>
    <t>项目内容</t>
  </si>
  <si>
    <t>未税单价</t>
  </si>
  <si>
    <t>含税小计</t>
  </si>
  <si>
    <t>产品费用</t>
  </si>
  <si>
    <t>实施费用</t>
  </si>
  <si>
    <t>运维费（第四到第五年）</t>
  </si>
  <si>
    <t>年</t>
  </si>
  <si>
    <t>合计</t>
  </si>
  <si>
    <r>
      <rPr>
        <color rgb="FF000000"/>
        <rFont val="等线"/>
        <sz val="11"/>
      </rPr>
      <t xml:space="preserve">报价须知：
1、三年免费维护（即一期整体验收后36个月），第四年开始维护费用比率为产品费用的【</t>
    </r>
    <r>
      <rPr>
        <color rgb="FFFF0000"/>
        <rFont val="等线"/>
        <sz val="11"/>
      </rPr>
      <t xml:space="preserve">供应商填写</t>
    </r>
    <r>
      <rPr>
        <color rgb="FF000000"/>
        <rFont val="等线"/>
        <sz val="11"/>
      </rPr>
      <t xml:space="preserve">】 %；即第四年开始每年收取【</t>
    </r>
    <r>
      <rPr>
        <color rgb="FFFF0000"/>
        <rFont val="等线"/>
        <sz val="11"/>
      </rPr>
      <t xml:space="preserve">供应商填写</t>
    </r>
    <r>
      <rPr>
        <color rgb="FF000000"/>
        <rFont val="等线"/>
        <sz val="11"/>
      </rPr>
      <t xml:space="preserve">】元；维保协议根据需要另行签订，维保价格不高于本次报价。
2、报价已包含完成本项目的一切费用；
3、报价有效期：90天；
4、付款方式：</t>
    </r>
    <r>
      <rPr>
        <color rgb="FFFF0000"/>
        <rFont val="等线"/>
        <sz val="11"/>
      </rPr>
      <t xml:space="preserve">电汇，合同签订后预付合同对应金额20%，蓝图完成经客户确认后支付合同对应金额20%，上线完成经客户确认后支付合同对应金额30%，上线6个月保驾护航完成经客户确认后支付合同对应金额20%，自上线验收合格1年后支付10%。</t>
    </r>
    <r>
      <rPr>
        <color rgb="FF000000"/>
        <rFont val="等线"/>
        <sz val="11"/>
      </rPr>
      <t xml:space="preserve">
5、本项目一期的所有功能需求及产品，均由报价人提供；
6、实施费用为人天单价，后续增加期数（如有）实施费用以不高于本次人天价格执行；
7、人天费用不得已“赠送、总价折扣、缩减人天量形式”进行优惠；
8、单价需符合市场规律，价格不得以免费赠送形式报价；
9、本次项目具体清单，请按自己格式拟定，并且与本表一起盖章作为投标价格标；</t>
    </r>
  </si>
  <si>
    <t>软件/模块名称</t>
  </si>
  <si>
    <t>版本号</t>
  </si>
  <si>
    <t>未税合计</t>
  </si>
  <si>
    <t>是否买断</t>
  </si>
  <si>
    <t>如是否买断为“否”，则报价需包含运维阶段（第一至五年）的所有订阅费用</t>
  </si>
  <si>
    <t>……</t>
  </si>
  <si>
    <t>密级：秘密</t>
  </si>
  <si>
    <t>【阳光电源智慧园区一期建设项目】人天资源投入价格清单</t>
  </si>
  <si>
    <t>项目人员姓名</t>
  </si>
  <si>
    <t xml:space="preserve"> 项目角色</t>
  </si>
  <si>
    <t>实施方式</t>
  </si>
  <si>
    <t>人天数量（人/天）</t>
  </si>
  <si>
    <t>人天费用（未税）</t>
  </si>
  <si>
    <t>项目启动与流程分析、调研报告编写</t>
  </si>
  <si>
    <t>蓝图文件编写、讨论、评估、确认、汇报</t>
  </si>
  <si>
    <t>系统配置、客户化接口开发</t>
  </si>
  <si>
    <t>接口联调、内部测试</t>
  </si>
  <si>
    <t>关键用户测试（单元测试及集成测试）</t>
  </si>
  <si>
    <t>用户培训及KT</t>
  </si>
  <si>
    <t>上线准备</t>
  </si>
  <si>
    <t>上线后现场运维【3】个月</t>
  </si>
  <si>
    <t>人天汇总</t>
  </si>
  <si>
    <t>实施单价
（人/天/元）</t>
  </si>
  <si>
    <t>实施费用
小计(元)</t>
  </si>
  <si>
    <t>自然周</t>
  </si>
  <si>
    <t>现场/远程</t>
  </si>
  <si>
    <r>
      <rPr>
        <color rgb="FF000000"/>
        <rFont val="微软雅黑"/>
        <sz val="10"/>
      </rPr>
      <t xml:space="preserve">Week1—</t>
    </r>
    <r>
      <rPr>
        <color rgb="FFFF0000"/>
        <rFont val="微软雅黑"/>
        <sz val="10"/>
      </rPr>
      <t xml:space="preserve">Week？</t>
    </r>
  </si>
  <si>
    <t>Week？—Week？</t>
  </si>
  <si>
    <t>项目总监</t>
  </si>
  <si>
    <t>现场</t>
  </si>
  <si>
    <t>远程</t>
  </si>
  <si>
    <t>项目经理</t>
  </si>
  <si>
    <t>业务顾问1</t>
  </si>
  <si>
    <t>业务顾问2</t>
  </si>
  <si>
    <t>开发顾问1</t>
  </si>
  <si>
    <t>…...</t>
  </si>
  <si>
    <t>人天量总计</t>
  </si>
  <si>
    <t>费用总计</t>
  </si>
  <si>
    <t>：甲方备注</t>
  </si>
  <si>
    <t>请合理安排项目计划，人力投入需要具体到每个人员的每周投入</t>
  </si>
  <si>
    <t>本项目报价清单中单价固定，招标范围内总价包干。项目交付中若有需求量变更按投标单价据实结算；</t>
  </si>
  <si>
    <t>项目费用需要在表中具体到每个人员的实施费用，费用包含差旅食宿等一切费用，后期不再接受报价外费用。</t>
  </si>
  <si>
    <t>乙方备注：</t>
  </si>
  <si>
    <r>
      <rPr>
        <b/>
        <color rgb="FF000000"/>
        <rFont val="等线"/>
        <sz val="11"/>
      </rPr>
      <t xml:space="preserve">实施费用增值税专票税率：</t>
    </r>
    <r>
      <rPr>
        <b/>
        <color rgb="FFFF0000"/>
        <rFont val="等线"/>
        <sz val="11"/>
      </rPr>
      <t xml:space="preserve">【供应商填写】 %</t>
    </r>
  </si>
  <si>
    <t>备注：以上是实施费用报价模板，须按照模板报价。</t>
  </si>
  <si>
    <t>项目范围</t>
  </si>
  <si>
    <t>系统</t>
  </si>
  <si>
    <t>设施设备</t>
  </si>
  <si>
    <t>涉及硬件类型</t>
  </si>
  <si>
    <t>智慧消防系统</t>
  </si>
  <si>
    <t>消防水系统</t>
  </si>
  <si>
    <t>消防水池</t>
  </si>
  <si>
    <t>水池数量</t>
  </si>
  <si>
    <t>水位仪传感器7个（包括电动力1个）</t>
  </si>
  <si>
    <t>消防水箱</t>
  </si>
  <si>
    <t>水箱数量</t>
  </si>
  <si>
    <t>水位仪传感器6个（包括电动力1个）、出水管流量传感器12个（包括电动力2个）</t>
  </si>
  <si>
    <t>消防泵/喷淋泵</t>
  </si>
  <si>
    <t>泵数量</t>
  </si>
  <si>
    <t>电气监控28个（包括电动力4个）</t>
  </si>
  <si>
    <t>稳压泵</t>
  </si>
  <si>
    <t>电气监控、启停状态/次数监测28个（包括电动力4个）</t>
  </si>
  <si>
    <t>隔膜气压罐</t>
  </si>
  <si>
    <t>罐体数量</t>
  </si>
  <si>
    <t>14个（包括电动力2个）</t>
  </si>
  <si>
    <t>配电柜</t>
  </si>
  <si>
    <t>柜体数量</t>
  </si>
  <si>
    <t>电气监控9个（包括电动力2个）</t>
  </si>
  <si>
    <t>控制柜</t>
  </si>
  <si>
    <t>电气监控、远程手自动变更28个（包括电动力4个）</t>
  </si>
  <si>
    <t>消防测试栓</t>
  </si>
  <si>
    <t>屋面测试栓数量</t>
  </si>
  <si>
    <t>压力传感器 30</t>
  </si>
  <si>
    <t>末端测试</t>
  </si>
  <si>
    <t>末端数量</t>
  </si>
  <si>
    <t>压力传感器 200</t>
  </si>
  <si>
    <t>消防泵房</t>
  </si>
  <si>
    <t>泵房数量</t>
  </si>
  <si>
    <t>9个（包括电动力2个消防泵房/稳压泵房）</t>
  </si>
  <si>
    <t>进水阀</t>
  </si>
  <si>
    <t>水池、水箱水量</t>
  </si>
  <si>
    <t>流量计、压力传感器13个（包括电动力2个）</t>
  </si>
  <si>
    <t>关键管路（进出水主管）</t>
  </si>
  <si>
    <t>进出水管数量</t>
  </si>
  <si>
    <t>阀门启闭状态检测、压力传感器、流量监测（50个阀门启闭状态、压力传感器、流量监测）</t>
  </si>
  <si>
    <t>湿式报警阀\预作用阀</t>
  </si>
  <si>
    <t>报警阀数量</t>
  </si>
  <si>
    <t>上下腔压力监测、判断，水力警铃传感69个报警阀、69个水力警铃</t>
  </si>
  <si>
    <t>消防主机</t>
  </si>
  <si>
    <t>主机数量</t>
  </si>
  <si>
    <t>主机信号传输 22</t>
  </si>
  <si>
    <t>消防水炮主机</t>
  </si>
  <si>
    <t>水炮数量</t>
  </si>
  <si>
    <t>电磁阀启动信号 2</t>
  </si>
  <si>
    <t>全淹没气灭</t>
  </si>
  <si>
    <t>环境检测</t>
  </si>
  <si>
    <t>全淹没房间数量</t>
  </si>
  <si>
    <t>氧浓度监测接入消防平台 33个</t>
  </si>
  <si>
    <t>电磁阀、泄压口</t>
  </si>
  <si>
    <t>瓶体数量</t>
  </si>
  <si>
    <t>压力传感器/电磁阀启动监测（100个）</t>
  </si>
  <si>
    <t>排烟系统</t>
  </si>
  <si>
    <t>排烟风机</t>
  </si>
  <si>
    <t>风机数量</t>
  </si>
  <si>
    <t>排烟风速计量（含风向）110</t>
  </si>
  <si>
    <t>电动挡烟垂壁</t>
  </si>
  <si>
    <t>/</t>
  </si>
  <si>
    <t>释放状态</t>
  </si>
  <si>
    <t>防火卷帘</t>
  </si>
  <si>
    <t>排水系统</t>
  </si>
  <si>
    <t>雨水截止阀</t>
  </si>
  <si>
    <t>自动灭火后联动对应雨水截止阀关闭</t>
  </si>
  <si>
    <t>关键机房、泵房排水泵</t>
  </si>
  <si>
    <t>水泵数量</t>
  </si>
  <si>
    <t>启闭监测 24个（6个消防泵房）</t>
  </si>
  <si>
    <t>关键机房、泵房</t>
  </si>
  <si>
    <t>防水浸监测（10个）</t>
  </si>
  <si>
    <t>可燃气体</t>
  </si>
  <si>
    <t>可燃气体报警主机</t>
  </si>
  <si>
    <t>可燃气体报警主机接入消防平台  8个</t>
  </si>
  <si>
    <t>可燃气体管路</t>
  </si>
  <si>
    <t>燃气管道数量</t>
  </si>
  <si>
    <t>燃气、压缩空气等管道加装可联动电磁阀  （2个）</t>
  </si>
  <si>
    <t>电气火灾监控</t>
  </si>
  <si>
    <t>在线电压、剩余电流检测、电缆温度检测   数量太多400+</t>
  </si>
  <si>
    <t>视频监控系统</t>
  </si>
  <si>
    <t>自动报警系统</t>
  </si>
  <si>
    <t>自动报警系统联动范围摄像头、算法判断  数量太多1000+</t>
  </si>
  <si>
    <t>安全出口堵塞</t>
  </si>
  <si>
    <t>摄像头算法判断安全出口、疏散通道  150+</t>
  </si>
  <si>
    <t>屋面光伏摄像头</t>
  </si>
  <si>
    <t>烟雾、火焰摄像头  （60+）</t>
  </si>
  <si>
    <t>电动自行车充电区</t>
  </si>
  <si>
    <t>40+</t>
  </si>
  <si>
    <t>电动叉车充电区</t>
  </si>
  <si>
    <t>AGV充电区</t>
  </si>
  <si>
    <t>电动汽车充电区</t>
  </si>
  <si>
    <t>60+</t>
  </si>
  <si>
    <t>厨房灶台</t>
  </si>
  <si>
    <t>15+</t>
  </si>
  <si>
    <t>关键岗位通讯设备</t>
  </si>
  <si>
    <t>关键岗位用于设备点检、救援联动、保修维修等功能(12-15台）</t>
  </si>
  <si>
    <t>周界防护</t>
  </si>
  <si>
    <t>震动光纤</t>
  </si>
  <si>
    <t>光纤、接收器等（4000米周长）</t>
  </si>
  <si>
    <t>周界监控</t>
  </si>
  <si>
    <t>基于算法和震动光纤提示报警（40台摄像机）</t>
  </si>
  <si>
    <t>红外对射报警</t>
  </si>
  <si>
    <t>对车辆道闸下口、窄小区域提示报警（11）</t>
  </si>
  <si>
    <t>全面监控</t>
  </si>
  <si>
    <t>屋面</t>
  </si>
  <si>
    <t>鹰眼相机 提供园区概状视频监控3-4台</t>
  </si>
  <si>
    <t>车道相机</t>
  </si>
  <si>
    <t>对违停、逆行等行为进行算法判断20台</t>
  </si>
  <si>
    <t>按固定轨道轮训，视频上传算法1台</t>
  </si>
  <si>
    <t>巡更系统</t>
  </si>
  <si>
    <t>巡更点</t>
  </si>
  <si>
    <t>使用NFC等设备进行巡更管理40+</t>
  </si>
  <si>
    <t>场景类型*</t>
  </si>
  <si>
    <t>场所*</t>
  </si>
  <si>
    <t>位置*</t>
  </si>
  <si>
    <t>需求场景*</t>
  </si>
  <si>
    <t>已有摄像头数量*</t>
  </si>
  <si>
    <t>优先级*</t>
  </si>
  <si>
    <t>EHS</t>
  </si>
  <si>
    <t>M6</t>
  </si>
  <si>
    <t>一楼东侧和南侧老化测试区</t>
  </si>
  <si>
    <t>监测绝缘鞋火焰和烟雾，噪音监测；</t>
  </si>
  <si>
    <t>高</t>
  </si>
  <si>
    <t>一楼东侧和南侧后的老化设备间</t>
  </si>
  <si>
    <t>监测绝缘鞋火焰和烟雾；</t>
  </si>
  <si>
    <t>一楼行车下方工作区域</t>
  </si>
  <si>
    <t>监测工人佩戴安全帽，防砸鞋；人员是否处于吊装物下方</t>
  </si>
  <si>
    <t>中</t>
  </si>
  <si>
    <t>一楼板链线旁检修口</t>
  </si>
  <si>
    <t>维修口打开会有信号数据，信号接入摄像头去判断人员是否佩戴安全帽；</t>
  </si>
  <si>
    <t>一楼生命线</t>
  </si>
  <si>
    <t>检测人员登高时人员是否配戴安全帽与安全带</t>
  </si>
  <si>
    <t>M8</t>
  </si>
  <si>
    <t>一楼南边模组房机械臂区域</t>
  </si>
  <si>
    <t>需要进行人员安全帽监测；</t>
  </si>
  <si>
    <t>一楼南边的悬臂吊</t>
  </si>
  <si>
    <t>作业时监测下方人员的是否穿戴安全帽和防砸鞋；人员是否处于吊装物下方。</t>
  </si>
  <si>
    <t>一楼南边悬臂吊旁边的调试区</t>
  </si>
  <si>
    <t>需要穿绝缘鞋，火焰烟雾监测；</t>
  </si>
  <si>
    <t>M9</t>
  </si>
  <si>
    <t>一楼南侧区域的老化测试区</t>
  </si>
  <si>
    <t>需要进行绝缘鞋和烟雾火焰监测，噪音监测；</t>
  </si>
  <si>
    <t>一楼南侧区域的老化设备间</t>
  </si>
  <si>
    <t>需要进行绝缘鞋、火焰和烟雾检测；</t>
  </si>
  <si>
    <t>M15</t>
  </si>
  <si>
    <t>车间内主次干道</t>
  </si>
  <si>
    <t>识别物料占道、超线摆放、地面垃圾5S问题</t>
  </si>
  <si>
    <t>一楼电芯上线区</t>
  </si>
  <si>
    <t>监测安全帽、火焰和烟雾（考虑摄像头与火焰烟感联动）；监测噪声区域人员暴露时长。</t>
  </si>
  <si>
    <t>一楼电芯堆叠区</t>
  </si>
  <si>
    <t>一楼西侧的悬臂吊工作区</t>
  </si>
  <si>
    <t>监测下方施工是否配戴安全帽和防砸鞋，火焰及烟雾监测（考虑摄像头与烟感联动）；人员是否处于吊装物下方</t>
  </si>
  <si>
    <t>化学品库</t>
  </si>
  <si>
    <t>园区东侧和西侧化学品库</t>
  </si>
  <si>
    <t>监测液体倾倒、泄漏，抽烟，手机监测，温度湿度监测报警；，火焰及烟雾监测（考虑摄像头与烟感联动）；</t>
  </si>
  <si>
    <t>叉车充电区</t>
  </si>
  <si>
    <t>M19西侧叉车充电区</t>
  </si>
  <si>
    <t>监测火焰及烟雾（考虑摄像头与烟感联动）</t>
  </si>
  <si>
    <t>龙门吊</t>
  </si>
  <si>
    <t>M9右侧堆场上方龙门吊</t>
  </si>
  <si>
    <t>监测龙门吊下方工作区，工人是否佩戴安全帽，人员是否处于吊装物下方</t>
  </si>
  <si>
    <t>M8南侧污水处理站</t>
  </si>
  <si>
    <t>监测污水站顶部进出口，识别有无开启动作，人员是否佩戴安全帽</t>
  </si>
  <si>
    <t>M10</t>
  </si>
  <si>
    <t>一楼仓储区</t>
  </si>
  <si>
    <t>围栏内监测安全帽，火焰及烟雾监测（考虑摄像头与烟感联动）；</t>
  </si>
  <si>
    <t>围栏外使用电动托盘车需要穿反光背心、防砸鞋。</t>
  </si>
  <si>
    <t>M5</t>
  </si>
  <si>
    <t>二楼X射线监测室</t>
  </si>
  <si>
    <t>监测人员操作时是否穿戴铅衣</t>
  </si>
  <si>
    <t>二楼工装清洗室</t>
  </si>
  <si>
    <t>监测防尘口罩，需加装摄像头与烟感联动</t>
  </si>
  <si>
    <t>二楼波峰焊操作台</t>
  </si>
  <si>
    <t>操作时监测人员需佩戴防护口罩</t>
  </si>
  <si>
    <t>二楼喷涂操作台</t>
  </si>
  <si>
    <t>操作时监测人员是否佩戴口罩</t>
  </si>
  <si>
    <t>一楼调试区</t>
  </si>
  <si>
    <t>园区</t>
  </si>
  <si>
    <t>园区道路</t>
  </si>
  <si>
    <t>叉车、托盘车驾驶人员是否穿反光马甲、操作托盘车是否穿防砸鞋；车辆驾驶是否超速（叉车15，托盘车8）</t>
  </si>
  <si>
    <t>道路交通</t>
  </si>
  <si>
    <t>全部</t>
  </si>
  <si>
    <t>违停、堆物、人员聚集、</t>
  </si>
  <si>
    <t>低</t>
  </si>
  <si>
    <t>园区围墙</t>
  </si>
  <si>
    <t>翻越</t>
  </si>
  <si>
    <t>屋面光伏</t>
  </si>
  <si>
    <t>屋面光伏安装场所</t>
  </si>
  <si>
    <t>烟雾、火焰</t>
  </si>
  <si>
    <t>安全出口</t>
  </si>
  <si>
    <t>所有厂房</t>
  </si>
  <si>
    <t>消防水池水箱</t>
  </si>
  <si>
    <t>水泵房</t>
  </si>
  <si>
    <t>7处</t>
  </si>
  <si>
    <t>液位仪传感器</t>
  </si>
  <si>
    <t>稳压泵房</t>
  </si>
  <si>
    <t>6处</t>
  </si>
  <si>
    <t>液位传感器</t>
  </si>
  <si>
    <t>水泵电气监控</t>
  </si>
  <si>
    <t>电气监控、启停状态/次数监测</t>
  </si>
  <si>
    <t>电气监控</t>
  </si>
  <si>
    <t>电气监控、远程手自动变更</t>
  </si>
  <si>
    <t>30处</t>
  </si>
  <si>
    <t>压力监控</t>
  </si>
  <si>
    <t>厂房、宿舍各防火分区</t>
  </si>
  <si>
    <t>200处</t>
  </si>
  <si>
    <t>补水阀</t>
  </si>
  <si>
    <t>水泵房、稳压泵房</t>
  </si>
  <si>
    <t>13处</t>
  </si>
  <si>
    <t>流量监控、压力监控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</si>
</sst>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 #,##0.00_ ;_ * \-#,##0.00_ ;_ * &quot;-&quot;??_ ;_ @_ "/>
    <numFmt numFmtId="165" formatCode="0.00_ "/>
    <numFmt numFmtId="166" formatCode="[DBNum2][$-804]General"/>
  </numFmts>
  <fonts count="91">
    <font>
      <sz val="12"/>
      <color theme="1"/>
      <name val="等线"/>
      <family val="2"/>
      <charset val="134"/>
      <scheme val="minor"/>
    </font>
    <font>
      <sz val="9"/>
      <name val="等线"/>
      <family val="2"/>
      <charset val="134"/>
      <scheme val="minor"/>
    </font>
    <font>
      <u/>
      <sz val="10"/>
      <color theme="10"/>
      <name val="等线"/>
      <family val="2"/>
      <charset val="134"/>
      <scheme val="minor"/>
    </font>
    <font>
      <sz val="10"/>
      <color theme="1"/>
      <name val="等线"/>
      <family val="2"/>
      <charset val="134"/>
      <scheme val="minor"/>
    </font>
    <font>
      <sz val="10"/>
      <color rgb="FF000000"/>
      <name val="等线"/>
    </font>
    <font>
      <b/>
      <sz val="10"/>
      <color rgb="FF000000"/>
      <name val="等线"/>
    </font>
    <font>
      <sz val="11"/>
      <color rgb="FF000000"/>
      <name val="等线"/>
    </font>
    <font>
      <sz val="10"/>
      <color rgb="FF000000"/>
      <name val="微软雅黑"/>
    </font>
    <font>
      <sz val="10"/>
      <color rgb="FF7F7F7F"/>
      <name val="黑体"/>
    </font>
    <font>
      <sz val="10"/>
      <color rgb="FF000000"/>
      <name val="黑体"/>
    </font>
    <font>
      <b/>
      <sz val="12"/>
      <color rgb="FF000000"/>
      <name val="微软雅黑"/>
    </font>
    <font>
      <b/>
      <sz val="10"/>
      <color rgb="FF000000"/>
      <name val="微软雅黑"/>
    </font>
    <font>
      <b/>
      <sz val="10"/>
      <color rgb="FFFF0000"/>
      <name val="微软雅黑"/>
    </font>
    <font>
      <sz val="10"/>
      <color rgb="FFFF0000"/>
      <name val="微软雅黑"/>
    </font>
    <font>
      <b/>
      <sz val="11"/>
      <color rgb="FF000000"/>
      <name val="等线"/>
    </font>
    <font>
      <b/>
      <sz val="11"/>
      <color rgb="FFFF0000"/>
      <name val="等线"/>
    </font>
    <font>
      <sz val="10"/>
      <color rgb="FFFF0000"/>
      <name val="等线"/>
    </font>
    <font>
      <sz val="12"/>
      <color rgb="FF000000"/>
      <name val="等线"/>
    </font>
    <font>
      <sz val="11"/>
      <color rgb="FF000000"/>
      <name val="宋体"/>
    </font>
    <font>
      <sz val="16"/>
      <color rgb="FF000000"/>
      <name val="等线"/>
    </font>
    <font>
      <sz val="10"/>
      <color rgb="FF000000"/>
      <name val="宋体"/>
    </font>
    <font>
      <b/>
      <sz val="9"/>
      <color rgb="FF000000"/>
      <name val="等线"/>
    </font>
    <font>
      <b/>
      <sz val="10"/>
      <color rgb="FF000000"/>
      <name val="宋体"/>
    </font>
    <font>
      <b/>
      <sz val="11"/>
      <color rgb="FF000000"/>
      <name val="宋体"/>
    </font>
    <font>
      <sz val="11"/>
      <color rgb="FFFE0300"/>
      <name val="宋体"/>
    </font>
    <font>
      <b/>
      <sz val="20"/>
      <color rgb="FF000000"/>
      <name val="宋体"/>
    </font>
    <font>
      <b/>
      <sz val="14"/>
      <color rgb="FF000000"/>
      <name val="宋体"/>
    </font>
    <font>
      <b/>
      <sz val="12"/>
      <color rgb="FF000000"/>
      <name val="宋体"/>
    </font>
    <font>
      <sz val="12"/>
      <color rgb="FF000000"/>
      <name val="宋体"/>
    </font>
    <font>
      <sz val="12"/>
      <color rgb="FFFF0000"/>
      <name val="宋体"/>
    </font>
    <font>
      <sz val="12"/>
      <color rgb="FFFF0000"/>
      <name val="等线"/>
    </font>
    <font>
      <b/>
      <sz val="10"/>
      <color rgb="FF000000"/>
      <name val="等线"/>
    </font>
    <font>
      <sz val="11"/>
      <color rgb="FF000000"/>
      <name val="宋体"/>
    </font>
    <font>
      <sz val="11"/>
      <color rgb="FF000000"/>
      <name val="宋体"/>
    </font>
    <font>
      <sz val="11"/>
      <color rgb="FF000000"/>
      <name val="宋体"/>
    </font>
    <font>
      <sz val="11"/>
      <color rgb="FFFE0300"/>
      <name val="宋体"/>
    </font>
    <font>
      <sz val="11"/>
      <color rgb="FFFE0300"/>
      <name val="宋体"/>
    </font>
    <font>
      <sz val="11"/>
      <color rgb="FFFE03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FE0300"/>
      <name val="宋体"/>
    </font>
    <font>
      <sz val="11"/>
      <color rgb="FF000000"/>
      <name val="宋体"/>
    </font>
    <font>
      <sz val="11"/>
      <color rgb="FFFE03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b/>
      <sz val="10"/>
      <color rgb="FF000000"/>
      <name val="微软雅黑"/>
    </font>
    <font>
      <b/>
      <sz val="10"/>
      <color rgb="FF000000"/>
      <name val="微软雅黑"/>
    </font>
  </fonts>
  <fills count="7">
    <fill>
      <patternFill patternType="none"/>
    </fill>
    <fill>
      <patternFill patternType="gray125"/>
    </fill>
    <fill>
      <patternFill patternType="solid">
        <fgColor rgb="FFF9E5D7"/>
      </patternFill>
    </fill>
    <fill>
      <patternFill patternType="solid">
        <fgColor rgb="FFDFEBF6"/>
      </patternFill>
    </fill>
    <fill>
      <patternFill patternType="solid">
        <fgColor rgb="FFFFFF00"/>
      </patternFill>
    </fill>
    <fill>
      <patternFill patternType="solid">
        <fgColor rgb="FFD6DCE4"/>
      </patternFill>
    </fill>
    <fill>
      <patternFill patternType="solid">
        <fgColor rgb="FFFFFFFF"/>
      </patternFill>
    </fill>
  </fills>
  <borders count="3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right/>
      <top style="medium">
        <color rgb="FF000000"/>
      </top>
      <bottom/>
      <diagonal/>
    </border>
    <border>
      <left/>
      <right style="thin">
        <color rgb="FF000000"/>
      </right>
      <top style="medium">
        <color rgb="FF000000"/>
      </top>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diagonal/>
    </border>
    <border>
      <left style="medium">
        <color rgb="FF000000"/>
      </left>
      <right/>
      <top/>
      <bottom/>
      <diagonal/>
    </border>
    <border>
      <left style="thin">
        <color rgb="FF000000"/>
      </left>
      <right/>
      <top/>
      <bottom/>
      <diagonal/>
    </border>
    <border>
      <left style="thin">
        <color rgb="FF000000"/>
      </left>
      <right style="medium">
        <color rgb="FF000000"/>
      </right>
      <top/>
      <bottom style="thin">
        <color rgb="FF000000"/>
      </bottom>
      <diagonal/>
    </border>
    <border>
      <left style="medium">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
      <left/>
      <right/>
      <top style="thin">
        <color rgb="FF000000"/>
      </top>
      <bottom style="thin">
        <color rgb="FF000000"/>
      </bottom>
      <diagonal/>
    </border>
    <border>
      <left/>
      <right style="thin">
        <color rgb="FF000000"/>
      </right>
      <top/>
      <bottom/>
      <diagonal/>
    </border>
    <border>
      <left/>
      <right style="medium">
        <color rgb="FF000000"/>
      </right>
      <top style="thin">
        <color rgb="FF000000"/>
      </top>
      <bottom style="thin">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medium">
        <color rgb="FF000000"/>
      </left>
      <right/>
      <top style="thin">
        <color rgb="FF000000"/>
      </top>
      <bottom/>
      <diagonal/>
    </border>
    <border>
      <left/>
      <right style="thin">
        <color rgb="FF000000"/>
      </right>
      <top style="thin">
        <color rgb="FF000000"/>
      </top>
      <bottom/>
      <diagonal/>
    </border>
    <border>
      <left style="medium">
        <color rgb="FF000000"/>
      </left>
      <right/>
      <top/>
      <bottom style="medium">
        <color rgb="FF000000"/>
      </bottom>
      <diagonal/>
    </border>
    <border>
      <left/>
      <right style="thin">
        <color rgb="FF000000"/>
      </right>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style="thin">
        <color rgb="FF000000"/>
      </right>
      <top style="thin">
        <color rgb="FF000000"/>
      </top>
      <bottom style="thin">
        <color rgb="FF000000"/>
      </bottom>
      <diagonal/>
    </border>
    <border>
      <left/>
      <right/>
      <top/>
      <bottom style="thin">
        <color rgb="FF000000"/>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256">
    <xf numFmtId="0" fontId="0" fillId="0" borderId="0" xfId="0">
      <alignment vertical="center"/>
    </xf>
    <xf numFmtId="0" fontId="2" fillId="0" borderId="0" xfId="1">
      <alignment vertical="center"/>
    </xf>
    <xf numFmtId="0" fontId="3" fillId="0" borderId="0" xfId="0" quotePrefix="1">
      <alignment vertical="center"/>
    </xf>
    <xf numFmtId="0" fontId="3" fillId="0" borderId="0" xfId="0">
      <alignment vertical="center" wrapText="1"/>
    </xf>
    <xf numFmtId="0" fontId="3" fillId="0" borderId="0" xfId="0">
      <alignment vertical="center"/>
    </xf>
    <xf numFmtId="0" fontId="4" fillId="0" borderId="0" xfId="0" applyFont="1">
      <alignment horizontal="left" vertical="center" wrapText="1"/>
    </xf>
    <xf numFmtId="0" fontId="4" fillId="0" borderId="1" xfId="0" applyFont="1" applyBorder="1" applyProtection="1">
      <alignment horizontal="center" vertical="center"/>
    </xf>
    <xf numFmtId="0" fontId="4" fillId="0" borderId="1" xfId="0" applyFont="1" applyBorder="1" applyProtection="1">
      <alignment horizontal="center" vertical="center" wrapText="1"/>
    </xf>
    <xf numFmtId="0" fontId="4" fillId="0" borderId="2" xfId="0" applyFont="1" applyBorder="1" applyProtection="1">
      <alignment horizontal="general" vertical="center"/>
    </xf>
    <xf numFmtId="0" fontId="4" fillId="0" borderId="1" xfId="0" applyFont="1" applyBorder="1" applyProtection="1">
      <alignment horizontal="general" vertical="center" wrapText="1"/>
    </xf>
    <xf numFmtId="0" fontId="4" fillId="0" borderId="1" xfId="0" applyFont="1" applyBorder="1" applyProtection="1">
      <alignment horizontal="left" vertical="center" wrapText="1"/>
    </xf>
    <xf numFmtId="0" fontId="4" fillId="0" borderId="1" xfId="0" applyFont="1" applyBorder="1" applyProtection="1">
      <alignment horizontal="general" vertical="center"/>
    </xf>
    <xf numFmtId="0" fontId="4" fillId="0" borderId="3" xfId="0" applyFont="1" applyBorder="1" applyProtection="1">
      <alignment horizontal="general" vertical="center"/>
    </xf>
    <xf numFmtId="0" fontId="4" fillId="0" borderId="4" xfId="0" applyFont="1" applyBorder="1" applyProtection="1">
      <alignment horizontal="general" vertical="center"/>
    </xf>
    <xf numFmtId="0" fontId="5" fillId="2" borderId="1" xfId="0" applyFont="1" applyFill="1" applyBorder="1" applyProtection="1">
      <alignment horizontal="general" vertical="center"/>
    </xf>
    <xf numFmtId="0" fontId="5" fillId="2" borderId="1" xfId="0" applyFont="1" applyFill="1" applyBorder="1" applyProtection="1">
      <alignment horizontal="general" vertical="center" wrapText="1"/>
    </xf>
    <xf numFmtId="0" fontId="5" fillId="2" borderId="1" xfId="0" applyFont="1" applyFill="1" applyBorder="1" applyProtection="1">
      <alignment horizontal="left" vertical="center" wrapText="1"/>
    </xf>
    <xf numFmtId="0" fontId="4" fillId="2" borderId="1" xfId="0" applyFont="1" applyFill="1" applyBorder="1" applyProtection="1">
      <alignment horizontal="general" vertical="center"/>
    </xf>
    <xf numFmtId="0" fontId="4" fillId="2" borderId="1" xfId="0" applyFont="1" applyFill="1" applyBorder="1" applyProtection="1">
      <alignment horizontal="general" vertical="center" wrapText="1"/>
    </xf>
    <xf numFmtId="0" fontId="4" fillId="2" borderId="1" xfId="0" applyFont="1" applyFill="1" applyBorder="1" applyProtection="1">
      <alignment horizontal="left" vertical="center" wrapText="1"/>
    </xf>
    <xf numFmtId="0" fontId="5" fillId="3" borderId="1" xfId="0" applyFont="1" applyFill="1" applyBorder="1" applyProtection="1">
      <alignment horizontal="left" vertical="center"/>
    </xf>
    <xf numFmtId="0" fontId="5" fillId="3" borderId="1" xfId="0" applyFont="1" applyFill="1" applyBorder="1" applyProtection="1">
      <alignment horizontal="left" vertical="center" wrapText="1"/>
    </xf>
    <xf numFmtId="0" fontId="4" fillId="3" borderId="1" xfId="0" applyFont="1" applyFill="1" applyBorder="1" applyProtection="1">
      <alignment horizontal="general" vertical="center"/>
    </xf>
    <xf numFmtId="0" fontId="4" fillId="3" borderId="1" xfId="0" applyFont="1" applyFill="1" applyBorder="1" applyProtection="1">
      <alignment horizontal="general" vertical="center" wrapText="1"/>
    </xf>
    <xf numFmtId="0" fontId="4" fillId="3" borderId="1" xfId="0" applyFont="1" applyFill="1" applyBorder="1" applyProtection="1">
      <alignment horizontal="left" vertical="center" wrapText="1"/>
    </xf>
    <xf numFmtId="0" fontId="6" fillId="0" borderId="0" xfId="0" applyFont="1">
      <alignment horizontal="general" vertical="center"/>
    </xf>
    <xf numFmtId="0" fontId="7" fillId="0" borderId="0" xfId="0" applyFont="1">
      <alignment horizontal="center" vertical="center"/>
    </xf>
    <xf numFmtId="0" fontId="6" fillId="0" borderId="0" xfId="0" applyFont="1">
      <alignment horizontal="general" vertical="bottom"/>
    </xf>
    <xf numFmtId="0" fontId="8" fillId="0" borderId="0" xfId="0" applyFont="1">
      <alignment horizontal="left" vertical="bottom"/>
    </xf>
    <xf numFmtId="0" fontId="9" fillId="0" borderId="0" xfId="0" applyFont="1">
      <alignment horizontal="left" vertical="bottom"/>
    </xf>
    <xf numFmtId="0" fontId="10" fillId="0" borderId="5" xfId="0" applyFont="1" applyBorder="1" applyProtection="1">
      <alignment horizontal="center" vertical="center"/>
    </xf>
    <xf numFmtId="0" fontId="10" fillId="0" borderId="6" xfId="0" applyFont="1" applyBorder="1" applyProtection="1">
      <alignment horizontal="center" vertical="center"/>
    </xf>
    <xf numFmtId="0" fontId="10" fillId="0" borderId="7" xfId="0" applyFont="1" applyBorder="1" applyProtection="1">
      <alignment horizontal="center" vertical="center"/>
    </xf>
    <xf numFmtId="0" fontId="11" fillId="0" borderId="8" xfId="0" applyFont="1" applyBorder="1" applyProtection="1">
      <alignment horizontal="center" vertical="center"/>
    </xf>
    <xf numFmtId="0" fontId="11" fillId="0" borderId="9" xfId="0" applyFont="1" applyBorder="1" applyProtection="1">
      <alignment horizontal="center" vertical="center"/>
    </xf>
    <xf numFmtId="0" fontId="11" fillId="0" borderId="10" xfId="0" applyFont="1" applyBorder="1" applyProtection="1">
      <alignment horizontal="center" vertical="center"/>
    </xf>
    <xf numFmtId="0" fontId="11" fillId="0" borderId="11" xfId="0" applyFont="1" applyBorder="1" applyProtection="1">
      <alignment horizontal="center" vertical="center"/>
    </xf>
    <xf numFmtId="0" fontId="11" fillId="0" borderId="12" xfId="0" applyFont="1" applyBorder="1" applyProtection="1">
      <alignment horizontal="center" vertical="center"/>
    </xf>
    <xf numFmtId="0" fontId="11" fillId="0" borderId="13" xfId="0" applyFont="1" applyBorder="1" applyProtection="1">
      <alignment horizontal="center" vertical="center"/>
    </xf>
    <xf numFmtId="0" fontId="11" fillId="0" borderId="14" xfId="0" applyFont="1" applyBorder="1" applyProtection="1">
      <alignment horizontal="center" vertical="center"/>
    </xf>
    <xf numFmtId="0" fontId="11" fillId="0" borderId="15" xfId="0" applyFont="1" applyBorder="1" applyProtection="1">
      <alignment horizontal="center" vertical="center"/>
    </xf>
    <xf numFmtId="0" fontId="11" fillId="0" borderId="1" xfId="0" applyFont="1" applyBorder="1" applyProtection="1">
      <alignment horizontal="center" vertical="center"/>
    </xf>
    <xf numFmtId="0" fontId="11" fillId="0" borderId="4" xfId="0" applyFont="1" applyBorder="1" applyProtection="1">
      <alignment horizontal="center" vertical="center"/>
    </xf>
    <xf numFmtId="0" fontId="12" fillId="4" borderId="1" xfId="0" applyFont="1" applyFill="1" applyBorder="1" applyProtection="1">
      <alignment horizontal="center" vertical="center" wrapText="1"/>
    </xf>
    <xf numFmtId="0" fontId="11" fillId="0" borderId="2" xfId="0" applyFont="1" applyBorder="1" applyProtection="1">
      <alignment horizontal="center" vertical="center"/>
    </xf>
    <xf numFmtId="0" fontId="11" fillId="0" borderId="2" xfId="0" applyFont="1" applyBorder="1" applyProtection="1">
      <alignment horizontal="center" vertical="center" wrapText="1"/>
    </xf>
    <xf numFmtId="0" fontId="11" fillId="0" borderId="16" xfId="0" applyFont="1" applyBorder="1" applyProtection="1">
      <alignment horizontal="center" vertical="center" wrapText="1"/>
    </xf>
    <xf numFmtId="0" fontId="7" fillId="0" borderId="17" xfId="0" applyFont="1" applyBorder="1" applyProtection="1">
      <alignment horizontal="center" vertical="center"/>
    </xf>
    <xf numFmtId="0" fontId="11" fillId="0" borderId="18" xfId="0" applyFont="1" applyBorder="1" applyProtection="1">
      <alignment horizontal="center" vertical="center"/>
    </xf>
    <xf numFmtId="0" fontId="7" fillId="0" borderId="4" xfId="0" applyFont="1" applyBorder="1" applyProtection="1">
      <alignment horizontal="center" vertical="center" wrapText="1"/>
    </xf>
    <xf numFmtId="0" fontId="13" fillId="0" borderId="4" xfId="0" applyFont="1" applyBorder="1" applyProtection="1">
      <alignment horizontal="center" vertical="center" wrapText="1"/>
    </xf>
    <xf numFmtId="0" fontId="11" fillId="0" borderId="4" xfId="0" applyFont="1" applyBorder="1" applyProtection="1">
      <alignment horizontal="center" vertical="center" wrapText="1"/>
    </xf>
    <xf numFmtId="0" fontId="11" fillId="0" borderId="19" xfId="0" applyFont="1" applyBorder="1" applyProtection="1">
      <alignment horizontal="center" vertical="center" wrapText="1"/>
    </xf>
    <xf numFmtId="0" fontId="7" fillId="0" borderId="20" xfId="0" applyFont="1" applyBorder="1" applyProtection="1">
      <alignment horizontal="center" vertical="center"/>
    </xf>
    <xf numFmtId="0" fontId="7" fillId="0" borderId="2" xfId="0" applyFont="1" applyBorder="1" applyProtection="1">
      <alignment horizontal="center" vertical="center"/>
    </xf>
    <xf numFmtId="0" fontId="7" fillId="5" borderId="21" xfId="0" applyFont="1" applyFill="1" applyBorder="1" applyProtection="1">
      <alignment horizontal="center" vertical="center"/>
    </xf>
    <xf numFmtId="0" fontId="7" fillId="5" borderId="1" xfId="0" applyFont="1" applyFill="1" applyBorder="1" applyProtection="1">
      <alignment horizontal="center" vertical="center"/>
    </xf>
    <xf numFmtId="0" fontId="7" fillId="5" borderId="22" xfId="0" applyFont="1" applyFill="1" applyBorder="1" applyProtection="1">
      <alignment horizontal="center" vertical="center"/>
    </xf>
    <xf numFmtId="0" fontId="7" fillId="0" borderId="23" xfId="0" applyFont="1" applyBorder="1" applyProtection="1">
      <alignment horizontal="center" vertical="center"/>
    </xf>
    <xf numFmtId="0" fontId="7" fillId="0" borderId="4" xfId="0" applyFont="1" applyBorder="1" applyProtection="1">
      <alignment horizontal="center" vertical="center"/>
    </xf>
    <xf numFmtId="0" fontId="7" fillId="0" borderId="21" xfId="0" applyFont="1" applyBorder="1" applyProtection="1">
      <alignment horizontal="center" vertical="center"/>
    </xf>
    <xf numFmtId="0" fontId="7" fillId="0" borderId="24" xfId="0" applyFont="1" applyBorder="1" applyProtection="1">
      <alignment horizontal="center" vertical="center"/>
    </xf>
    <xf numFmtId="0" fontId="6" fillId="0" borderId="1" xfId="0" applyFont="1" applyBorder="1" applyProtection="1">
      <alignment horizontal="center" vertical="center"/>
    </xf>
    <xf numFmtId="0" fontId="6" fillId="0" borderId="1" xfId="0" applyFont="1" applyBorder="1" applyProtection="1">
      <alignment horizontal="general" vertical="center"/>
    </xf>
    <xf numFmtId="0" fontId="6" fillId="0" borderId="22" xfId="0" applyFont="1" applyBorder="1" applyProtection="1">
      <alignment horizontal="center" vertical="center"/>
    </xf>
    <xf numFmtId="0" fontId="7" fillId="0" borderId="25" xfId="0" applyFont="1" applyBorder="1" applyProtection="1">
      <alignment horizontal="center" vertical="center"/>
    </xf>
    <xf numFmtId="0" fontId="6" fillId="0" borderId="1" xfId="0" applyFont="1" applyBorder="1" applyProtection="1">
      <alignment horizontal="general" vertical="bottom"/>
    </xf>
    <xf numFmtId="0" fontId="14" fillId="0" borderId="26" xfId="0" applyFont="1" applyBorder="1" applyProtection="1">
      <alignment horizontal="general" vertical="center"/>
    </xf>
    <xf numFmtId="0" fontId="14" fillId="0" borderId="1" xfId="0" applyFont="1" applyBorder="1" applyProtection="1">
      <alignment horizontal="center" vertical="center"/>
    </xf>
    <xf numFmtId="0" fontId="6" fillId="4" borderId="21" xfId="0" applyFont="1" applyFill="1" applyBorder="1" applyProtection="1">
      <alignment horizontal="center" vertical="bottom"/>
    </xf>
    <xf numFmtId="0" fontId="6" fillId="4" borderId="22" xfId="0" applyFont="1" applyFill="1" applyBorder="1" applyProtection="1">
      <alignment horizontal="center" vertical="center"/>
    </xf>
    <xf numFmtId="0" fontId="15" fillId="0" borderId="17" xfId="0" applyFont="1" applyBorder="1" applyProtection="1">
      <alignment horizontal="center" vertical="center"/>
    </xf>
    <xf numFmtId="0" fontId="15" fillId="0" borderId="27" xfId="0" applyFont="1" applyBorder="1" applyProtection="1">
      <alignment horizontal="center" vertical="center"/>
    </xf>
    <xf numFmtId="0" fontId="14" fillId="0" borderId="1" xfId="0" applyFont="1" applyBorder="1" applyProtection="1">
      <alignment horizontal="left" vertical="center" wrapText="1"/>
    </xf>
    <xf numFmtId="0" fontId="14" fillId="0" borderId="22" xfId="0" applyFont="1" applyBorder="1" applyProtection="1">
      <alignment horizontal="left" vertical="center" wrapText="1"/>
    </xf>
    <xf numFmtId="0" fontId="14" fillId="0" borderId="21" xfId="0" applyFont="1" applyBorder="1" applyProtection="1">
      <alignment horizontal="left" vertical="top" wrapText="1"/>
    </xf>
    <xf numFmtId="0" fontId="14" fillId="0" borderId="26" xfId="0" applyFont="1" applyBorder="1" applyProtection="1">
      <alignment horizontal="left" vertical="top" wrapText="1"/>
    </xf>
    <xf numFmtId="0" fontId="14" fillId="0" borderId="28" xfId="0" applyFont="1" applyBorder="1" applyProtection="1">
      <alignment horizontal="left" vertical="top" wrapText="1"/>
    </xf>
    <xf numFmtId="0" fontId="15" fillId="0" borderId="29" xfId="0" applyFont="1" applyBorder="1" applyProtection="1">
      <alignment horizontal="center" vertical="center"/>
    </xf>
    <xf numFmtId="0" fontId="15" fillId="0" borderId="30" xfId="0" applyFont="1" applyBorder="1" applyProtection="1">
      <alignment horizontal="center" vertical="center"/>
    </xf>
    <xf numFmtId="0" fontId="15" fillId="0" borderId="31" xfId="0" applyFont="1" applyBorder="1" applyProtection="1">
      <alignment horizontal="center" vertical="center"/>
    </xf>
    <xf numFmtId="0" fontId="15" fillId="0" borderId="32" xfId="0" applyFont="1" applyBorder="1" applyProtection="1">
      <alignment horizontal="center" vertical="center"/>
    </xf>
    <xf numFmtId="0" fontId="14" fillId="0" borderId="1" xfId="0" applyFont="1" applyBorder="1" applyProtection="1">
      <alignment horizontal="left" vertical="center"/>
    </xf>
    <xf numFmtId="0" fontId="14" fillId="0" borderId="22" xfId="0" applyFont="1" applyBorder="1" applyProtection="1">
      <alignment horizontal="left" vertical="center"/>
    </xf>
    <xf numFmtId="0" fontId="15" fillId="0" borderId="33" xfId="0" applyFont="1" applyBorder="1" applyProtection="1">
      <alignment horizontal="center" vertical="center"/>
    </xf>
    <xf numFmtId="0" fontId="15" fillId="0" borderId="34" xfId="0" applyFont="1" applyBorder="1" applyProtection="1">
      <alignment horizontal="center" vertical="center"/>
    </xf>
    <xf numFmtId="0" fontId="14" fillId="0" borderId="35" xfId="0" applyFont="1" applyBorder="1" applyProtection="1">
      <alignment horizontal="left" vertical="center"/>
    </xf>
    <xf numFmtId="0" fontId="14" fillId="0" borderId="36" xfId="0" applyFont="1" applyBorder="1" applyProtection="1">
      <alignment horizontal="left" vertical="center"/>
    </xf>
    <xf numFmtId="0" fontId="14" fillId="0" borderId="0" xfId="0" applyFont="1">
      <alignment horizontal="general" vertical="bottom"/>
    </xf>
    <xf numFmtId="0" fontId="6" fillId="0" borderId="0" xfId="0" applyFont="1">
      <alignment horizontal="center" vertical="center"/>
    </xf>
    <xf numFmtId="0" fontId="6" fillId="0" borderId="2" xfId="0" applyFont="1" applyBorder="1" applyProtection="1">
      <alignment horizontal="center" vertical="center" wrapText="1"/>
    </xf>
    <xf numFmtId="0" fontId="16" fillId="0" borderId="1" xfId="0" applyFont="1" applyBorder="1" applyProtection="1">
      <alignment horizontal="center" vertical="center"/>
    </xf>
    <xf numFmtId="0" fontId="16" fillId="0" borderId="1" xfId="0" applyFont="1" applyBorder="1" applyProtection="1">
      <alignment horizontal="center" vertical="center" wrapText="1"/>
    </xf>
    <xf numFmtId="0" fontId="16" fillId="0" borderId="1" xfId="0" applyFont="1" applyBorder="1" applyProtection="1">
      <alignment horizontal="left" vertical="center" wrapText="1"/>
    </xf>
    <xf numFmtId="0" fontId="6" fillId="0" borderId="3" xfId="0" applyFont="1" applyBorder="1" applyProtection="1">
      <alignment horizontal="center" vertical="center" wrapText="1"/>
    </xf>
    <xf numFmtId="0" fontId="6" fillId="0" borderId="4" xfId="0" applyFont="1" applyBorder="1" applyProtection="1">
      <alignment horizontal="center" vertical="center" wrapText="1"/>
    </xf>
    <xf numFmtId="0" fontId="6" fillId="4" borderId="1" xfId="0" applyFont="1" applyFill="1" applyBorder="1" applyProtection="1">
      <alignment horizontal="center" vertical="center"/>
    </xf>
    <xf numFmtId="0" fontId="17" fillId="0" borderId="0" xfId="0" applyFont="1">
      <alignment horizontal="general" vertical="center"/>
    </xf>
    <xf numFmtId="0" fontId="17" fillId="0" borderId="0" xfId="0" applyFont="1">
      <alignment horizontal="left" vertical="bottom"/>
    </xf>
    <xf numFmtId="0" fontId="18" fillId="0" borderId="0" xfId="0" applyFont="1">
      <alignment horizontal="general" vertical="center"/>
    </xf>
    <xf numFmtId="0" fontId="19" fillId="0" borderId="1" xfId="0" applyFont="1" applyBorder="1" applyProtection="1">
      <alignment horizontal="center" vertical="center"/>
    </xf>
    <xf numFmtId="0" fontId="6" fillId="0" borderId="1" xfId="0" applyFont="1" applyBorder="1" applyProtection="1">
      <alignment horizontal="left" vertical="top" wrapText="1"/>
    </xf>
    <xf numFmtId="0" fontId="6" fillId="0" borderId="1" xfId="0" applyFont="1" applyBorder="1" applyProtection="1">
      <alignment horizontal="left" vertical="top"/>
    </xf>
    <xf numFmtId="0" fontId="18" fillId="0" borderId="0" xfId="0" applyFont="1">
      <alignment horizontal="general" vertical="center" wrapText="1"/>
    </xf>
    <xf numFmtId="0" fontId="18" fillId="0" borderId="0" xfId="0" applyFont="1">
      <alignment horizontal="center" vertical="center"/>
    </xf>
    <xf numFmtId="0" fontId="18" fillId="0" borderId="0" xfId="0" applyFont="1">
      <alignment horizontal="left" vertical="center"/>
    </xf>
    <xf numFmtId="0" fontId="20" fillId="0" borderId="0" xfId="0" applyFont="1">
      <alignment horizontal="left" vertical="bottom"/>
    </xf>
    <xf numFmtId="0" fontId="20" fillId="0" borderId="0" xfId="0" applyFont="1">
      <alignment horizontal="left" vertical="bottom" wrapText="1"/>
    </xf>
    <xf numFmtId="0" fontId="21" fillId="0" borderId="0" xfId="0" applyFont="1">
      <alignment horizontal="center" vertical="center"/>
    </xf>
    <xf numFmtId="0" fontId="22" fillId="0" borderId="0" xfId="0" applyFont="1">
      <alignment horizontal="center" vertical="center"/>
    </xf>
    <xf numFmtId="0" fontId="22" fillId="0" borderId="1" xfId="0" applyFont="1" applyBorder="1" applyProtection="1">
      <alignment horizontal="center" vertical="center"/>
    </xf>
    <xf numFmtId="0" fontId="22" fillId="0" borderId="37" xfId="0" applyFont="1" applyBorder="1" applyProtection="1">
      <alignment horizontal="left" vertical="center"/>
    </xf>
    <xf numFmtId="0" fontId="22" fillId="0" borderId="1" xfId="0" applyFont="1" applyBorder="1" applyProtection="1">
      <alignment horizontal="center" vertical="center" wrapText="1"/>
    </xf>
    <xf numFmtId="164" fontId="22" fillId="0" borderId="1" xfId="0" applyNumberFormat="1" applyFont="1" applyBorder="1" applyProtection="1">
      <alignment horizontal="center" vertical="center"/>
    </xf>
    <xf numFmtId="0" fontId="5" fillId="0" borderId="1" xfId="0" applyFont="1" applyBorder="1" applyProtection="1">
      <alignment horizontal="center" vertical="center"/>
    </xf>
    <xf numFmtId="0" fontId="5" fillId="0" borderId="1" xfId="0" applyFont="1" applyBorder="1" applyProtection="1">
      <alignment horizontal="center" vertical="center" wrapText="1"/>
    </xf>
    <xf numFmtId="0" fontId="18" fillId="0" borderId="1" xfId="0" applyFont="1" applyBorder="1" applyProtection="1">
      <alignment horizontal="center" vertical="center"/>
    </xf>
    <xf numFmtId="0" fontId="23" fillId="0" borderId="0" xfId="0" applyFont="1">
      <alignment horizontal="left" vertical="center"/>
    </xf>
    <xf numFmtId="0" fontId="18" fillId="0" borderId="1" xfId="0" applyFont="1" applyBorder="1" applyProtection="1">
      <alignment horizontal="general" vertical="center" wrapText="1"/>
    </xf>
    <xf numFmtId="0" fontId="18" fillId="0" borderId="1" xfId="0" applyFont="1" applyBorder="1" applyProtection="1">
      <alignment horizontal="general" vertical="center"/>
    </xf>
    <xf numFmtId="0" fontId="18" fillId="0" borderId="1" xfId="0" applyFont="1" applyBorder="1" applyProtection="1">
      <alignment horizontal="center" vertical="center" wrapText="1"/>
    </xf>
    <xf numFmtId="0" fontId="18" fillId="0" borderId="1" xfId="0" applyFont="1" applyBorder="1" applyProtection="1">
      <alignment horizontal="left" vertical="center"/>
    </xf>
    <xf numFmtId="0" fontId="24" fillId="0" borderId="1" xfId="0" applyFont="1" applyBorder="1" applyProtection="1">
      <alignment horizontal="left" vertical="center" wrapText="1"/>
    </xf>
    <xf numFmtId="0" fontId="24" fillId="0" borderId="1" xfId="0" applyFont="1" applyBorder="1" applyProtection="1">
      <alignment horizontal="center" vertical="center" wrapText="1"/>
    </xf>
    <xf numFmtId="0" fontId="18" fillId="0" borderId="1" xfId="0" applyFont="1" applyBorder="1" applyProtection="1">
      <alignment horizontal="left" vertical="center" wrapText="1"/>
    </xf>
    <xf numFmtId="0" fontId="18" fillId="0" borderId="4" xfId="0" applyFont="1" applyBorder="1" applyProtection="1">
      <alignment horizontal="left" vertical="center" wrapText="1"/>
    </xf>
    <xf numFmtId="0" fontId="18" fillId="0" borderId="26" xfId="0" applyFont="1" applyBorder="1" applyProtection="1">
      <alignment horizontal="left" vertical="center"/>
    </xf>
    <xf numFmtId="0" fontId="23" fillId="0" borderId="26" xfId="0" applyFont="1" applyBorder="1" applyProtection="1">
      <alignment horizontal="left" vertical="center"/>
    </xf>
    <xf numFmtId="0" fontId="20" fillId="6" borderId="1" xfId="0" applyFont="1" applyFill="1" applyBorder="1" applyProtection="1">
      <alignment horizontal="general" vertical="center" wrapText="1"/>
    </xf>
    <xf numFmtId="0" fontId="20" fillId="6" borderId="1" xfId="0" applyFont="1" applyFill="1" applyBorder="1" applyProtection="1">
      <alignment horizontal="left" vertical="center"/>
    </xf>
    <xf numFmtId="0" fontId="4" fillId="0" borderId="0" xfId="0" applyFont="1">
      <alignment horizontal="general" vertical="center"/>
    </xf>
    <xf numFmtId="0" fontId="18" fillId="0" borderId="37" xfId="0" applyFont="1" applyBorder="1" applyProtection="1">
      <alignment horizontal="general" vertical="center"/>
    </xf>
    <xf numFmtId="0" fontId="18" fillId="0" borderId="2" xfId="0" applyFont="1" applyBorder="1" applyProtection="1">
      <alignment horizontal="center" vertical="center" wrapText="1"/>
    </xf>
    <xf numFmtId="0" fontId="18" fillId="0" borderId="2" xfId="0" applyFont="1" applyBorder="1" applyProtection="1">
      <alignment horizontal="left" vertical="center" wrapText="1"/>
    </xf>
    <xf numFmtId="0" fontId="18" fillId="0" borderId="2" xfId="0" applyFont="1" applyBorder="1" applyProtection="1">
      <alignment horizontal="center" vertical="center"/>
    </xf>
    <xf numFmtId="0" fontId="18" fillId="0" borderId="4" xfId="0" applyFont="1" applyBorder="1" applyProtection="1">
      <alignment horizontal="general" vertical="center" wrapText="1"/>
    </xf>
    <xf numFmtId="0" fontId="18" fillId="0" borderId="4" xfId="0" applyFont="1" applyBorder="1" applyProtection="1">
      <alignment horizontal="center" vertical="center"/>
    </xf>
    <xf numFmtId="0" fontId="18" fillId="0" borderId="4" xfId="0" applyFont="1" applyBorder="1" applyProtection="1">
      <alignment horizontal="general" vertical="center"/>
    </xf>
    <xf numFmtId="0" fontId="22" fillId="0" borderId="2" xfId="0" applyFont="1" applyBorder="1" applyProtection="1">
      <alignment horizontal="general" vertical="center"/>
    </xf>
    <xf numFmtId="0" fontId="18" fillId="0" borderId="2" xfId="0" applyFont="1" applyBorder="1" applyProtection="1">
      <alignment horizontal="general" vertical="center"/>
    </xf>
    <xf numFmtId="0" fontId="18" fillId="0" borderId="21" xfId="0" applyFont="1" applyBorder="1" applyProtection="1">
      <alignment horizontal="center" vertical="center" wrapText="1"/>
    </xf>
    <xf numFmtId="0" fontId="17" fillId="0" borderId="1" xfId="0" applyFont="1" applyBorder="1" applyProtection="1">
      <alignment horizontal="general" vertical="center"/>
    </xf>
    <xf numFmtId="0" fontId="18" fillId="0" borderId="24" xfId="0" applyFont="1" applyBorder="1" applyProtection="1">
      <alignment horizontal="center" vertical="center" wrapText="1"/>
    </xf>
    <xf numFmtId="0" fontId="23" fillId="0" borderId="1" xfId="0" applyFont="1" applyBorder="1" applyProtection="1">
      <alignment horizontal="left" vertical="center"/>
    </xf>
    <xf numFmtId="0" fontId="18" fillId="0" borderId="21" xfId="0" applyFont="1" applyBorder="1" applyProtection="1">
      <alignment horizontal="general" vertical="center"/>
    </xf>
    <xf numFmtId="0" fontId="14" fillId="0" borderId="0" xfId="0" applyFont="1">
      <alignment horizontal="center" vertical="bottom"/>
    </xf>
    <xf numFmtId="0" fontId="25" fillId="0" borderId="0" xfId="0" applyFont="1">
      <alignment horizontal="center" vertical="center"/>
    </xf>
    <xf numFmtId="0" fontId="26" fillId="0" borderId="1" xfId="0" applyFont="1" applyBorder="1" applyProtection="1">
      <alignment horizontal="center" vertical="center"/>
    </xf>
    <xf numFmtId="0" fontId="27" fillId="0" borderId="1" xfId="0" applyFont="1" applyBorder="1" applyProtection="1">
      <alignment horizontal="left" vertical="center" wrapText="1"/>
    </xf>
    <xf numFmtId="49" fontId="26" fillId="0" borderId="21" xfId="0" applyNumberFormat="1" applyFont="1" applyBorder="1" applyProtection="1">
      <alignment horizontal="center" vertical="center" wrapText="1"/>
    </xf>
    <xf numFmtId="49" fontId="26" fillId="0" borderId="26" xfId="0" applyNumberFormat="1" applyFont="1" applyBorder="1" applyProtection="1">
      <alignment horizontal="center" vertical="center" wrapText="1"/>
    </xf>
    <xf numFmtId="49" fontId="26" fillId="0" borderId="37" xfId="0" applyNumberFormat="1" applyFont="1" applyBorder="1" applyProtection="1">
      <alignment horizontal="center" vertical="center" wrapText="1"/>
    </xf>
    <xf numFmtId="0" fontId="27" fillId="0" borderId="18" xfId="0" applyFont="1" applyBorder="1" applyProtection="1">
      <alignment horizontal="center" vertical="center" wrapText="1"/>
    </xf>
    <xf numFmtId="0" fontId="28" fillId="0" borderId="25" xfId="0" applyFont="1" applyBorder="1" applyProtection="1">
      <alignment horizontal="left" vertical="center" wrapText="1"/>
    </xf>
    <xf numFmtId="0" fontId="28" fillId="0" borderId="38" xfId="0" applyFont="1" applyBorder="1" applyProtection="1">
      <alignment horizontal="left" vertical="center" wrapText="1"/>
    </xf>
    <xf numFmtId="0" fontId="28" fillId="0" borderId="30" xfId="0" applyFont="1" applyBorder="1" applyProtection="1">
      <alignment horizontal="left" vertical="center" wrapText="1"/>
    </xf>
    <xf numFmtId="0" fontId="27" fillId="0" borderId="25" xfId="0" applyFont="1" applyBorder="1" applyProtection="1">
      <alignment horizontal="center" vertical="center" wrapText="1"/>
    </xf>
    <xf numFmtId="49" fontId="28" fillId="0" borderId="25" xfId="0" applyNumberFormat="1" applyFont="1" applyBorder="1" applyProtection="1">
      <alignment horizontal="general" vertical="center" wrapText="1"/>
    </xf>
    <xf numFmtId="49" fontId="28" fillId="0" borderId="38" xfId="0" applyNumberFormat="1" applyFont="1" applyBorder="1" applyProtection="1">
      <alignment horizontal="general" vertical="center" wrapText="1"/>
    </xf>
    <xf numFmtId="49" fontId="28" fillId="0" borderId="30" xfId="0" applyNumberFormat="1" applyFont="1" applyBorder="1" applyProtection="1">
      <alignment horizontal="general" vertical="center" wrapText="1"/>
    </xf>
    <xf numFmtId="0" fontId="6" fillId="0" borderId="0" xfId="0" applyFont="1">
      <alignment horizontal="general" vertical="center" wrapText="1"/>
    </xf>
    <xf numFmtId="0" fontId="27" fillId="0" borderId="1" xfId="0" applyFont="1" applyBorder="1" applyProtection="1">
      <alignment horizontal="center" vertical="center" wrapText="1"/>
    </xf>
    <xf numFmtId="49" fontId="27" fillId="0" borderId="1" xfId="0" applyNumberFormat="1" applyFont="1" applyBorder="1" applyProtection="1">
      <alignment horizontal="center" vertical="center" wrapText="1"/>
    </xf>
    <xf numFmtId="0" fontId="28" fillId="0" borderId="21" xfId="0" applyFont="1" applyBorder="1" applyProtection="1">
      <alignment horizontal="left" vertical="center" wrapText="1"/>
    </xf>
    <xf numFmtId="0" fontId="28" fillId="0" borderId="26" xfId="0" applyFont="1" applyBorder="1" applyProtection="1">
      <alignment horizontal="left" vertical="center" wrapText="1"/>
    </xf>
    <xf numFmtId="0" fontId="28" fillId="0" borderId="37" xfId="0" applyFont="1" applyBorder="1" applyProtection="1">
      <alignment horizontal="left" vertical="center" wrapText="1"/>
    </xf>
    <xf numFmtId="0" fontId="26" fillId="0" borderId="21" xfId="0" applyFont="1" applyBorder="1" applyProtection="1">
      <alignment horizontal="center" vertical="center" wrapText="1"/>
    </xf>
    <xf numFmtId="0" fontId="26" fillId="0" borderId="26" xfId="0" applyFont="1" applyBorder="1" applyProtection="1">
      <alignment horizontal="center" vertical="center" wrapText="1"/>
    </xf>
    <xf numFmtId="0" fontId="26" fillId="0" borderId="37" xfId="0" applyFont="1" applyBorder="1" applyProtection="1">
      <alignment horizontal="center" vertical="center" wrapText="1"/>
    </xf>
    <xf numFmtId="0" fontId="27" fillId="0" borderId="2" xfId="0" applyFont="1" applyBorder="1" applyProtection="1">
      <alignment horizontal="center" vertical="center" wrapText="1"/>
    </xf>
    <xf numFmtId="49" fontId="28" fillId="0" borderId="21" xfId="0" applyNumberFormat="1" applyFont="1" applyBorder="1" applyProtection="1">
      <alignment horizontal="left" vertical="center" wrapText="1"/>
    </xf>
    <xf numFmtId="49" fontId="28" fillId="0" borderId="26" xfId="0" applyNumberFormat="1" applyFont="1" applyBorder="1" applyProtection="1">
      <alignment horizontal="left" vertical="center" wrapText="1"/>
    </xf>
    <xf numFmtId="49" fontId="28" fillId="0" borderId="37" xfId="0" applyNumberFormat="1" applyFont="1" applyBorder="1" applyProtection="1">
      <alignment horizontal="left" vertical="center" wrapText="1"/>
    </xf>
    <xf numFmtId="0" fontId="27" fillId="0" borderId="1" xfId="0" applyFont="1" applyBorder="1" applyProtection="1">
      <alignment horizontal="center" vertical="center"/>
    </xf>
    <xf numFmtId="0" fontId="28" fillId="0" borderId="1" xfId="0" applyFont="1" applyBorder="1" applyProtection="1">
      <alignment horizontal="general" vertical="center" wrapText="1"/>
    </xf>
    <xf numFmtId="0" fontId="17" fillId="0" borderId="1" xfId="0" applyFont="1" applyBorder="1" applyProtection="1">
      <alignment horizontal="general" vertical="center" wrapText="1"/>
    </xf>
    <xf numFmtId="0" fontId="27" fillId="0" borderId="2" xfId="0" applyFont="1" applyBorder="1" applyProtection="1">
      <alignment horizontal="center" vertical="center"/>
    </xf>
    <xf numFmtId="0" fontId="28" fillId="0" borderId="2" xfId="0" applyFont="1" applyBorder="1" applyProtection="1">
      <alignment horizontal="general" vertical="center" wrapText="1"/>
    </xf>
    <xf numFmtId="0" fontId="17" fillId="0" borderId="2" xfId="0" applyFont="1" applyBorder="1" applyProtection="1">
      <alignment horizontal="general" vertical="center" wrapText="1"/>
    </xf>
    <xf numFmtId="0" fontId="4" fillId="0" borderId="1" xfId="0" applyFont="1" applyBorder="1" applyProtection="1">
      <alignment horizontal="general" vertical="center"/>
    </xf>
    <xf numFmtId="0" fontId="29" fillId="0" borderId="1" xfId="0" applyFont="1" applyBorder="1" applyProtection="1">
      <alignment horizontal="general" vertical="center" wrapText="1"/>
    </xf>
    <xf numFmtId="0" fontId="30" fillId="0" borderId="1" xfId="0" applyFont="1" applyBorder="1" applyProtection="1">
      <alignment horizontal="general" vertical="center" wrapText="1"/>
    </xf>
    <xf numFmtId="0" fontId="27" fillId="0" borderId="38" xfId="0" applyFont="1" applyBorder="1" applyProtection="1">
      <alignment horizontal="center" vertical="center"/>
    </xf>
    <xf numFmtId="165" fontId="18" fillId="0" borderId="1" xfId="0" applyNumberFormat="1" applyFont="1" applyBorder="1" applyProtection="1">
      <alignment horizontal="center" vertical="center"/>
    </xf>
    <xf numFmtId="0" fontId="18" fillId="0" borderId="1" xfId="0" applyFont="1" applyBorder="1" applyProtection="1">
      <alignment horizontal="general" vertical="bottom"/>
    </xf>
    <xf numFmtId="166" fontId="18" fillId="0" borderId="1" xfId="0" applyNumberFormat="1" applyFont="1" applyBorder="1" applyProtection="1">
      <alignment horizontal="center" vertical="center"/>
    </xf>
    <xf numFmtId="0" fontId="23" fillId="0" borderId="1" xfId="0" applyFont="1" applyBorder="1" applyProtection="1">
      <alignment horizontal="center" vertical="center"/>
    </xf>
    <xf numFmtId="0" fontId="23" fillId="0" borderId="1" xfId="0" applyFont="1" applyBorder="1" applyProtection="1">
      <alignment horizontal="center" vertical="center" wrapText="1"/>
    </xf>
    <xf numFmtId="165" fontId="23" fillId="0" borderId="1" xfId="0" applyNumberFormat="1" applyFont="1" applyBorder="1" applyProtection="1">
      <alignment horizontal="center" vertical="center"/>
    </xf>
    <xf numFmtId="0" fontId="23" fillId="0" borderId="1" xfId="0" applyFont="1" applyBorder="1" applyProtection="1">
      <alignment horizontal="general" vertical="bottom"/>
    </xf>
    <xf numFmtId="0" fontId="6" fillId="0" borderId="21" xfId="0" applyFont="1" applyBorder="1" applyProtection="1">
      <alignment horizontal="left" vertical="top" wrapText="1"/>
    </xf>
    <xf numFmtId="0" fontId="6" fillId="0" borderId="26" xfId="0" applyFont="1" applyBorder="1" applyProtection="1">
      <alignment horizontal="left" vertical="top" wrapText="1"/>
    </xf>
    <xf numFmtId="0" fontId="6" fillId="0" borderId="37" xfId="0" applyFont="1" applyBorder="1" applyProtection="1">
      <alignment horizontal="left" vertical="top" wrapText="1"/>
    </xf>
    <xf numFmtId="0" fontId="18" fillId="0" borderId="0" xfId="0" applyFont="1">
      <alignment horizontal="center" vertical="bottom"/>
    </xf>
    <xf numFmtId="165" fontId="23" fillId="4" borderId="1" xfId="0" applyNumberFormat="1" applyFont="1" applyFill="1" applyBorder="1" applyProtection="1">
      <alignment horizontal="center" vertical="center"/>
    </xf>
    <xf numFmtId="0" fontId="4" fillId="0" borderId="0" xfId="0" applyFont="1">
      <alignment horizontal="general" vertical="center" wrapText="1"/>
    </xf>
    <xf numFmtId="0" fontId="31" fillId="0" borderId="1" xfId="0" applyFont="1" applyBorder="1" applyProtection="1">
      <alignment horizontal="center" vertical="center" wrapText="1"/>
    </xf>
    <xf numFmtId="0" fontId="32" fillId="0" borderId="1" xfId="0" applyFont="1" applyBorder="1" applyProtection="1">
      <alignment horizontal="left" vertical="center" wrapText="1"/>
    </xf>
    <xf numFmtId="0" fontId="33" fillId="0" borderId="1" xfId="0" applyFont="1" applyBorder="1" applyProtection="1">
      <alignment horizontal="left" vertical="center" wrapText="1"/>
    </xf>
    <xf numFmtId="0" fontId="34" fillId="0" borderId="1" xfId="0" applyFont="1" applyBorder="1" applyProtection="1">
      <alignment horizontal="left" vertical="center" wrapText="1"/>
    </xf>
    <xf numFmtId="0" fontId="35" fillId="0" borderId="1" xfId="0" applyFont="1" applyBorder="1" applyProtection="1">
      <alignment horizontal="left" vertical="center" wrapText="1"/>
    </xf>
    <xf numFmtId="0" fontId="36" fillId="0" borderId="1" xfId="0" applyFont="1" applyBorder="1" applyProtection="1">
      <alignment horizontal="left" vertical="center" wrapText="1"/>
    </xf>
    <xf numFmtId="0" fontId="37" fillId="0" borderId="1" xfId="0" applyFont="1" applyBorder="1" applyProtection="1">
      <alignment horizontal="left" vertical="center" wrapText="1"/>
    </xf>
    <xf numFmtId="0" fontId="38" fillId="0" borderId="1" xfId="0" applyFont="1" applyBorder="1" applyProtection="1">
      <alignment horizontal="left" vertical="center" wrapText="1"/>
    </xf>
    <xf numFmtId="0" fontId="39" fillId="0" borderId="1" xfId="0" applyFont="1" applyBorder="1" applyProtection="1">
      <alignment horizontal="left" vertical="center" wrapText="1"/>
    </xf>
    <xf numFmtId="0" fontId="40" fillId="0" borderId="1" xfId="0" applyFont="1" applyBorder="1" applyProtection="1">
      <alignment horizontal="left" vertical="center" wrapText="1"/>
    </xf>
    <xf numFmtId="0" fontId="41" fillId="0" borderId="1" xfId="0" applyFont="1" applyBorder="1" applyProtection="1">
      <alignment horizontal="left" vertical="center" wrapText="1"/>
    </xf>
    <xf numFmtId="0" fontId="42" fillId="0" borderId="1" xfId="0" applyFont="1" applyBorder="1" applyProtection="1">
      <alignment horizontal="left" vertical="center" wrapText="1"/>
    </xf>
    <xf numFmtId="0" fontId="43" fillId="0" borderId="1" xfId="0" applyFont="1" applyBorder="1" applyProtection="1">
      <alignment horizontal="left" vertical="center" wrapText="1"/>
    </xf>
    <xf numFmtId="0" fontId="44" fillId="0" borderId="1" xfId="0" applyFont="1" applyBorder="1" applyProtection="1">
      <alignment horizontal="left" vertical="center" wrapText="1"/>
    </xf>
    <xf numFmtId="0" fontId="45" fillId="0" borderId="1" xfId="0" applyFont="1" applyBorder="1" applyProtection="1">
      <alignment horizontal="left" vertical="center" wrapText="1"/>
    </xf>
    <xf numFmtId="0" fontId="46" fillId="0" borderId="1" xfId="0" applyFont="1" applyBorder="1" applyProtection="1">
      <alignment horizontal="left" vertical="center" wrapText="1"/>
    </xf>
    <xf numFmtId="0" fontId="47" fillId="0" borderId="1" xfId="0" applyFont="1" applyBorder="1" applyProtection="1">
      <alignment horizontal="left" vertical="center" wrapText="1"/>
    </xf>
    <xf numFmtId="0" fontId="48" fillId="0" borderId="1" xfId="0" applyFont="1" applyBorder="1" applyProtection="1">
      <alignment horizontal="left" vertical="center" wrapText="1"/>
    </xf>
    <xf numFmtId="0" fontId="49" fillId="0" borderId="1" xfId="0" applyFont="1" applyBorder="1" applyProtection="1">
      <alignment horizontal="left" vertical="center" wrapText="1"/>
    </xf>
    <xf numFmtId="0" fontId="50" fillId="0" borderId="1" xfId="0" applyFont="1" applyBorder="1" applyProtection="1">
      <alignment horizontal="left" vertical="center" wrapText="1"/>
    </xf>
    <xf numFmtId="0" fontId="51" fillId="0" borderId="1" xfId="0" applyFont="1" applyBorder="1" applyProtection="1">
      <alignment horizontal="left" vertical="center" wrapText="1"/>
    </xf>
    <xf numFmtId="0" fontId="52" fillId="0" borderId="1" xfId="0" applyFont="1" applyBorder="1" applyProtection="1">
      <alignment horizontal="left" vertical="center" wrapText="1"/>
    </xf>
    <xf numFmtId="0" fontId="53" fillId="0" borderId="1" xfId="0" applyFont="1" applyBorder="1" applyProtection="1">
      <alignment horizontal="left" vertical="center" wrapText="1"/>
    </xf>
    <xf numFmtId="0" fontId="54" fillId="0" borderId="1" xfId="0" applyFont="1" applyBorder="1" applyProtection="1">
      <alignment horizontal="left" vertical="center" wrapText="1"/>
    </xf>
    <xf numFmtId="0" fontId="55" fillId="0" borderId="1" xfId="0" applyFont="1" applyBorder="1" applyProtection="1">
      <alignment horizontal="left" vertical="center" wrapText="1"/>
    </xf>
    <xf numFmtId="0" fontId="56" fillId="0" borderId="1" xfId="0" applyFont="1" applyBorder="1" applyProtection="1">
      <alignment horizontal="left" vertical="center" wrapText="1"/>
    </xf>
    <xf numFmtId="0" fontId="57" fillId="0" borderId="1" xfId="0" applyFont="1" applyBorder="1" applyProtection="1">
      <alignment horizontal="left" vertical="center" wrapText="1"/>
    </xf>
    <xf numFmtId="0" fontId="58" fillId="0" borderId="1" xfId="0" applyFont="1" applyBorder="1" applyProtection="1">
      <alignment horizontal="left" vertical="center" wrapText="1"/>
    </xf>
    <xf numFmtId="0" fontId="59" fillId="0" borderId="1" xfId="0" applyFont="1" applyBorder="1" applyProtection="1">
      <alignment horizontal="left" vertical="center" wrapText="1"/>
    </xf>
    <xf numFmtId="0" fontId="60" fillId="0" borderId="1" xfId="0" applyFont="1" applyBorder="1" applyProtection="1">
      <alignment horizontal="left" vertical="center" wrapText="1"/>
    </xf>
    <xf numFmtId="0" fontId="61" fillId="0" borderId="1" xfId="0" applyFont="1" applyBorder="1" applyProtection="1">
      <alignment horizontal="left" vertical="center" wrapText="1"/>
    </xf>
    <xf numFmtId="0" fontId="62" fillId="0" borderId="1" xfId="0" applyFont="1" applyBorder="1" applyProtection="1">
      <alignment horizontal="left" vertical="center" wrapText="1"/>
    </xf>
    <xf numFmtId="0" fontId="63" fillId="0" borderId="1" xfId="0" applyFont="1" applyBorder="1" applyProtection="1">
      <alignment horizontal="left" vertical="center" wrapText="1"/>
    </xf>
    <xf numFmtId="0" fontId="64" fillId="0" borderId="1" xfId="0" applyFont="1" applyBorder="1" applyProtection="1">
      <alignment horizontal="left" vertical="center" wrapText="1"/>
    </xf>
    <xf numFmtId="0" fontId="65" fillId="0" borderId="1" xfId="0" applyFont="1" applyBorder="1" applyProtection="1">
      <alignment horizontal="left" vertical="center" wrapText="1"/>
    </xf>
    <xf numFmtId="0" fontId="66" fillId="0" borderId="1" xfId="0" applyFont="1" applyBorder="1" applyProtection="1">
      <alignment horizontal="left" vertical="center" wrapText="1"/>
    </xf>
    <xf numFmtId="0" fontId="67" fillId="0" borderId="1" xfId="0" applyFont="1" applyBorder="1" applyProtection="1">
      <alignment horizontal="left" vertical="center" wrapText="1"/>
    </xf>
    <xf numFmtId="0" fontId="68" fillId="0" borderId="1" xfId="0" applyFont="1" applyBorder="1" applyProtection="1">
      <alignment horizontal="left" vertical="center" wrapText="1"/>
    </xf>
    <xf numFmtId="0" fontId="69" fillId="0" borderId="1" xfId="0" applyFont="1" applyBorder="1" applyProtection="1">
      <alignment horizontal="left" vertical="center" wrapText="1"/>
    </xf>
    <xf numFmtId="0" fontId="70" fillId="0" borderId="2" xfId="0" applyFont="1" applyBorder="1" applyProtection="1">
      <alignment horizontal="left" vertical="center" wrapText="1"/>
    </xf>
    <xf numFmtId="0" fontId="71" fillId="0" borderId="1" xfId="0" applyFont="1" applyBorder="1" applyProtection="1">
      <alignment horizontal="left" vertical="center" wrapText="1"/>
    </xf>
    <xf numFmtId="0" fontId="72" fillId="0" borderId="1" xfId="0" applyFont="1" applyBorder="1" applyProtection="1">
      <alignment horizontal="left" vertical="center" wrapText="1"/>
    </xf>
    <xf numFmtId="0" fontId="73" fillId="0" borderId="1" xfId="0" applyFont="1" applyBorder="1" applyProtection="1">
      <alignment horizontal="left" vertical="center" wrapText="1"/>
    </xf>
    <xf numFmtId="0" fontId="74" fillId="0" borderId="1" xfId="0" applyFont="1" applyBorder="1" applyProtection="1">
      <alignment horizontal="left" vertical="center" wrapText="1"/>
    </xf>
    <xf numFmtId="0" fontId="75" fillId="0" borderId="1" xfId="0" applyFont="1" applyBorder="1" applyProtection="1">
      <alignment horizontal="left" vertical="center" wrapText="1"/>
    </xf>
    <xf numFmtId="0" fontId="76" fillId="0" borderId="1" xfId="0" applyFont="1" applyBorder="1" applyProtection="1">
      <alignment horizontal="left" vertical="center" wrapText="1"/>
    </xf>
    <xf numFmtId="0" fontId="77" fillId="0" borderId="1" xfId="0" applyFont="1" applyBorder="1" applyProtection="1">
      <alignment horizontal="left" vertical="center" wrapText="1"/>
    </xf>
    <xf numFmtId="0" fontId="78" fillId="0" borderId="1" xfId="0" applyFont="1" applyBorder="1" applyProtection="1">
      <alignment horizontal="left" vertical="center" wrapText="1"/>
    </xf>
    <xf numFmtId="0" fontId="79" fillId="0" borderId="1" xfId="0" applyFont="1" applyBorder="1" applyProtection="1">
      <alignment horizontal="left" vertical="center" wrapText="1"/>
    </xf>
    <xf numFmtId="0" fontId="80" fillId="0" borderId="1" xfId="0" applyFont="1" applyBorder="1" applyProtection="1">
      <alignment horizontal="left" vertical="center" wrapText="1"/>
    </xf>
    <xf numFmtId="0" fontId="81" fillId="0" borderId="1" xfId="0" applyFont="1" applyBorder="1" applyProtection="1">
      <alignment horizontal="left" vertical="center" wrapText="1"/>
    </xf>
    <xf numFmtId="0" fontId="82" fillId="0" borderId="1" xfId="0" applyFont="1" applyBorder="1" applyProtection="1">
      <alignment horizontal="left" vertical="center" wrapText="1"/>
    </xf>
    <xf numFmtId="0" fontId="83" fillId="0" borderId="1" xfId="0" applyFont="1" applyBorder="1" applyProtection="1">
      <alignment horizontal="left" vertical="center" wrapText="1"/>
    </xf>
    <xf numFmtId="0" fontId="84" fillId="0" borderId="1" xfId="0" applyFont="1" applyBorder="1" applyProtection="1">
      <alignment horizontal="left" vertical="center" wrapText="1"/>
    </xf>
    <xf numFmtId="0" fontId="85" fillId="0" borderId="1" xfId="0" applyFont="1" applyBorder="1" applyProtection="1">
      <alignment horizontal="left" vertical="center" wrapText="1"/>
    </xf>
    <xf numFmtId="0" fontId="86" fillId="0" borderId="1" xfId="0" applyFont="1" applyBorder="1" applyProtection="1">
      <alignment horizontal="left" vertical="center" wrapText="1"/>
    </xf>
    <xf numFmtId="0" fontId="87" fillId="0" borderId="1" xfId="0" applyFont="1" applyBorder="1" applyProtection="1">
      <alignment horizontal="left" vertical="center" wrapText="1"/>
    </xf>
    <xf numFmtId="0" fontId="88" fillId="0" borderId="1" xfId="0" applyFont="1" applyBorder="1" applyProtection="1">
      <alignment horizontal="left" vertical="center" wrapText="1"/>
    </xf>
    <xf numFmtId="0" fontId="89" fillId="0" borderId="2" xfId="0" applyFont="1" applyBorder="1" applyProtection="1">
      <alignment horizontal="center" vertical="center" wrapText="1"/>
    </xf>
    <xf numFmtId="0" fontId="90" fillId="0" borderId="16" xfId="0" applyFont="1" applyBorder="1" applyProtection="1">
      <alignment horizontal="center" vertical="center" wrapText="1"/>
    </xf>
  </cellXfs>
  <cellStyles count="2">
    <cellStyle name="常规" xfId="0" builtinId="0"/>
    <cellStyle name="超链接" xfId="1" builtinId="8"/>
  </cellStyle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 Type="http://schemas.openxmlformats.org/officeDocument/2006/relationships/worksheet" Target="worksheets/sheet1.xml"/><Relationship Id="rId5" Type="http://schemas.openxmlformats.org/officeDocument/2006/relationships/worksheet" Target="worksheets/sheet5.xml"/><Relationship Id="rId8" Type="http://schemas.openxmlformats.org/officeDocument/2006/relationships/worksheet" Target="worksheets/sheet8.xml"/><Relationship Id="rId2" Type="http://schemas.openxmlformats.org/officeDocument/2006/relationships/worksheet" Target="worksheets/sheet2.xml"/><Relationship Id="rId11" Type="http://schemas.openxmlformats.org/officeDocument/2006/relationships/theme" Target="theme/theme1.xml"/><Relationship Id="rId10" Type="http://schemas.openxmlformats.org/officeDocument/2006/relationships/styles" Target="styles.xml"/><Relationship Id="rId7" Type="http://schemas.openxmlformats.org/officeDocument/2006/relationships/worksheet" Target="worksheets/sheet7.xml"/><Relationship Id="rId9" Type="http://schemas.openxmlformats.org/officeDocument/2006/relationships/sharedStrings" Target="sharedStrings.xml"/><Relationship Id="rId6" Type="http://schemas.openxmlformats.org/officeDocument/2006/relationships/worksheet" Target="worksheets/sheet6.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dr:oneCellAnchor>
    <xdr:from>
      <xdr:col>0</xdr:col>
      <xdr:colOff>635</xdr:colOff>
      <xdr:row>0</xdr:row>
      <xdr:rowOff>635</xdr:rowOff>
    </xdr:from>
    <xdr:ext cx="1388745" cy="295910"/>
    <xdr:pic>
      <xdr:nvPicPr>
        <xdr:cNvPr id="1" name="图片 1"/>
        <xdr:cNvPicPr/>
      </xdr:nvPicPr>
      <xdr:blipFill>
        <a:blip r:embed="rId1"/>
        <a:stretch>
          <a:fillRect/>
        </a:stretch>
      </xdr:blipFill>
      <xdr:spPr>
        <a:xfrm>
          <a:off x="635" y="635"/>
          <a:ext cx="1388745" cy="295910"/>
        </a:xfrm>
        <a:prstGeom prst="rect"/>
      </xdr:spPr>
    </xdr:pic>
    <xdr:clientData/>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dr:oneCellAnchor>
    <xdr:from>
      <xdr:col>0</xdr:col>
      <xdr:colOff>635</xdr:colOff>
      <xdr:row>0</xdr:row>
      <xdr:rowOff>635</xdr:rowOff>
    </xdr:from>
    <xdr:ext cx="1388745" cy="295910"/>
    <xdr:pic>
      <xdr:nvPicPr>
        <xdr:cNvPr id="1" name="图片 1"/>
        <xdr:cNvPicPr/>
      </xdr:nvPicPr>
      <xdr:blipFill>
        <a:blip r:embed="rId1"/>
        <a:stretch>
          <a:fillRect/>
        </a:stretch>
      </xdr:blipFill>
      <xdr:spPr>
        <a:xfrm>
          <a:off x="635" y="635"/>
          <a:ext cx="1388745" cy="295910"/>
        </a:xfrm>
        <a:prstGeom prst="rect"/>
      </xdr:spPr>
    </xdr:pic>
    <xdr:clientData/>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dr:oneCellAnchor>
    <xdr:from>
      <xdr:col>0</xdr:col>
      <xdr:colOff>635</xdr:colOff>
      <xdr:row>0</xdr:row>
      <xdr:rowOff>635</xdr:rowOff>
    </xdr:from>
    <xdr:ext cx="1388745" cy="295910"/>
    <xdr:pic>
      <xdr:nvPicPr>
        <xdr:cNvPr id="1" name="图片 1"/>
        <xdr:cNvPicPr/>
      </xdr:nvPicPr>
      <xdr:blipFill>
        <a:blip r:embed="rId1"/>
        <a:stretch>
          <a:fillRect/>
        </a:stretch>
      </xdr:blipFill>
      <xdr:spPr>
        <a:xfrm>
          <a:off x="635" y="635"/>
          <a:ext cx="1388745" cy="295910"/>
        </a:xfrm>
        <a:prstGeom prst="rect"/>
      </xdr:spPr>
    </xdr:pic>
    <xdr:clientData/>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dr:oneCellAnchor>
    <xdr:from>
      <xdr:col>0</xdr:col>
      <xdr:colOff>9525</xdr:colOff>
      <xdr:row>0</xdr:row>
      <xdr:rowOff>9525</xdr:rowOff>
    </xdr:from>
    <xdr:ext cx="1388745" cy="295910"/>
    <xdr:pic>
      <xdr:nvPicPr>
        <xdr:cNvPr id="1" name="图片 1"/>
        <xdr:cNvPicPr/>
      </xdr:nvPicPr>
      <xdr:blipFill>
        <a:blip r:embed="rId1"/>
        <a:stretch>
          <a:fillRect/>
        </a:stretch>
      </xdr:blipFill>
      <xdr:spPr>
        <a:xfrm>
          <a:off x="9525" y="9525"/>
          <a:ext cx="1388745" cy="295910"/>
        </a:xfrm>
        <a:prstGeom prst="rect"/>
      </xdr:spPr>
    </xdr:pic>
    <xdr:clientData/>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dr:oneCellAnchor>
    <xdr:from>
      <xdr:col>0</xdr:col>
      <xdr:colOff>635</xdr:colOff>
      <xdr:row>0</xdr:row>
      <xdr:rowOff>635</xdr:rowOff>
    </xdr:from>
    <xdr:ext cx="1388745" cy="295910"/>
    <xdr:pic>
      <xdr:nvPicPr>
        <xdr:cNvPr id="1" name="图片 1"/>
        <xdr:cNvPicPr/>
      </xdr:nvPicPr>
      <xdr:blipFill>
        <a:blip r:embed="rId1"/>
        <a:stretch>
          <a:fillRect/>
        </a:stretch>
      </xdr:blipFill>
      <xdr:spPr>
        <a:xfrm>
          <a:off x="635" y="635"/>
          <a:ext cx="1388745" cy="295910"/>
        </a:xfrm>
        <a:prstGeom prst="rect"/>
      </xdr:spPr>
    </xdr:pic>
    <xdr:clientData/>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dr:oneCellAnchor>
    <xdr:from>
      <xdr:col>0</xdr:col>
      <xdr:colOff>0</xdr:colOff>
      <xdr:row>0</xdr:row>
      <xdr:rowOff>0</xdr:rowOff>
    </xdr:from>
    <xdr:ext cx="1228503" cy="167641"/>
    <xdr:pic>
      <xdr:nvPicPr>
        <xdr:cNvPr id="1" name="图片 1"/>
        <xdr:cNvPicPr/>
      </xdr:nvPicPr>
      <xdr:blipFill>
        <a:blip r:embed="rId1"/>
        <a:stretch>
          <a:fillRect/>
        </a:stretch>
      </xdr:blipFill>
      <xdr:spPr>
        <a:xfrm>
          <a:off x="0" y="0"/>
          <a:ext cx="1228503" cy="167641"/>
        </a:xfrm>
        <a:prstGeom prst="rect"/>
      </xdr:spPr>
    </xdr:pic>
    <xdr:clientData/>
  </xdr:oneCellAnchor>
  <xdr:oneCellAnchor>
    <xdr:from>
      <xdr:col>0</xdr:col>
      <xdr:colOff>0</xdr:colOff>
      <xdr:row>0</xdr:row>
      <xdr:rowOff>0</xdr:rowOff>
    </xdr:from>
    <xdr:ext cx="1232248" cy="167641"/>
    <xdr:pic>
      <xdr:nvPicPr>
        <xdr:cNvPr id="1" name="图片 1"/>
        <xdr:cNvPicPr/>
      </xdr:nvPicPr>
      <xdr:blipFill>
        <a:blip r:embed="rId1"/>
        <a:stretch>
          <a:fillRect/>
        </a:stretch>
      </xdr:blipFill>
      <xdr:spPr>
        <a:xfrm>
          <a:off x="0" y="0"/>
          <a:ext cx="1232248" cy="167641"/>
        </a:xfrm>
        <a:prstGeom prst="rect"/>
      </xdr:spPr>
    </xdr:pic>
    <xdr:clientData/>
  </xdr:oneCellAnchor>
  <xdr:oneCellAnchor>
    <xdr:from>
      <xdr:col>0</xdr:col>
      <xdr:colOff>0</xdr:colOff>
      <xdr:row>0</xdr:row>
      <xdr:rowOff>1</xdr:rowOff>
    </xdr:from>
    <xdr:ext cx="1413510" cy="171450"/>
    <xdr:pic>
      <xdr:nvPicPr>
        <xdr:cNvPr id="2" name="图片 2"/>
        <xdr:cNvPicPr/>
      </xdr:nvPicPr>
      <xdr:blipFill>
        <a:blip r:embed="rId2"/>
        <a:stretch>
          <a:fillRect/>
        </a:stretch>
      </xdr:blipFill>
      <xdr:spPr>
        <a:xfrm>
          <a:off x="0" y="0"/>
          <a:ext cx="1413510" cy="171450"/>
        </a:xfrm>
        <a:prstGeom prst="rect"/>
      </xdr:spPr>
    </xdr:pic>
    <xdr:clientData/>
  </xdr:one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 Id="rId2" Type="http://schemas.openxmlformats.org/officeDocument/2006/relationships/comments" Target="../comments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tabColor rgb="FF00B050"/>
    <outlinePr summaryBelow="0" summaryRight="0"/>
  </sheetPr>
  <dimension ref="A1"/>
  <sheetViews>
    <sheetView workbookViewId="0" tabSelected="1"/>
  </sheetViews>
  <sheetFormatPr baseColWidth="10" defaultColWidth="9" defaultRowHeight="13.5" customHeight="1"/>
  <cols>
    <col min="2" max="2" width="28.998046875" customWidth="1" style="99"/>
    <col min="3" max="3" width="15.1640625" customWidth="1" style="99"/>
    <col min="4" max="5" width="19.998046875" customWidth="1" style="99"/>
    <col min="6" max="6" width="21.9990234375" customWidth="1" style="99"/>
  </cols>
  <sheetData>
    <row r="1" ht="38" customHeight="1">
      <c r="A1" s="98" t="s">
        <v>0</v>
      </c>
    </row>
    <row r="2" ht="33" customHeight="1">
      <c r="A2" s="182" t="s">
        <v>1</v>
      </c>
      <c r="B2" s="182"/>
      <c r="C2" s="182"/>
      <c r="D2" s="182"/>
      <c r="E2" s="182"/>
      <c r="F2" s="182"/>
    </row>
    <row r="3" ht="21" customHeight="1">
      <c r="A3" s="116" t="s">
        <v>2</v>
      </c>
      <c r="B3" s="116" t="s">
        <v>3</v>
      </c>
      <c r="C3" s="116" t="s">
        <v>4</v>
      </c>
      <c r="D3" s="116" t="s">
        <v>5</v>
      </c>
      <c r="E3" s="116" t="s">
        <v>6</v>
      </c>
      <c r="F3" s="116" t="s">
        <v>7</v>
      </c>
    </row>
    <row r="4" ht="21" customHeight="1">
      <c r="A4" s="116" t="n">
        <v>1</v>
      </c>
      <c r="B4" s="116" t="s">
        <v>8</v>
      </c>
      <c r="C4" s="116"/>
      <c r="D4" s="183"/>
      <c r="E4" s="183"/>
      <c r="F4" s="184"/>
    </row>
    <row r="5" ht="21" customHeight="1">
      <c r="A5" s="116" t="n">
        <v>2</v>
      </c>
      <c r="B5" s="185" t="s">
        <v>9</v>
      </c>
      <c r="C5" s="185"/>
      <c r="D5" s="183"/>
      <c r="E5" s="183"/>
      <c r="F5" s="184"/>
    </row>
    <row r="6" ht="21" customHeight="1">
      <c r="A6" s="186" t="n">
        <v>3</v>
      </c>
      <c r="B6" s="187" t="s">
        <v>10</v>
      </c>
      <c r="C6" s="187"/>
      <c r="D6" s="194" t="n">
        <f>SUM(D4:D5)</f>
        <v>0</v>
      </c>
      <c r="E6" s="188"/>
      <c r="F6" s="189"/>
    </row>
    <row r="7" ht="22" customHeight="1">
      <c r="D7" s="99" t="s">
        <v>11</v>
      </c>
    </row>
    <row r="9" ht="13.5" customHeight="1">
      <c r="B9" s="193"/>
    </row>
  </sheetData>
  <mergeCells count="1">
    <mergeCell ref="A2:F2"/>
  </mergeCells>
  <phoneticPr fontId="1"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tabColor rgb="FFFFC000"/>
    <outlinePr summaryBelow="0" summaryRight="0"/>
  </sheetPr>
  <dimension ref="A1"/>
  <sheetViews>
    <sheetView workbookViewId="0"/>
  </sheetViews>
  <sheetFormatPr baseColWidth="10" defaultColWidth="9" defaultRowHeight="13.5" customHeight="1"/>
  <cols>
    <col min="2" max="2" width="50.1650390625" customWidth="1" style="99"/>
    <col min="3" max="3" width="15.1640625" customWidth="1" style="99"/>
    <col min="4" max="4" width="19.998046875" customWidth="1" style="99"/>
    <col min="5" max="5" width="21.9990234375" customWidth="1" style="99"/>
  </cols>
  <sheetData>
    <row r="1" ht="38" customHeight="1">
      <c r="A1" s="98" t="s">
        <v>0</v>
      </c>
    </row>
    <row r="2" ht="33" customHeight="1">
      <c r="A2" s="182" t="s">
        <v>12</v>
      </c>
      <c r="B2" s="182"/>
      <c r="C2" s="182"/>
      <c r="D2" s="182"/>
      <c r="E2" s="182"/>
    </row>
    <row r="3" ht="21" customHeight="1">
      <c r="A3" s="116" t="s">
        <v>2</v>
      </c>
      <c r="B3" s="116" t="s">
        <v>3</v>
      </c>
      <c r="C3" s="116" t="s">
        <v>4</v>
      </c>
      <c r="D3" s="116" t="s">
        <v>5</v>
      </c>
      <c r="E3" s="116" t="s">
        <v>7</v>
      </c>
    </row>
    <row r="4" ht="21" customHeight="1">
      <c r="A4" s="116" t="n">
        <v>1</v>
      </c>
      <c r="B4" s="116" t="s">
        <v>13</v>
      </c>
      <c r="C4" s="116"/>
      <c r="D4" s="183"/>
      <c r="E4" s="184"/>
    </row>
    <row r="5" ht="21" customHeight="1">
      <c r="A5" s="116" t="n">
        <v>2</v>
      </c>
      <c r="B5" s="185" t="s">
        <v>14</v>
      </c>
      <c r="C5" s="185"/>
      <c r="D5" s="183"/>
      <c r="E5" s="184"/>
    </row>
    <row r="6" ht="21" customHeight="1">
      <c r="A6" s="116" t="n">
        <v>3</v>
      </c>
      <c r="B6" s="116" t="s">
        <v>15</v>
      </c>
      <c r="C6" s="116"/>
      <c r="D6" s="183"/>
      <c r="E6" s="184"/>
    </row>
    <row r="7" ht="21" customHeight="1">
      <c r="A7" s="186" t="n">
        <v>4</v>
      </c>
      <c r="B7" s="187" t="s">
        <v>16</v>
      </c>
      <c r="C7" s="187"/>
      <c r="D7" s="188" t="n">
        <f>SUM(D4:D6)</f>
        <v>0</v>
      </c>
      <c r="E7" s="189"/>
    </row>
    <row r="8" ht="77.00000000000001" customHeight="1">
      <c r="A8" s="190" t="s">
        <v>17</v>
      </c>
      <c r="B8" s="191"/>
      <c r="C8" s="191"/>
      <c r="D8" s="191"/>
      <c r="E8" s="192"/>
    </row>
    <row r="10" ht="13.5" customHeight="1">
      <c r="B10" s="193"/>
    </row>
  </sheetData>
  <mergeCells count="2">
    <mergeCell ref="A8:E8"/>
    <mergeCell ref="A2:E2"/>
  </mergeCells>
  <phoneticPr fontId="1"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tabColor rgb="FFFFC000"/>
    <outlinePr summaryBelow="0" summaryRight="0"/>
  </sheetPr>
  <dimension ref="A1"/>
  <sheetViews>
    <sheetView workbookViewId="0"/>
  </sheetViews>
  <sheetFormatPr baseColWidth="10" defaultColWidth="9.9990234375" defaultRowHeight="16.5" customHeight="1"/>
  <cols>
    <col min="1" max="1" width="22.5" customWidth="1" style="145"/>
    <col min="2" max="2" width="19.8310546875" customWidth="1" style="27"/>
    <col min="5" max="5" width="23.666015625" customWidth="1" style="27"/>
    <col min="6" max="6" width="44.666015625" customWidth="1" style="27"/>
    <col min="7" max="8" width="23.1650390625" customWidth="1" style="25"/>
    <col min="9" max="9" width="61.3330078125" customWidth="1" style="25"/>
  </cols>
  <sheetData>
    <row r="1" s="97" customFormat="1" ht="38" customHeight="1">
      <c r="A1" s="98" t="s">
        <v>0</v>
      </c>
      <c r="B1" s="99"/>
      <c r="C1" s="99"/>
      <c r="D1" s="99"/>
      <c r="E1" s="99"/>
    </row>
    <row r="2" ht="43" customHeight="1">
      <c r="A2" s="146" t="s">
        <v>18</v>
      </c>
      <c r="B2" s="146"/>
      <c r="C2" s="146"/>
      <c r="D2" s="146"/>
      <c r="E2" s="146"/>
      <c r="F2" s="146"/>
    </row>
    <row r="3" ht="43" customHeight="1">
      <c r="A3" s="147" t="s">
        <v>19</v>
      </c>
      <c r="B3" s="148" t="s">
        <v>20</v>
      </c>
      <c r="C3" s="148"/>
      <c r="D3" s="148"/>
      <c r="E3" s="148"/>
      <c r="F3" s="148"/>
    </row>
    <row r="4" ht="46.15" customHeight="1">
      <c r="A4" s="149" t="s">
        <v>21</v>
      </c>
      <c r="B4" s="150"/>
      <c r="C4" s="150"/>
      <c r="D4" s="150"/>
      <c r="E4" s="150"/>
      <c r="F4" s="151"/>
    </row>
    <row r="5" ht="42" customHeight="1">
      <c r="A5" s="152" t="s">
        <v>22</v>
      </c>
      <c r="B5" s="153" t="s">
        <v>23</v>
      </c>
      <c r="C5" s="154"/>
      <c r="D5" s="154"/>
      <c r="E5" s="154"/>
      <c r="F5" s="155"/>
    </row>
    <row r="6" s="97" customFormat="1" ht="46.15" customHeight="1">
      <c r="A6" s="152"/>
      <c r="B6" s="153" t="s">
        <v>24</v>
      </c>
      <c r="C6" s="154"/>
      <c r="D6" s="154"/>
      <c r="E6" s="154"/>
      <c r="F6" s="155"/>
      <c r="G6" s="25"/>
      <c r="H6" s="25"/>
      <c r="I6" s="25"/>
    </row>
    <row r="7" s="97" customFormat="1" ht="37" customHeight="1">
      <c r="A7" s="152"/>
      <c r="B7" s="153" t="s">
        <v>25</v>
      </c>
      <c r="C7" s="154"/>
      <c r="D7" s="154"/>
      <c r="E7" s="154"/>
      <c r="F7" s="155"/>
      <c r="G7" s="25"/>
      <c r="H7" s="25"/>
      <c r="I7" s="25"/>
    </row>
    <row r="8" ht="78.99999999999999" customHeight="1">
      <c r="A8" s="156"/>
      <c r="B8" s="157" t="s">
        <v>26</v>
      </c>
      <c r="C8" s="158"/>
      <c r="D8" s="158"/>
      <c r="E8" s="158"/>
      <c r="F8" s="159"/>
      <c r="I8" s="160"/>
    </row>
    <row r="9" ht="68.00000000000001" customHeight="1">
      <c r="A9" s="161" t="s">
        <v>27</v>
      </c>
      <c r="B9" s="157" t="s">
        <v>28</v>
      </c>
      <c r="C9" s="158"/>
      <c r="D9" s="158"/>
      <c r="E9" s="158"/>
      <c r="F9" s="159"/>
      <c r="I9" s="27"/>
    </row>
    <row r="10" ht="55" customHeight="1">
      <c r="A10" s="162" t="s">
        <v>29</v>
      </c>
      <c r="B10" s="163" t="s">
        <v>30</v>
      </c>
      <c r="C10" s="164"/>
      <c r="D10" s="164"/>
      <c r="E10" s="164"/>
      <c r="F10" s="165"/>
      <c r="I10" s="160"/>
    </row>
    <row r="11" s="97" customFormat="1" ht="46.15" customHeight="1">
      <c r="A11" s="166" t="s">
        <v>31</v>
      </c>
      <c r="B11" s="167"/>
      <c r="C11" s="167"/>
      <c r="D11" s="167"/>
      <c r="E11" s="167"/>
      <c r="F11" s="168"/>
      <c r="G11" s="25"/>
      <c r="H11" s="25"/>
      <c r="I11" s="25"/>
    </row>
    <row r="12" ht="47" customHeight="1">
      <c r="A12" s="161" t="s">
        <v>32</v>
      </c>
      <c r="B12" s="163" t="s">
        <v>33</v>
      </c>
      <c r="C12" s="164"/>
      <c r="D12" s="164"/>
      <c r="E12" s="164"/>
      <c r="F12" s="165"/>
      <c r="I12" s="160"/>
    </row>
    <row r="13" ht="46.9" customHeight="1">
      <c r="A13" s="169" t="s">
        <v>34</v>
      </c>
      <c r="B13" s="170" t="s">
        <v>35</v>
      </c>
      <c r="C13" s="171"/>
      <c r="D13" s="171"/>
      <c r="E13" s="171"/>
      <c r="F13" s="172"/>
    </row>
    <row r="14" ht="48" customHeight="1">
      <c r="A14" s="169" t="s">
        <v>36</v>
      </c>
      <c r="B14" s="170" t="s">
        <v>37</v>
      </c>
      <c r="C14" s="171"/>
      <c r="D14" s="171"/>
      <c r="E14" s="171"/>
      <c r="F14" s="172"/>
    </row>
    <row r="15" s="97" customFormat="1" ht="46.15" customHeight="1">
      <c r="A15" s="166" t="s">
        <v>38</v>
      </c>
      <c r="B15" s="167"/>
      <c r="C15" s="167"/>
      <c r="D15" s="167"/>
      <c r="E15" s="167"/>
      <c r="F15" s="168"/>
      <c r="G15" s="25"/>
      <c r="H15" s="25"/>
      <c r="I15" s="25"/>
    </row>
    <row r="16" ht="52.9" customHeight="1">
      <c r="A16" s="173" t="s">
        <v>39</v>
      </c>
      <c r="B16" s="174" t="s">
        <v>40</v>
      </c>
      <c r="C16" s="175"/>
      <c r="D16" s="175"/>
      <c r="E16" s="175"/>
      <c r="F16" s="175"/>
    </row>
    <row r="17" ht="40.15" customHeight="1">
      <c r="A17" s="173" t="s">
        <v>41</v>
      </c>
      <c r="B17" s="174" t="s">
        <v>42</v>
      </c>
      <c r="C17" s="175"/>
      <c r="D17" s="175"/>
      <c r="E17" s="175"/>
      <c r="F17" s="175"/>
    </row>
    <row r="18" s="97" customFormat="1" ht="40.15" customHeight="1">
      <c r="A18" s="173" t="s">
        <v>43</v>
      </c>
      <c r="B18" s="174" t="s">
        <v>44</v>
      </c>
      <c r="C18" s="175"/>
      <c r="D18" s="175"/>
      <c r="E18" s="175"/>
      <c r="F18" s="175"/>
      <c r="G18" s="25"/>
      <c r="H18" s="25"/>
      <c r="I18" s="25"/>
    </row>
    <row r="19" ht="34.15" customHeight="1">
      <c r="A19" s="173" t="s">
        <v>45</v>
      </c>
      <c r="B19" s="174" t="s">
        <v>46</v>
      </c>
      <c r="C19" s="175"/>
      <c r="D19" s="175"/>
      <c r="E19" s="175"/>
      <c r="F19" s="175"/>
    </row>
    <row r="20" s="97" customFormat="1" ht="46.15" customHeight="1">
      <c r="A20" s="166" t="s">
        <v>47</v>
      </c>
      <c r="B20" s="167"/>
      <c r="C20" s="167"/>
      <c r="D20" s="167"/>
      <c r="E20" s="167"/>
      <c r="F20" s="168"/>
      <c r="G20" s="25"/>
      <c r="H20" s="25"/>
      <c r="I20" s="25"/>
    </row>
    <row r="21" ht="46.9" customHeight="1">
      <c r="A21" s="173" t="s">
        <v>48</v>
      </c>
      <c r="B21" s="174" t="s">
        <v>49</v>
      </c>
      <c r="C21" s="175"/>
      <c r="D21" s="175"/>
      <c r="E21" s="175"/>
      <c r="F21" s="175"/>
    </row>
    <row r="22" s="97" customFormat="1" ht="46.9" customHeight="1">
      <c r="A22" s="173" t="s">
        <v>50</v>
      </c>
      <c r="B22" s="174" t="s">
        <v>51</v>
      </c>
      <c r="C22" s="175"/>
      <c r="D22" s="175"/>
      <c r="E22" s="175"/>
      <c r="F22" s="175"/>
      <c r="G22" s="25"/>
      <c r="H22" s="25"/>
      <c r="I22" s="25"/>
    </row>
    <row r="23" s="97" customFormat="1" ht="46.9" customHeight="1">
      <c r="A23" s="176" t="s">
        <v>52</v>
      </c>
      <c r="B23" s="177" t="s">
        <v>53</v>
      </c>
      <c r="C23" s="178"/>
      <c r="D23" s="178"/>
      <c r="E23" s="178"/>
      <c r="F23" s="178"/>
      <c r="G23" s="25"/>
      <c r="H23" s="25"/>
      <c r="I23" s="25"/>
    </row>
    <row r="24" ht="39" customHeight="1">
      <c r="A24" s="173" t="s">
        <v>54</v>
      </c>
      <c r="B24" s="174" t="s">
        <v>55</v>
      </c>
      <c r="C24" s="175"/>
      <c r="D24" s="175"/>
      <c r="E24" s="175"/>
      <c r="F24" s="175"/>
    </row>
    <row r="25" ht="39" customHeight="1">
      <c r="A25" s="179"/>
      <c r="B25" s="180" t="s">
        <v>56</v>
      </c>
      <c r="C25" s="181"/>
      <c r="D25" s="181"/>
      <c r="E25" s="181"/>
      <c r="F25" s="181"/>
    </row>
    <row r="26" ht="39" customHeight="1">
      <c r="A26" s="179"/>
      <c r="B26" s="180" t="s">
        <v>57</v>
      </c>
      <c r="C26" s="181"/>
      <c r="D26" s="181"/>
      <c r="E26" s="181"/>
      <c r="F26" s="181"/>
    </row>
  </sheetData>
  <mergeCells count="27">
    <mergeCell ref="B3:F3"/>
    <mergeCell ref="B17:F17"/>
    <mergeCell ref="B10:F10"/>
    <mergeCell ref="A5:A8"/>
    <mergeCell ref="B23:F23"/>
    <mergeCell ref="B14:F14"/>
    <mergeCell ref="B9:F9"/>
    <mergeCell ref="B22:F22"/>
    <mergeCell ref="B24:F24"/>
    <mergeCell ref="A4:F4"/>
    <mergeCell ref="B12:F12"/>
    <mergeCell ref="A2:F2"/>
    <mergeCell ref="B21:F21"/>
    <mergeCell ref="B5:F5"/>
    <mergeCell ref="B13:F13"/>
    <mergeCell ref="B7:F7"/>
    <mergeCell ref="B25:F25"/>
    <mergeCell ref="A20:F20"/>
    <mergeCell ref="B6:F6"/>
    <mergeCell ref="B16:F16"/>
    <mergeCell ref="A24:A26"/>
    <mergeCell ref="B8:F8"/>
    <mergeCell ref="B19:F19"/>
    <mergeCell ref="B18:F18"/>
    <mergeCell ref="A15:F15"/>
    <mergeCell ref="B26:F26"/>
    <mergeCell ref="A11:F11"/>
  </mergeCells>
  <phoneticPr fontId="1"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tabColor rgb="FFFFC000"/>
    <outlinePr summaryBelow="0" summaryRight="0"/>
  </sheetPr>
  <dimension ref="A1"/>
  <sheetViews>
    <sheetView workbookViewId="0">
      <pane topLeftCell="A3" activePane="bottomRight" state="frozen" ySplit="2"/>
    </sheetView>
  </sheetViews>
  <sheetFormatPr baseColWidth="10" defaultColWidth="9" defaultRowHeight="13.5" customHeight="1"/>
  <cols>
    <col min="1" max="1" width="9" style="104"/>
    <col min="2" max="2" width="40.998046875" customWidth="1" style="105"/>
    <col min="3" max="3" width="71.1650390625" customWidth="1" style="103"/>
    <col min="4" max="4" width="27.3310546875" style="104"/>
    <col min="5" max="5" width="9" style="97"/>
    <col min="6" max="6" width="10.998046875" customWidth="1" style="99"/>
    <col min="7" max="10" width="9" style="97"/>
    <col min="11" max="11" width="18.6650390625" customWidth="1" style="99"/>
    <col min="12" max="12" width="14.666015625" customWidth="1" style="99"/>
    <col min="13" max="14" width="16.3330078125" customWidth="1" style="99"/>
    <col min="15" max="40" width="9" style="97"/>
  </cols>
  <sheetData>
    <row r="1" ht="39" customHeight="1">
      <c r="A1" s="106" t="s">
        <v>0</v>
      </c>
      <c r="B1" s="106"/>
      <c r="C1" s="107"/>
      <c r="D1" s="106"/>
      <c r="E1" s="106"/>
      <c r="F1" s="106"/>
      <c r="G1" s="106"/>
      <c r="H1" s="108" t="s">
        <v>58</v>
      </c>
      <c r="I1" s="108" t="s">
        <v>58</v>
      </c>
      <c r="J1" s="108" t="s">
        <v>58</v>
      </c>
      <c r="K1" s="108" t="s">
        <v>58</v>
      </c>
      <c r="L1" s="108" t="s">
        <v>58</v>
      </c>
      <c r="M1" s="108" t="s">
        <v>58</v>
      </c>
      <c r="N1" s="108" t="s">
        <v>58</v>
      </c>
      <c r="O1" s="108" t="s">
        <v>58</v>
      </c>
      <c r="P1" s="109"/>
    </row>
    <row r="2" ht="21" customHeight="1">
      <c r="A2" s="110" t="s">
        <v>2</v>
      </c>
      <c r="B2" s="111" t="s">
        <v>59</v>
      </c>
      <c r="C2" s="112" t="s">
        <v>60</v>
      </c>
      <c r="D2" s="110" t="s">
        <v>61</v>
      </c>
      <c r="E2" s="113" t="s">
        <v>62</v>
      </c>
      <c r="F2" s="110" t="s">
        <v>63</v>
      </c>
      <c r="G2" s="110" t="s">
        <v>7</v>
      </c>
      <c r="H2" s="114" t="s">
        <v>64</v>
      </c>
      <c r="I2" s="114" t="s">
        <v>65</v>
      </c>
      <c r="J2" s="114" t="s">
        <v>66</v>
      </c>
      <c r="K2" s="115" t="s">
        <v>67</v>
      </c>
      <c r="L2" s="196" t="s">
        <v>68</v>
      </c>
      <c r="M2" s="114" t="s">
        <v>69</v>
      </c>
      <c r="N2" s="114" t="s">
        <v>70</v>
      </c>
      <c r="O2" s="114" t="s">
        <v>71</v>
      </c>
      <c r="P2" s="115" t="s">
        <v>7</v>
      </c>
    </row>
    <row r="3" ht="21" customHeight="1">
      <c r="A3" s="116"/>
      <c r="B3" s="117" t="s">
        <v>72</v>
      </c>
      <c r="C3" s="118"/>
      <c r="D3" s="116"/>
      <c r="E3" s="119"/>
      <c r="F3" s="119"/>
      <c r="G3" s="119"/>
      <c r="H3" s="119"/>
      <c r="I3" s="119"/>
      <c r="J3" s="119"/>
      <c r="K3" s="119"/>
      <c r="L3" s="119"/>
      <c r="M3" s="119"/>
      <c r="N3" s="119"/>
      <c r="O3" s="119"/>
      <c r="P3" s="119"/>
    </row>
    <row r="4" s="103" customFormat="1" ht="68.25" customHeight="1">
      <c r="A4" s="120" t="n">
        <v>1</v>
      </c>
      <c r="B4" s="121" t="s">
        <v>73</v>
      </c>
      <c r="C4" s="122" t="s">
        <v>74</v>
      </c>
      <c r="D4" s="123" t="s">
        <v>75</v>
      </c>
      <c r="E4" s="116" t="n">
        <v>24</v>
      </c>
      <c r="F4" s="120" t="s">
        <v>76</v>
      </c>
      <c r="G4" s="118"/>
      <c r="H4" s="118"/>
      <c r="I4" s="118"/>
      <c r="J4" s="118"/>
      <c r="K4" s="118"/>
      <c r="L4" s="118"/>
      <c r="M4" s="118"/>
      <c r="N4" s="118"/>
      <c r="O4" s="118"/>
      <c r="P4" s="118"/>
    </row>
    <row r="5" ht="68.25" customHeight="1">
      <c r="A5" s="120" t="n">
        <v>2</v>
      </c>
      <c r="B5" s="121" t="s">
        <v>77</v>
      </c>
      <c r="C5" s="197" t="s">
        <v>78</v>
      </c>
      <c r="D5" s="120" t="s">
        <v>79</v>
      </c>
      <c r="E5" s="116" t="n">
        <v>9</v>
      </c>
      <c r="F5" s="120" t="s">
        <v>76</v>
      </c>
      <c r="G5" s="119"/>
      <c r="H5" s="119"/>
      <c r="I5" s="119"/>
      <c r="J5" s="119"/>
      <c r="K5" s="119"/>
      <c r="L5" s="119"/>
      <c r="M5" s="119"/>
      <c r="N5" s="119"/>
      <c r="O5" s="119"/>
      <c r="P5" s="119"/>
    </row>
    <row r="6" ht="189.75" customHeight="1">
      <c r="A6" s="120" t="n">
        <v>3</v>
      </c>
      <c r="B6" s="121" t="s">
        <v>80</v>
      </c>
      <c r="C6" s="198" t="s">
        <v>81</v>
      </c>
      <c r="D6" s="120" t="s">
        <v>79</v>
      </c>
      <c r="E6" s="116" t="n">
        <v>129</v>
      </c>
      <c r="F6" s="120" t="s">
        <v>76</v>
      </c>
      <c r="G6" s="119"/>
      <c r="H6" s="119"/>
      <c r="I6" s="119"/>
      <c r="J6" s="119"/>
      <c r="K6" s="119"/>
      <c r="L6" s="119"/>
      <c r="M6" s="119"/>
      <c r="N6" s="119"/>
      <c r="O6" s="119"/>
      <c r="P6" s="119"/>
    </row>
    <row r="7" ht="98.25" customHeight="1">
      <c r="A7" s="120" t="n">
        <v>4</v>
      </c>
      <c r="B7" s="121" t="s">
        <v>82</v>
      </c>
      <c r="C7" s="199" t="s">
        <v>83</v>
      </c>
      <c r="D7" s="123" t="s">
        <v>84</v>
      </c>
      <c r="E7" s="116" t="n">
        <v>129</v>
      </c>
      <c r="F7" s="120" t="s">
        <v>76</v>
      </c>
      <c r="G7" s="119"/>
      <c r="H7" s="119"/>
      <c r="I7" s="119"/>
      <c r="J7" s="119"/>
      <c r="K7" s="119"/>
      <c r="L7" s="119"/>
      <c r="M7" s="119"/>
      <c r="N7" s="119"/>
      <c r="O7" s="119"/>
      <c r="P7" s="119"/>
    </row>
    <row r="8" ht="108.75" customHeight="1">
      <c r="A8" s="120" t="n">
        <v>5</v>
      </c>
      <c r="B8" s="121" t="s">
        <v>85</v>
      </c>
      <c r="C8" s="200" t="s">
        <v>86</v>
      </c>
      <c r="D8" s="120" t="s">
        <v>87</v>
      </c>
      <c r="E8" s="116" t="n">
        <v>129</v>
      </c>
      <c r="F8" s="120" t="s">
        <v>76</v>
      </c>
      <c r="G8" s="119"/>
      <c r="H8" s="119"/>
      <c r="I8" s="119"/>
      <c r="J8" s="119"/>
      <c r="K8" s="119"/>
      <c r="L8" s="119"/>
      <c r="M8" s="119"/>
      <c r="N8" s="119"/>
      <c r="O8" s="119"/>
      <c r="P8" s="119"/>
    </row>
    <row r="9" ht="29" customHeight="1">
      <c r="A9" s="120" t="n">
        <v>6</v>
      </c>
      <c r="B9" s="121" t="s">
        <v>88</v>
      </c>
      <c r="C9" s="125" t="s">
        <v>89</v>
      </c>
      <c r="D9" s="120" t="s">
        <v>87</v>
      </c>
      <c r="E9" s="116" t="n">
        <v>13</v>
      </c>
      <c r="F9" s="120" t="s">
        <v>76</v>
      </c>
      <c r="G9" s="119"/>
      <c r="H9" s="119"/>
      <c r="I9" s="119"/>
      <c r="J9" s="119"/>
      <c r="K9" s="119"/>
      <c r="L9" s="119"/>
      <c r="M9" s="119"/>
      <c r="N9" s="119"/>
      <c r="O9" s="119"/>
      <c r="P9" s="119"/>
    </row>
    <row r="10" ht="21" customHeight="1">
      <c r="A10" s="120" t="n">
        <v>7</v>
      </c>
      <c r="B10" s="121" t="s">
        <v>90</v>
      </c>
      <c r="C10" s="124" t="s">
        <v>91</v>
      </c>
      <c r="D10" s="120" t="s">
        <v>79</v>
      </c>
      <c r="E10" s="116" t="n">
        <v>362</v>
      </c>
      <c r="F10" s="120" t="s">
        <v>76</v>
      </c>
      <c r="G10" s="119"/>
      <c r="H10" s="119"/>
      <c r="I10" s="119"/>
      <c r="J10" s="119"/>
      <c r="K10" s="119"/>
      <c r="L10" s="119"/>
      <c r="M10" s="119"/>
      <c r="N10" s="119"/>
      <c r="O10" s="119"/>
      <c r="P10" s="119"/>
    </row>
    <row r="11" ht="41.25" customHeight="1">
      <c r="A11" s="120" t="n">
        <v>8</v>
      </c>
      <c r="B11" s="121" t="s">
        <v>92</v>
      </c>
      <c r="C11" s="124" t="s">
        <v>93</v>
      </c>
      <c r="D11" s="120" t="s">
        <v>79</v>
      </c>
      <c r="E11" s="116" t="n">
        <v>75</v>
      </c>
      <c r="F11" s="120" t="s">
        <v>76</v>
      </c>
      <c r="G11" s="119"/>
      <c r="H11" s="119"/>
      <c r="I11" s="119"/>
      <c r="J11" s="119"/>
      <c r="K11" s="119"/>
      <c r="L11" s="119"/>
      <c r="M11" s="119"/>
      <c r="N11" s="119"/>
      <c r="O11" s="119"/>
      <c r="P11" s="119"/>
    </row>
    <row r="12" ht="162.75" customHeight="1">
      <c r="A12" s="120" t="n">
        <v>9</v>
      </c>
      <c r="B12" s="121" t="s">
        <v>94</v>
      </c>
      <c r="C12" s="201" t="s">
        <v>95</v>
      </c>
      <c r="D12" s="120" t="s">
        <v>79</v>
      </c>
      <c r="E12" s="116" t="n">
        <v>26</v>
      </c>
      <c r="F12" s="120" t="s">
        <v>76</v>
      </c>
      <c r="G12" s="119"/>
      <c r="H12" s="119"/>
      <c r="I12" s="119"/>
      <c r="J12" s="119"/>
      <c r="K12" s="119"/>
      <c r="L12" s="119"/>
      <c r="M12" s="119"/>
      <c r="N12" s="119"/>
      <c r="O12" s="119"/>
      <c r="P12" s="119"/>
    </row>
    <row r="13" ht="21" customHeight="1">
      <c r="A13" s="120" t="n">
        <v>10</v>
      </c>
      <c r="B13" s="121" t="s">
        <v>96</v>
      </c>
      <c r="C13" s="124" t="s">
        <v>97</v>
      </c>
      <c r="D13" s="120" t="s">
        <v>87</v>
      </c>
      <c r="E13" s="116" t="n">
        <v>2</v>
      </c>
      <c r="F13" s="120" t="s">
        <v>76</v>
      </c>
      <c r="G13" s="119"/>
      <c r="H13" s="119"/>
      <c r="I13" s="119"/>
      <c r="J13" s="119"/>
      <c r="K13" s="119"/>
      <c r="L13" s="119"/>
      <c r="M13" s="119"/>
      <c r="N13" s="119"/>
      <c r="O13" s="119"/>
      <c r="P13" s="119"/>
    </row>
    <row r="14" ht="68.25" customHeight="1">
      <c r="A14" s="120" t="n">
        <v>11</v>
      </c>
      <c r="B14" s="121" t="s">
        <v>98</v>
      </c>
      <c r="C14" s="202" t="s">
        <v>99</v>
      </c>
      <c r="D14" s="120" t="s">
        <v>87</v>
      </c>
      <c r="E14" s="116" t="n">
        <v>89</v>
      </c>
      <c r="F14" s="120" t="s">
        <v>76</v>
      </c>
      <c r="G14" s="119"/>
      <c r="H14" s="119"/>
      <c r="I14" s="119"/>
      <c r="J14" s="119"/>
      <c r="K14" s="119"/>
      <c r="L14" s="119"/>
      <c r="M14" s="119"/>
      <c r="N14" s="119"/>
      <c r="O14" s="119"/>
      <c r="P14" s="119"/>
    </row>
    <row r="15" ht="21" customHeight="1">
      <c r="A15" s="120" t="n">
        <v>12</v>
      </c>
      <c r="B15" s="121" t="s">
        <v>100</v>
      </c>
      <c r="C15" s="124" t="s">
        <v>101</v>
      </c>
      <c r="D15" s="120" t="s">
        <v>87</v>
      </c>
      <c r="E15" s="116" t="n">
        <v>100</v>
      </c>
      <c r="F15" s="120" t="s">
        <v>102</v>
      </c>
      <c r="G15" s="119"/>
      <c r="H15" s="119"/>
      <c r="I15" s="119"/>
      <c r="J15" s="119"/>
      <c r="K15" s="119"/>
      <c r="L15" s="119"/>
      <c r="M15" s="119"/>
      <c r="N15" s="119"/>
      <c r="O15" s="119"/>
      <c r="P15" s="119"/>
    </row>
    <row r="16" ht="21" customHeight="1">
      <c r="A16" s="120" t="n">
        <v>13</v>
      </c>
      <c r="B16" s="121" t="s">
        <v>103</v>
      </c>
      <c r="C16" s="124" t="s">
        <v>104</v>
      </c>
      <c r="D16" s="120" t="s">
        <v>87</v>
      </c>
      <c r="E16" s="116" t="n">
        <v>168</v>
      </c>
      <c r="F16" s="120" t="s">
        <v>102</v>
      </c>
      <c r="G16" s="119"/>
      <c r="H16" s="119"/>
      <c r="I16" s="119"/>
      <c r="J16" s="119"/>
      <c r="K16" s="119"/>
      <c r="L16" s="119"/>
      <c r="M16" s="119"/>
      <c r="N16" s="119"/>
      <c r="O16" s="119"/>
      <c r="P16" s="119"/>
    </row>
    <row r="17" ht="21" customHeight="1">
      <c r="A17" s="120" t="n">
        <v>14</v>
      </c>
      <c r="B17" s="126" t="s">
        <v>105</v>
      </c>
      <c r="C17" s="124" t="s">
        <v>106</v>
      </c>
      <c r="D17" s="120" t="s">
        <v>107</v>
      </c>
      <c r="E17" s="116" t="n">
        <v>129</v>
      </c>
      <c r="F17" s="120" t="s">
        <v>102</v>
      </c>
      <c r="G17" s="119"/>
      <c r="H17" s="119"/>
      <c r="I17" s="119"/>
      <c r="J17" s="119"/>
      <c r="K17" s="119"/>
      <c r="L17" s="119"/>
      <c r="M17" s="119"/>
      <c r="N17" s="119"/>
      <c r="O17" s="119"/>
      <c r="P17" s="119"/>
    </row>
    <row r="18" ht="21" customHeight="1">
      <c r="A18" s="120" t="n">
        <v>15</v>
      </c>
      <c r="B18" s="126" t="s">
        <v>108</v>
      </c>
      <c r="C18" s="124" t="s">
        <v>109</v>
      </c>
      <c r="D18" s="116" t="s">
        <v>110</v>
      </c>
      <c r="E18" s="116" t="n">
        <v>129</v>
      </c>
      <c r="F18" s="120" t="s">
        <v>111</v>
      </c>
      <c r="G18" s="119"/>
      <c r="H18" s="119"/>
      <c r="I18" s="119"/>
      <c r="J18" s="119"/>
      <c r="K18" s="119"/>
      <c r="L18" s="119"/>
      <c r="M18" s="119"/>
      <c r="N18" s="119"/>
      <c r="O18" s="119"/>
      <c r="P18" s="119"/>
    </row>
    <row r="19" ht="21" customHeight="1">
      <c r="A19" s="120" t="n">
        <v>16</v>
      </c>
      <c r="B19" s="126" t="s">
        <v>112</v>
      </c>
      <c r="C19" s="124" t="s">
        <v>113</v>
      </c>
      <c r="D19" s="116" t="s">
        <v>110</v>
      </c>
      <c r="E19" s="116" t="n">
        <v>34</v>
      </c>
      <c r="F19" s="120" t="s">
        <v>102</v>
      </c>
      <c r="G19" s="119"/>
      <c r="H19" s="119"/>
      <c r="I19" s="119"/>
      <c r="J19" s="119"/>
      <c r="K19" s="119"/>
      <c r="L19" s="119"/>
      <c r="M19" s="119"/>
      <c r="N19" s="119"/>
      <c r="O19" s="119"/>
      <c r="P19" s="119"/>
    </row>
    <row r="20" ht="42" customHeight="1">
      <c r="A20" s="120" t="n">
        <v>17</v>
      </c>
      <c r="B20" s="126" t="s">
        <v>114</v>
      </c>
      <c r="C20" s="203" t="s">
        <v>115</v>
      </c>
      <c r="D20" s="120" t="s">
        <v>107</v>
      </c>
      <c r="E20" s="120" t="n">
        <v>130000</v>
      </c>
      <c r="F20" s="120" t="s">
        <v>116</v>
      </c>
      <c r="G20" s="119"/>
      <c r="H20" s="119"/>
      <c r="I20" s="119"/>
      <c r="J20" s="119"/>
      <c r="K20" s="119"/>
      <c r="L20" s="119"/>
      <c r="M20" s="119"/>
      <c r="N20" s="119"/>
      <c r="O20" s="119"/>
      <c r="P20" s="119"/>
    </row>
    <row r="21" ht="21" customHeight="1">
      <c r="A21" s="120" t="n">
        <v>18</v>
      </c>
      <c r="B21" s="126" t="s">
        <v>117</v>
      </c>
      <c r="C21" s="204" t="s">
        <v>118</v>
      </c>
      <c r="D21" s="120" t="s">
        <v>107</v>
      </c>
      <c r="E21" s="120" t="n">
        <v>24</v>
      </c>
      <c r="F21" s="120" t="s">
        <v>102</v>
      </c>
      <c r="G21" s="119"/>
      <c r="H21" s="119"/>
      <c r="I21" s="119"/>
      <c r="J21" s="119"/>
      <c r="K21" s="119"/>
      <c r="L21" s="119"/>
      <c r="M21" s="119"/>
      <c r="N21" s="119"/>
      <c r="O21" s="119"/>
      <c r="P21" s="119"/>
    </row>
    <row r="22" ht="21" customHeight="1">
      <c r="A22" s="120" t="n">
        <v>19</v>
      </c>
      <c r="B22" s="126" t="s">
        <v>119</v>
      </c>
      <c r="C22" s="124" t="s">
        <v>120</v>
      </c>
      <c r="D22" s="120" t="s">
        <v>107</v>
      </c>
      <c r="E22" s="120" t="n">
        <f>E18</f>
        <v>129</v>
      </c>
      <c r="F22" s="120" t="s">
        <v>102</v>
      </c>
      <c r="G22" s="119"/>
      <c r="H22" s="119"/>
      <c r="I22" s="119"/>
      <c r="J22" s="119"/>
      <c r="K22" s="119"/>
      <c r="L22" s="119"/>
      <c r="M22" s="119"/>
      <c r="N22" s="119"/>
      <c r="O22" s="119"/>
      <c r="P22" s="119"/>
    </row>
    <row r="23" ht="86.83333333333336" customHeight="1">
      <c r="A23" s="120" t="n">
        <v>20</v>
      </c>
      <c r="B23" s="126" t="s">
        <v>121</v>
      </c>
      <c r="C23" s="205" t="s">
        <v>122</v>
      </c>
      <c r="D23" s="120" t="s">
        <v>107</v>
      </c>
      <c r="E23" s="120" t="n">
        <f>E18*2</f>
        <v>258</v>
      </c>
      <c r="F23" s="120" t="s">
        <v>102</v>
      </c>
      <c r="G23" s="119"/>
      <c r="H23" s="119"/>
      <c r="I23" s="119"/>
      <c r="J23" s="119"/>
      <c r="K23" s="119"/>
      <c r="L23" s="119"/>
      <c r="M23" s="119"/>
      <c r="N23" s="119"/>
      <c r="O23" s="119"/>
      <c r="P23" s="119"/>
    </row>
    <row r="24" ht="21" customHeight="1">
      <c r="A24" s="120" t="n">
        <v>21</v>
      </c>
      <c r="B24" s="126" t="s">
        <v>123</v>
      </c>
      <c r="C24" s="206" t="s">
        <v>124</v>
      </c>
      <c r="D24" s="116" t="s">
        <v>125</v>
      </c>
      <c r="E24" s="116" t="n">
        <v>12</v>
      </c>
      <c r="F24" s="120" t="s">
        <v>76</v>
      </c>
      <c r="G24" s="119"/>
      <c r="H24" s="119"/>
      <c r="I24" s="119"/>
      <c r="J24" s="119"/>
      <c r="K24" s="119"/>
      <c r="L24" s="119"/>
      <c r="M24" s="119"/>
      <c r="N24" s="119"/>
      <c r="O24" s="119"/>
      <c r="P24" s="119"/>
    </row>
    <row r="25" ht="21" customHeight="1">
      <c r="A25" s="120" t="n">
        <v>22</v>
      </c>
      <c r="B25" s="126" t="s">
        <v>126</v>
      </c>
      <c r="C25" s="124" t="s">
        <v>127</v>
      </c>
      <c r="D25" s="116" t="s">
        <v>125</v>
      </c>
      <c r="E25" s="120" t="n">
        <v>24</v>
      </c>
      <c r="F25" s="120" t="s">
        <v>102</v>
      </c>
      <c r="G25" s="119"/>
      <c r="H25" s="119"/>
      <c r="I25" s="119"/>
      <c r="J25" s="119"/>
      <c r="K25" s="119"/>
      <c r="L25" s="119"/>
      <c r="M25" s="119"/>
      <c r="N25" s="119"/>
      <c r="O25" s="119"/>
      <c r="P25" s="119"/>
    </row>
    <row r="26" ht="21" customHeight="1">
      <c r="A26" s="120" t="n">
        <v>23</v>
      </c>
      <c r="B26" s="126" t="s">
        <v>128</v>
      </c>
      <c r="C26" s="124" t="s">
        <v>129</v>
      </c>
      <c r="D26" s="120" t="s">
        <v>107</v>
      </c>
      <c r="E26" s="120" t="n">
        <v>3800</v>
      </c>
      <c r="F26" s="120" t="s">
        <v>116</v>
      </c>
      <c r="G26" s="119"/>
      <c r="H26" s="119"/>
      <c r="I26" s="119"/>
      <c r="J26" s="119"/>
      <c r="K26" s="119"/>
      <c r="L26" s="119"/>
      <c r="M26" s="119"/>
      <c r="N26" s="119"/>
      <c r="O26" s="119"/>
      <c r="P26" s="119"/>
    </row>
    <row r="27" ht="21" customHeight="1">
      <c r="A27" s="120" t="n">
        <v>24</v>
      </c>
      <c r="B27" s="126" t="s">
        <v>128</v>
      </c>
      <c r="C27" s="124" t="s">
        <v>130</v>
      </c>
      <c r="D27" s="120" t="s">
        <v>107</v>
      </c>
      <c r="E27" s="120" t="n">
        <v>7200</v>
      </c>
      <c r="F27" s="120" t="s">
        <v>116</v>
      </c>
      <c r="G27" s="119"/>
      <c r="H27" s="119"/>
      <c r="I27" s="119"/>
      <c r="J27" s="119"/>
      <c r="K27" s="119"/>
      <c r="L27" s="119"/>
      <c r="M27" s="119"/>
      <c r="N27" s="119"/>
      <c r="O27" s="119"/>
      <c r="P27" s="119"/>
    </row>
    <row r="28" ht="21" customHeight="1">
      <c r="A28" s="120" t="n">
        <v>25</v>
      </c>
      <c r="B28" s="126" t="s">
        <v>128</v>
      </c>
      <c r="C28" s="124" t="s">
        <v>131</v>
      </c>
      <c r="D28" s="120" t="s">
        <v>107</v>
      </c>
      <c r="E28" s="120" t="n">
        <v>5000</v>
      </c>
      <c r="F28" s="120" t="s">
        <v>116</v>
      </c>
      <c r="G28" s="119"/>
      <c r="H28" s="119"/>
      <c r="I28" s="119"/>
      <c r="J28" s="119"/>
      <c r="K28" s="119"/>
      <c r="L28" s="119"/>
      <c r="M28" s="119"/>
      <c r="N28" s="119"/>
      <c r="O28" s="119"/>
      <c r="P28" s="119"/>
    </row>
    <row r="29" ht="21" customHeight="1">
      <c r="A29" s="120" t="n">
        <v>26</v>
      </c>
      <c r="B29" s="126" t="s">
        <v>128</v>
      </c>
      <c r="C29" s="124" t="s">
        <v>132</v>
      </c>
      <c r="D29" s="120" t="s">
        <v>107</v>
      </c>
      <c r="E29" s="120" t="n">
        <v>154</v>
      </c>
      <c r="F29" s="120" t="s">
        <v>116</v>
      </c>
      <c r="G29" s="119"/>
      <c r="H29" s="119"/>
      <c r="I29" s="119"/>
      <c r="J29" s="119"/>
      <c r="K29" s="119"/>
      <c r="L29" s="119"/>
      <c r="M29" s="119"/>
      <c r="N29" s="119"/>
      <c r="O29" s="119"/>
      <c r="P29" s="119"/>
    </row>
    <row r="30" ht="21" customHeight="1">
      <c r="A30" s="120" t="n">
        <v>27</v>
      </c>
      <c r="B30" s="126" t="s">
        <v>133</v>
      </c>
      <c r="C30" s="124" t="s">
        <v>134</v>
      </c>
      <c r="D30" s="116" t="s">
        <v>135</v>
      </c>
      <c r="E30" s="120" t="n">
        <v>25000</v>
      </c>
      <c r="F30" s="120" t="s">
        <v>116</v>
      </c>
      <c r="G30" s="119"/>
      <c r="H30" s="119"/>
      <c r="I30" s="119"/>
      <c r="J30" s="119"/>
      <c r="K30" s="119"/>
      <c r="L30" s="119"/>
      <c r="M30" s="119"/>
      <c r="N30" s="119"/>
      <c r="O30" s="119"/>
      <c r="P30" s="119"/>
    </row>
    <row r="31" ht="21" customHeight="1">
      <c r="A31" s="120" t="n">
        <v>28</v>
      </c>
      <c r="B31" s="126" t="s">
        <v>136</v>
      </c>
      <c r="C31" s="124" t="s">
        <v>137</v>
      </c>
      <c r="D31" s="116" t="s">
        <v>135</v>
      </c>
      <c r="E31" s="120" t="n">
        <v>1</v>
      </c>
      <c r="F31" s="120" t="s">
        <v>138</v>
      </c>
      <c r="G31" s="119"/>
      <c r="H31" s="119"/>
      <c r="I31" s="119"/>
      <c r="J31" s="119"/>
      <c r="K31" s="119"/>
      <c r="L31" s="119"/>
      <c r="M31" s="119"/>
      <c r="N31" s="119"/>
      <c r="O31" s="119"/>
      <c r="P31" s="119"/>
    </row>
    <row r="32" ht="21" customHeight="1">
      <c r="A32" s="120"/>
      <c r="B32" s="127" t="s">
        <v>139</v>
      </c>
      <c r="C32" s="124"/>
      <c r="D32" s="116"/>
      <c r="E32" s="119"/>
      <c r="F32" s="119"/>
      <c r="G32" s="119"/>
      <c r="H32" s="119"/>
      <c r="I32" s="119"/>
      <c r="J32" s="119"/>
      <c r="K32" s="119"/>
      <c r="L32" s="119"/>
      <c r="M32" s="119"/>
      <c r="N32" s="119"/>
      <c r="O32" s="119"/>
      <c r="P32" s="119"/>
    </row>
    <row r="33" ht="21" customHeight="1">
      <c r="A33" s="120"/>
      <c r="B33" s="126" t="s">
        <v>140</v>
      </c>
      <c r="C33" s="124"/>
      <c r="D33" s="116"/>
      <c r="E33" s="119"/>
      <c r="F33" s="119"/>
      <c r="G33" s="119"/>
      <c r="H33" s="119"/>
      <c r="I33" s="119"/>
      <c r="J33" s="119"/>
      <c r="K33" s="119"/>
      <c r="L33" s="119"/>
      <c r="M33" s="119"/>
      <c r="N33" s="119"/>
      <c r="O33" s="119"/>
      <c r="P33" s="119"/>
    </row>
    <row r="34" ht="21" customHeight="1">
      <c r="A34" s="120" t="n">
        <v>1</v>
      </c>
      <c r="B34" s="126" t="s">
        <v>141</v>
      </c>
      <c r="C34" s="207" t="s">
        <v>142</v>
      </c>
      <c r="D34" s="116" t="s">
        <v>143</v>
      </c>
      <c r="E34" s="120" t="n">
        <v>6</v>
      </c>
      <c r="F34" s="120" t="s">
        <v>76</v>
      </c>
      <c r="G34" s="119"/>
      <c r="H34" s="119"/>
      <c r="I34" s="119"/>
      <c r="J34" s="119"/>
      <c r="K34" s="119"/>
      <c r="L34" s="119"/>
      <c r="M34" s="119"/>
      <c r="N34" s="119"/>
      <c r="O34" s="119"/>
      <c r="P34" s="119"/>
    </row>
    <row r="35" ht="21" customHeight="1">
      <c r="A35" s="120" t="n">
        <v>2</v>
      </c>
      <c r="B35" s="126" t="s">
        <v>144</v>
      </c>
      <c r="C35" s="208" t="s">
        <v>145</v>
      </c>
      <c r="D35" s="116" t="s">
        <v>143</v>
      </c>
      <c r="E35" s="120" t="n">
        <v>68</v>
      </c>
      <c r="F35" s="120" t="s">
        <v>76</v>
      </c>
      <c r="G35" s="119"/>
      <c r="H35" s="119"/>
      <c r="I35" s="119"/>
      <c r="J35" s="119"/>
      <c r="K35" s="119"/>
      <c r="L35" s="119"/>
      <c r="M35" s="119"/>
      <c r="N35" s="119"/>
      <c r="O35" s="119"/>
      <c r="P35" s="119"/>
    </row>
    <row r="36" ht="189.75" customHeight="1">
      <c r="A36" s="120" t="n">
        <v>3</v>
      </c>
      <c r="B36" s="126" t="s">
        <v>146</v>
      </c>
      <c r="C36" s="209" t="s">
        <v>147</v>
      </c>
      <c r="D36" s="116" t="s">
        <v>143</v>
      </c>
      <c r="E36" s="120" t="n">
        <v>199</v>
      </c>
      <c r="F36" s="120" t="s">
        <v>76</v>
      </c>
      <c r="G36" s="119"/>
      <c r="H36" s="119"/>
      <c r="I36" s="119"/>
      <c r="J36" s="119"/>
      <c r="K36" s="119"/>
      <c r="L36" s="119"/>
      <c r="M36" s="119"/>
      <c r="N36" s="119"/>
      <c r="O36" s="119"/>
      <c r="P36" s="119"/>
    </row>
    <row r="37" ht="21" customHeight="1">
      <c r="A37" s="120" t="n">
        <v>4</v>
      </c>
      <c r="B37" s="126" t="s">
        <v>148</v>
      </c>
      <c r="C37" s="210" t="s">
        <v>149</v>
      </c>
      <c r="D37" s="116" t="s">
        <v>143</v>
      </c>
      <c r="E37" s="120" t="n">
        <v>3</v>
      </c>
      <c r="F37" s="120" t="s">
        <v>76</v>
      </c>
      <c r="G37" s="119"/>
      <c r="H37" s="119"/>
      <c r="I37" s="119"/>
      <c r="J37" s="119"/>
      <c r="K37" s="119"/>
      <c r="L37" s="119"/>
      <c r="M37" s="119"/>
      <c r="N37" s="119"/>
      <c r="O37" s="119"/>
      <c r="P37" s="119"/>
    </row>
    <row r="38" ht="21" customHeight="1">
      <c r="A38" s="120" t="n">
        <v>5</v>
      </c>
      <c r="B38" s="126" t="s">
        <v>150</v>
      </c>
      <c r="C38" s="211" t="s">
        <v>151</v>
      </c>
      <c r="D38" s="116" t="s">
        <v>143</v>
      </c>
      <c r="E38" s="120" t="n">
        <v>5</v>
      </c>
      <c r="F38" s="120" t="s">
        <v>76</v>
      </c>
      <c r="G38" s="119"/>
      <c r="H38" s="119"/>
      <c r="I38" s="119"/>
      <c r="J38" s="119"/>
      <c r="K38" s="119"/>
      <c r="L38" s="119"/>
      <c r="M38" s="119"/>
      <c r="N38" s="119"/>
      <c r="O38" s="119"/>
      <c r="P38" s="119"/>
    </row>
    <row r="39" ht="21" customHeight="1">
      <c r="A39" s="120" t="n">
        <v>6</v>
      </c>
      <c r="B39" s="126" t="s">
        <v>152</v>
      </c>
      <c r="C39" s="212" t="s">
        <v>153</v>
      </c>
      <c r="D39" s="116" t="s">
        <v>143</v>
      </c>
      <c r="E39" s="120" t="n">
        <v>1</v>
      </c>
      <c r="F39" s="120" t="s">
        <v>76</v>
      </c>
      <c r="G39" s="119"/>
      <c r="H39" s="119"/>
      <c r="I39" s="119"/>
      <c r="J39" s="119"/>
      <c r="K39" s="119"/>
      <c r="L39" s="119"/>
      <c r="M39" s="119"/>
      <c r="N39" s="119"/>
      <c r="O39" s="119"/>
      <c r="P39" s="119"/>
    </row>
    <row r="40" ht="68.25" customHeight="1">
      <c r="A40" s="120" t="n">
        <v>7</v>
      </c>
      <c r="B40" s="126" t="s">
        <v>154</v>
      </c>
      <c r="C40" s="213" t="s">
        <v>155</v>
      </c>
      <c r="D40" s="116" t="s">
        <v>143</v>
      </c>
      <c r="E40" s="120" t="n">
        <v>4</v>
      </c>
      <c r="F40" s="120" t="s">
        <v>76</v>
      </c>
      <c r="G40" s="119"/>
      <c r="H40" s="119"/>
      <c r="I40" s="119"/>
      <c r="J40" s="119"/>
      <c r="K40" s="119"/>
      <c r="L40" s="119"/>
      <c r="M40" s="119"/>
      <c r="N40" s="119"/>
      <c r="O40" s="119"/>
      <c r="P40" s="119"/>
    </row>
    <row r="41" ht="21" customHeight="1">
      <c r="A41" s="120" t="n">
        <v>8</v>
      </c>
      <c r="B41" s="126" t="s">
        <v>156</v>
      </c>
      <c r="C41" s="214" t="s">
        <v>157</v>
      </c>
      <c r="D41" s="116" t="s">
        <v>143</v>
      </c>
      <c r="E41" s="120" t="n">
        <v>3</v>
      </c>
      <c r="F41" s="120" t="s">
        <v>76</v>
      </c>
      <c r="G41" s="119"/>
      <c r="H41" s="119"/>
      <c r="I41" s="119"/>
      <c r="J41" s="119"/>
      <c r="K41" s="119"/>
      <c r="L41" s="119"/>
      <c r="M41" s="119"/>
      <c r="N41" s="119"/>
      <c r="O41" s="119"/>
      <c r="P41" s="119"/>
    </row>
    <row r="42" ht="21" customHeight="1">
      <c r="A42" s="120" t="n">
        <v>9</v>
      </c>
      <c r="B42" s="126" t="s">
        <v>158</v>
      </c>
      <c r="C42" s="215" t="s">
        <v>159</v>
      </c>
      <c r="D42" s="116" t="s">
        <v>143</v>
      </c>
      <c r="E42" s="120" t="n">
        <v>281</v>
      </c>
      <c r="F42" s="120" t="s">
        <v>160</v>
      </c>
      <c r="G42" s="119"/>
      <c r="H42" s="119"/>
      <c r="I42" s="119"/>
      <c r="J42" s="119"/>
      <c r="K42" s="119"/>
      <c r="L42" s="119"/>
      <c r="M42" s="119"/>
      <c r="N42" s="119"/>
      <c r="O42" s="119"/>
      <c r="P42" s="119"/>
    </row>
    <row r="43" ht="21" customHeight="1">
      <c r="A43" s="120" t="n">
        <v>10</v>
      </c>
      <c r="B43" s="126" t="s">
        <v>161</v>
      </c>
      <c r="C43" s="216" t="s">
        <v>162</v>
      </c>
      <c r="D43" s="116" t="s">
        <v>125</v>
      </c>
      <c r="E43" s="120" t="n">
        <v>15</v>
      </c>
      <c r="F43" s="120" t="s">
        <v>76</v>
      </c>
      <c r="G43" s="119"/>
      <c r="H43" s="119"/>
      <c r="I43" s="119"/>
      <c r="J43" s="119"/>
      <c r="K43" s="119"/>
      <c r="L43" s="119"/>
      <c r="M43" s="119"/>
      <c r="N43" s="119"/>
      <c r="O43" s="119"/>
      <c r="P43" s="119"/>
    </row>
    <row r="44" ht="21" customHeight="1">
      <c r="A44" s="120" t="n">
        <v>11</v>
      </c>
      <c r="B44" s="126" t="s">
        <v>163</v>
      </c>
      <c r="C44" s="217" t="s">
        <v>164</v>
      </c>
      <c r="D44" s="116" t="s">
        <v>125</v>
      </c>
      <c r="E44" s="120" t="n">
        <v>17</v>
      </c>
      <c r="F44" s="120" t="s">
        <v>76</v>
      </c>
      <c r="G44" s="119"/>
      <c r="H44" s="119"/>
      <c r="I44" s="119"/>
      <c r="J44" s="119"/>
      <c r="K44" s="119"/>
      <c r="L44" s="119"/>
      <c r="M44" s="119"/>
      <c r="N44" s="119"/>
      <c r="O44" s="119"/>
      <c r="P44" s="119"/>
    </row>
    <row r="45" ht="21" customHeight="1">
      <c r="A45" s="120" t="n">
        <v>12</v>
      </c>
      <c r="B45" s="126" t="s">
        <v>126</v>
      </c>
      <c r="C45" s="124" t="s">
        <v>127</v>
      </c>
      <c r="D45" s="116" t="s">
        <v>125</v>
      </c>
      <c r="E45" s="120" t="n">
        <v>30</v>
      </c>
      <c r="F45" s="120" t="s">
        <v>102</v>
      </c>
      <c r="G45" s="119"/>
      <c r="H45" s="119"/>
      <c r="I45" s="119"/>
      <c r="J45" s="119"/>
      <c r="K45" s="119"/>
      <c r="L45" s="119"/>
      <c r="M45" s="119"/>
      <c r="N45" s="119"/>
      <c r="O45" s="119"/>
      <c r="P45" s="119"/>
    </row>
    <row r="46" ht="21" customHeight="1">
      <c r="A46" s="120" t="n">
        <v>13</v>
      </c>
      <c r="B46" s="126" t="s">
        <v>165</v>
      </c>
      <c r="C46" s="124" t="s">
        <v>166</v>
      </c>
      <c r="D46" s="116" t="s">
        <v>125</v>
      </c>
      <c r="E46" s="120" t="n">
        <v>34</v>
      </c>
      <c r="F46" s="120" t="s">
        <v>102</v>
      </c>
      <c r="G46" s="119"/>
      <c r="H46" s="119"/>
      <c r="I46" s="119"/>
      <c r="J46" s="119"/>
      <c r="K46" s="119"/>
      <c r="L46" s="119"/>
      <c r="M46" s="119"/>
      <c r="N46" s="119"/>
      <c r="O46" s="119"/>
      <c r="P46" s="119"/>
    </row>
    <row r="47" ht="21" customHeight="1">
      <c r="A47" s="120" t="n">
        <v>14</v>
      </c>
      <c r="B47" s="126" t="s">
        <v>167</v>
      </c>
      <c r="C47" s="218" t="s">
        <v>168</v>
      </c>
      <c r="D47" s="120" t="s">
        <v>107</v>
      </c>
      <c r="E47" s="120" t="n">
        <v>20000</v>
      </c>
      <c r="F47" s="120" t="s">
        <v>116</v>
      </c>
      <c r="G47" s="119"/>
      <c r="H47" s="119"/>
      <c r="I47" s="119"/>
      <c r="J47" s="119"/>
      <c r="K47" s="119"/>
      <c r="L47" s="119"/>
      <c r="M47" s="119"/>
      <c r="N47" s="119"/>
      <c r="O47" s="119"/>
      <c r="P47" s="119"/>
    </row>
    <row r="48" ht="21" customHeight="1">
      <c r="A48" s="120" t="n">
        <v>15</v>
      </c>
      <c r="B48" s="126" t="s">
        <v>169</v>
      </c>
      <c r="C48" s="124" t="s">
        <v>170</v>
      </c>
      <c r="D48" s="120" t="s">
        <v>107</v>
      </c>
      <c r="E48" s="120" t="n">
        <f>E49*70*1.1</f>
        <v>2464</v>
      </c>
      <c r="F48" s="120" t="s">
        <v>116</v>
      </c>
      <c r="G48" s="119"/>
      <c r="H48" s="119"/>
      <c r="I48" s="119"/>
      <c r="J48" s="119"/>
      <c r="K48" s="119"/>
      <c r="L48" s="119"/>
      <c r="M48" s="119"/>
      <c r="N48" s="119"/>
      <c r="O48" s="119"/>
      <c r="P48" s="119"/>
    </row>
    <row r="49" ht="21" customHeight="1">
      <c r="A49" s="120" t="n">
        <v>16</v>
      </c>
      <c r="B49" s="126" t="s">
        <v>171</v>
      </c>
      <c r="C49" s="219" t="s">
        <v>172</v>
      </c>
      <c r="D49" s="116" t="s">
        <v>135</v>
      </c>
      <c r="E49" s="120" t="n">
        <f>E43+E44</f>
        <v>32</v>
      </c>
      <c r="F49" s="120" t="s">
        <v>102</v>
      </c>
      <c r="G49" s="119"/>
      <c r="H49" s="119"/>
      <c r="I49" s="119"/>
      <c r="J49" s="119"/>
      <c r="K49" s="119"/>
      <c r="L49" s="119"/>
      <c r="M49" s="119"/>
      <c r="N49" s="119"/>
      <c r="O49" s="119"/>
      <c r="P49" s="119"/>
    </row>
    <row r="50" ht="21" customHeight="1">
      <c r="A50" s="120" t="n">
        <v>17</v>
      </c>
      <c r="B50" s="126" t="s">
        <v>173</v>
      </c>
      <c r="C50" s="220" t="s">
        <v>174</v>
      </c>
      <c r="D50" s="116" t="s">
        <v>135</v>
      </c>
      <c r="E50" s="120" t="n">
        <v>100</v>
      </c>
      <c r="F50" s="120" t="s">
        <v>102</v>
      </c>
      <c r="G50" s="119"/>
      <c r="H50" s="119"/>
      <c r="I50" s="119"/>
      <c r="J50" s="119"/>
      <c r="K50" s="119"/>
      <c r="L50" s="119"/>
      <c r="M50" s="119"/>
      <c r="N50" s="119"/>
      <c r="O50" s="119"/>
      <c r="P50" s="119"/>
    </row>
    <row r="51" ht="21" customHeight="1">
      <c r="A51" s="120" t="n">
        <v>18</v>
      </c>
      <c r="B51" s="126" t="s">
        <v>105</v>
      </c>
      <c r="C51" s="124" t="s">
        <v>175</v>
      </c>
      <c r="D51" s="120" t="s">
        <v>107</v>
      </c>
      <c r="E51" s="116" t="n">
        <f>E43+E44</f>
        <v>32</v>
      </c>
      <c r="F51" s="120" t="s">
        <v>102</v>
      </c>
      <c r="G51" s="119"/>
      <c r="H51" s="119"/>
      <c r="I51" s="119"/>
      <c r="J51" s="119"/>
      <c r="K51" s="119"/>
      <c r="L51" s="119"/>
      <c r="M51" s="119"/>
      <c r="N51" s="119"/>
      <c r="O51" s="119"/>
      <c r="P51" s="119"/>
    </row>
    <row r="52" ht="21" customHeight="1">
      <c r="A52" s="120" t="n">
        <v>19</v>
      </c>
      <c r="B52" s="126" t="s">
        <v>114</v>
      </c>
      <c r="C52" s="221" t="s">
        <v>115</v>
      </c>
      <c r="D52" s="120" t="s">
        <v>107</v>
      </c>
      <c r="E52" s="120" t="n">
        <v>10560</v>
      </c>
      <c r="F52" s="120" t="s">
        <v>116</v>
      </c>
      <c r="G52" s="119"/>
      <c r="H52" s="119"/>
      <c r="I52" s="119"/>
      <c r="J52" s="119"/>
      <c r="K52" s="119"/>
      <c r="L52" s="119"/>
      <c r="M52" s="119"/>
      <c r="N52" s="119"/>
      <c r="O52" s="119"/>
      <c r="P52" s="119"/>
    </row>
    <row r="53" ht="21" customHeight="1">
      <c r="A53" s="120" t="n">
        <v>20</v>
      </c>
      <c r="B53" s="126" t="s">
        <v>117</v>
      </c>
      <c r="C53" s="222" t="s">
        <v>118</v>
      </c>
      <c r="D53" s="120" t="s">
        <v>107</v>
      </c>
      <c r="E53" s="120" t="n">
        <v>3</v>
      </c>
      <c r="F53" s="120" t="s">
        <v>102</v>
      </c>
      <c r="G53" s="119"/>
      <c r="H53" s="119"/>
      <c r="I53" s="119"/>
      <c r="J53" s="119"/>
      <c r="K53" s="119"/>
      <c r="L53" s="119"/>
      <c r="M53" s="119"/>
      <c r="N53" s="119"/>
      <c r="O53" s="119"/>
      <c r="P53" s="119"/>
    </row>
    <row r="54" ht="21" customHeight="1">
      <c r="A54" s="120" t="n">
        <v>21</v>
      </c>
      <c r="B54" s="128" t="s">
        <v>119</v>
      </c>
      <c r="C54" s="129" t="s">
        <v>176</v>
      </c>
      <c r="D54" s="120" t="s">
        <v>107</v>
      </c>
      <c r="E54" s="120" t="n">
        <f>E51</f>
        <v>32</v>
      </c>
      <c r="F54" s="120" t="s">
        <v>102</v>
      </c>
      <c r="G54" s="119"/>
      <c r="H54" s="119"/>
      <c r="I54" s="119"/>
      <c r="J54" s="119"/>
      <c r="K54" s="119"/>
      <c r="L54" s="119"/>
      <c r="M54" s="119"/>
      <c r="N54" s="119"/>
      <c r="O54" s="119"/>
    </row>
    <row r="55" ht="21" customHeight="1">
      <c r="A55" s="120" t="n">
        <v>22</v>
      </c>
      <c r="B55" s="126" t="s">
        <v>133</v>
      </c>
      <c r="C55" s="124" t="s">
        <v>134</v>
      </c>
      <c r="D55" s="116" t="s">
        <v>135</v>
      </c>
      <c r="E55" s="120" t="n">
        <v>15000</v>
      </c>
      <c r="F55" s="120" t="s">
        <v>116</v>
      </c>
      <c r="G55" s="119"/>
      <c r="H55" s="119"/>
      <c r="I55" s="119"/>
      <c r="J55" s="119"/>
      <c r="K55" s="119"/>
      <c r="L55" s="119"/>
      <c r="M55" s="119"/>
      <c r="N55" s="119"/>
      <c r="O55" s="119"/>
    </row>
    <row r="56" ht="21" customHeight="1">
      <c r="A56" s="120" t="n">
        <v>23</v>
      </c>
      <c r="B56" s="126" t="s">
        <v>136</v>
      </c>
      <c r="C56" s="124" t="s">
        <v>137</v>
      </c>
      <c r="D56" s="116"/>
      <c r="E56" s="120" t="n">
        <v>1</v>
      </c>
      <c r="F56" s="120" t="s">
        <v>138</v>
      </c>
      <c r="G56" s="119"/>
      <c r="H56" s="119"/>
      <c r="I56" s="119"/>
      <c r="J56" s="119"/>
      <c r="K56" s="119"/>
      <c r="L56" s="119"/>
      <c r="M56" s="119"/>
      <c r="N56" s="119"/>
      <c r="O56" s="119"/>
    </row>
    <row r="57" ht="21" customHeight="1">
      <c r="B57" s="105" t="s">
        <v>177</v>
      </c>
      <c r="C57" s="118"/>
      <c r="D57" s="116"/>
      <c r="E57" s="130"/>
      <c r="F57" s="120"/>
      <c r="G57" s="119"/>
      <c r="H57" s="119"/>
      <c r="I57" s="119"/>
      <c r="J57" s="119"/>
      <c r="K57" s="119"/>
      <c r="L57" s="119"/>
      <c r="M57" s="119"/>
      <c r="N57" s="119"/>
      <c r="O57" s="119"/>
    </row>
    <row r="58" ht="21" customHeight="1">
      <c r="A58" s="120" t="n">
        <v>1</v>
      </c>
      <c r="B58" s="124" t="s">
        <v>178</v>
      </c>
      <c r="C58" s="223" t="s">
        <v>179</v>
      </c>
      <c r="D58" s="116" t="s">
        <v>180</v>
      </c>
      <c r="E58" s="120" t="n">
        <v>1</v>
      </c>
      <c r="F58" s="120" t="s">
        <v>76</v>
      </c>
      <c r="G58" s="119"/>
      <c r="H58" s="119"/>
      <c r="I58" s="119"/>
      <c r="J58" s="119"/>
      <c r="K58" s="119"/>
      <c r="L58" s="119"/>
      <c r="M58" s="119"/>
      <c r="N58" s="119"/>
      <c r="O58" s="119"/>
    </row>
    <row r="59" ht="21" customHeight="1">
      <c r="A59" s="120" t="n">
        <v>2</v>
      </c>
      <c r="B59" s="124" t="s">
        <v>181</v>
      </c>
      <c r="C59" s="224" t="s">
        <v>182</v>
      </c>
      <c r="D59" s="116" t="s">
        <v>180</v>
      </c>
      <c r="E59" s="120" t="n">
        <v>1</v>
      </c>
      <c r="F59" s="120" t="s">
        <v>183</v>
      </c>
      <c r="G59" s="119"/>
      <c r="H59" s="119"/>
      <c r="I59" s="119"/>
      <c r="J59" s="119"/>
      <c r="K59" s="119"/>
      <c r="L59" s="119"/>
      <c r="M59" s="119"/>
      <c r="N59" s="119"/>
      <c r="O59" s="119"/>
    </row>
    <row r="60" ht="21" customHeight="1">
      <c r="A60" s="120" t="n">
        <v>3</v>
      </c>
      <c r="B60" s="124" t="s">
        <v>184</v>
      </c>
      <c r="C60" s="225" t="s">
        <v>185</v>
      </c>
      <c r="D60" s="116" t="s">
        <v>180</v>
      </c>
      <c r="E60" s="120" t="n">
        <v>1</v>
      </c>
      <c r="F60" s="120" t="s">
        <v>183</v>
      </c>
      <c r="G60" s="119"/>
      <c r="H60" s="119"/>
      <c r="I60" s="119"/>
      <c r="J60" s="119"/>
      <c r="K60" s="119"/>
      <c r="L60" s="119"/>
      <c r="M60" s="119"/>
      <c r="N60" s="119"/>
      <c r="O60" s="119"/>
    </row>
    <row r="61" ht="21" customHeight="1">
      <c r="B61" s="105" t="s">
        <v>186</v>
      </c>
      <c r="C61" s="118"/>
      <c r="D61" s="116"/>
      <c r="E61" s="119"/>
      <c r="F61" s="116"/>
      <c r="G61" s="119"/>
      <c r="H61" s="119"/>
      <c r="I61" s="119"/>
      <c r="J61" s="119"/>
      <c r="K61" s="119"/>
      <c r="L61" s="119"/>
      <c r="M61" s="119"/>
      <c r="N61" s="119"/>
      <c r="O61" s="119"/>
    </row>
    <row r="62" ht="21" customHeight="1">
      <c r="A62" s="120" t="n">
        <v>1</v>
      </c>
      <c r="B62" s="124" t="s">
        <v>187</v>
      </c>
      <c r="C62" s="226" t="s">
        <v>188</v>
      </c>
      <c r="D62" s="116" t="s">
        <v>189</v>
      </c>
      <c r="E62" s="120" t="n">
        <v>15</v>
      </c>
      <c r="F62" s="120" t="s">
        <v>76</v>
      </c>
      <c r="G62" s="119"/>
      <c r="H62" s="119"/>
      <c r="I62" s="119"/>
      <c r="J62" s="119"/>
      <c r="K62" s="119"/>
      <c r="L62" s="119"/>
      <c r="M62" s="119"/>
      <c r="N62" s="119"/>
      <c r="O62" s="119"/>
    </row>
    <row r="63" ht="21" customHeight="1">
      <c r="A63" s="120" t="n">
        <v>2</v>
      </c>
      <c r="B63" s="124" t="s">
        <v>190</v>
      </c>
      <c r="C63" s="227" t="s">
        <v>191</v>
      </c>
      <c r="D63" s="116" t="s">
        <v>189</v>
      </c>
      <c r="E63" s="120" t="n">
        <v>50</v>
      </c>
      <c r="F63" s="120" t="s">
        <v>76</v>
      </c>
      <c r="G63" s="119"/>
      <c r="H63" s="119"/>
      <c r="I63" s="119"/>
      <c r="J63" s="119"/>
      <c r="K63" s="119"/>
      <c r="L63" s="119"/>
      <c r="M63" s="119"/>
      <c r="N63" s="119"/>
      <c r="O63" s="119"/>
    </row>
    <row r="64" ht="21" customHeight="1">
      <c r="A64" s="120" t="n">
        <v>3</v>
      </c>
      <c r="B64" s="124" t="s">
        <v>192</v>
      </c>
      <c r="C64" s="228" t="s">
        <v>193</v>
      </c>
      <c r="D64" s="116" t="s">
        <v>189</v>
      </c>
      <c r="E64" s="120" t="n">
        <v>1</v>
      </c>
      <c r="F64" s="120" t="s">
        <v>76</v>
      </c>
      <c r="G64" s="119"/>
      <c r="H64" s="119"/>
      <c r="I64" s="119"/>
      <c r="J64" s="119"/>
      <c r="K64" s="119"/>
      <c r="L64" s="119"/>
      <c r="M64" s="119"/>
      <c r="N64" s="119"/>
      <c r="O64" s="119"/>
    </row>
    <row r="65" ht="21" customHeight="1">
      <c r="A65" s="120" t="n">
        <v>4</v>
      </c>
      <c r="B65" s="124" t="s">
        <v>194</v>
      </c>
      <c r="C65" s="229" t="s">
        <v>195</v>
      </c>
      <c r="D65" s="116" t="s">
        <v>189</v>
      </c>
      <c r="E65" s="120" t="n">
        <v>1</v>
      </c>
      <c r="F65" s="120" t="s">
        <v>183</v>
      </c>
      <c r="G65" s="119"/>
      <c r="H65" s="119"/>
      <c r="I65" s="119"/>
      <c r="J65" s="119"/>
      <c r="K65" s="119"/>
      <c r="L65" s="119"/>
      <c r="M65" s="119"/>
      <c r="N65" s="119"/>
      <c r="O65" s="119"/>
    </row>
    <row r="66" ht="21" customHeight="1">
      <c r="B66" s="105" t="s">
        <v>196</v>
      </c>
      <c r="C66" s="118"/>
      <c r="D66" s="116"/>
      <c r="E66" s="119"/>
      <c r="F66" s="116"/>
      <c r="G66" s="119"/>
      <c r="H66" s="119"/>
      <c r="I66" s="119"/>
      <c r="J66" s="119"/>
      <c r="K66" s="119"/>
      <c r="L66" s="119"/>
      <c r="M66" s="119"/>
      <c r="N66" s="119"/>
      <c r="O66" s="119"/>
    </row>
    <row r="67" ht="21" customHeight="1">
      <c r="A67" s="120" t="n">
        <v>1</v>
      </c>
      <c r="B67" s="124" t="s">
        <v>197</v>
      </c>
      <c r="C67" s="230" t="s">
        <v>198</v>
      </c>
      <c r="D67" s="116" t="s">
        <v>199</v>
      </c>
      <c r="E67" s="120" t="n">
        <v>22000</v>
      </c>
      <c r="F67" s="120" t="s">
        <v>116</v>
      </c>
      <c r="G67" s="119"/>
      <c r="H67" s="119"/>
      <c r="I67" s="119"/>
      <c r="J67" s="119"/>
      <c r="K67" s="119"/>
      <c r="L67" s="119"/>
      <c r="M67" s="119"/>
      <c r="N67" s="119"/>
      <c r="O67" s="119"/>
    </row>
    <row r="68" ht="21" customHeight="1">
      <c r="A68" s="120" t="n">
        <v>2</v>
      </c>
      <c r="B68" s="124" t="s">
        <v>200</v>
      </c>
      <c r="C68" s="231" t="s">
        <v>201</v>
      </c>
      <c r="D68" s="116" t="s">
        <v>199</v>
      </c>
      <c r="E68" s="120" t="n">
        <v>1</v>
      </c>
      <c r="F68" s="120" t="s">
        <v>76</v>
      </c>
      <c r="G68" s="119"/>
      <c r="H68" s="119"/>
      <c r="I68" s="119"/>
      <c r="J68" s="119"/>
      <c r="K68" s="119"/>
      <c r="L68" s="119"/>
      <c r="M68" s="119"/>
      <c r="N68" s="119"/>
      <c r="O68" s="119"/>
    </row>
    <row r="69" ht="21" customHeight="1">
      <c r="A69" s="120" t="n">
        <v>3</v>
      </c>
      <c r="B69" s="124" t="s">
        <v>202</v>
      </c>
      <c r="C69" s="232" t="s">
        <v>203</v>
      </c>
      <c r="D69" s="116" t="s">
        <v>199</v>
      </c>
      <c r="E69" s="120" t="n">
        <v>323</v>
      </c>
      <c r="F69" s="120" t="s">
        <v>204</v>
      </c>
      <c r="G69" s="131"/>
      <c r="H69" s="119"/>
      <c r="I69" s="119"/>
      <c r="J69" s="119"/>
      <c r="K69" s="119"/>
      <c r="L69" s="119"/>
      <c r="M69" s="119"/>
      <c r="N69" s="119"/>
      <c r="O69" s="119"/>
    </row>
    <row r="70" ht="21" customHeight="1">
      <c r="A70" s="120" t="n">
        <v>4</v>
      </c>
      <c r="B70" s="124" t="s">
        <v>205</v>
      </c>
      <c r="C70" s="233" t="s">
        <v>206</v>
      </c>
      <c r="D70" s="116" t="s">
        <v>199</v>
      </c>
      <c r="E70" s="120" t="n">
        <v>9</v>
      </c>
      <c r="F70" s="120" t="s">
        <v>207</v>
      </c>
      <c r="G70" s="131"/>
      <c r="H70" s="119"/>
      <c r="I70" s="119"/>
      <c r="J70" s="119"/>
      <c r="K70" s="119"/>
      <c r="L70" s="119"/>
      <c r="M70" s="119"/>
      <c r="N70" s="119"/>
      <c r="O70" s="119"/>
    </row>
    <row r="71" ht="21" customHeight="1">
      <c r="A71" s="120" t="n">
        <v>5</v>
      </c>
      <c r="B71" s="124" t="s">
        <v>208</v>
      </c>
      <c r="C71" s="234" t="s">
        <v>209</v>
      </c>
      <c r="D71" s="116" t="s">
        <v>199</v>
      </c>
      <c r="E71" s="120" t="n">
        <v>8800</v>
      </c>
      <c r="F71" s="120" t="s">
        <v>210</v>
      </c>
      <c r="G71" s="119"/>
      <c r="H71" s="119"/>
      <c r="I71" s="119"/>
      <c r="J71" s="119"/>
      <c r="K71" s="119"/>
      <c r="L71" s="119"/>
      <c r="M71" s="119"/>
      <c r="N71" s="119"/>
      <c r="O71" s="119"/>
    </row>
    <row r="72" ht="21" customHeight="1">
      <c r="A72" s="132" t="n">
        <v>6</v>
      </c>
      <c r="B72" s="133" t="s">
        <v>211</v>
      </c>
      <c r="C72" s="235" t="s">
        <v>212</v>
      </c>
      <c r="D72" s="134" t="s">
        <v>199</v>
      </c>
      <c r="E72" s="132" t="n">
        <v>1</v>
      </c>
      <c r="F72" s="132" t="s">
        <v>76</v>
      </c>
      <c r="G72" s="119"/>
      <c r="H72" s="119"/>
      <c r="I72" s="119"/>
      <c r="J72" s="119"/>
      <c r="K72" s="119"/>
      <c r="L72" s="119"/>
      <c r="M72" s="119"/>
      <c r="N72" s="119"/>
      <c r="O72" s="119"/>
    </row>
    <row r="73" ht="21" customHeight="1">
      <c r="A73" s="120" t="n">
        <v>7</v>
      </c>
      <c r="B73" s="124" t="s">
        <v>213</v>
      </c>
      <c r="C73" s="236" t="s">
        <v>214</v>
      </c>
      <c r="D73" s="116" t="s">
        <v>199</v>
      </c>
      <c r="E73" s="132" t="n">
        <v>1</v>
      </c>
      <c r="F73" s="132" t="s">
        <v>183</v>
      </c>
      <c r="G73" s="119"/>
      <c r="H73" s="119"/>
      <c r="I73" s="119"/>
      <c r="J73" s="119"/>
      <c r="K73" s="119"/>
      <c r="L73" s="119"/>
      <c r="M73" s="119"/>
      <c r="N73" s="119"/>
      <c r="O73" s="119"/>
    </row>
    <row r="74" ht="21" customHeight="1">
      <c r="A74" s="120" t="n">
        <v>8</v>
      </c>
      <c r="B74" s="124" t="s">
        <v>215</v>
      </c>
      <c r="C74" s="237" t="s">
        <v>216</v>
      </c>
      <c r="D74" s="134" t="s">
        <v>199</v>
      </c>
      <c r="E74" s="132" t="n">
        <v>1</v>
      </c>
      <c r="F74" s="132" t="s">
        <v>183</v>
      </c>
      <c r="G74" s="119"/>
      <c r="H74" s="119"/>
      <c r="I74" s="119"/>
      <c r="J74" s="119"/>
      <c r="K74" s="119"/>
      <c r="L74" s="119"/>
      <c r="M74" s="119"/>
      <c r="N74" s="119"/>
      <c r="O74" s="119"/>
    </row>
    <row r="75" ht="21" customHeight="1">
      <c r="A75" s="120" t="n">
        <v>7</v>
      </c>
      <c r="B75" s="124" t="s">
        <v>217</v>
      </c>
      <c r="C75" s="124" t="s">
        <v>218</v>
      </c>
      <c r="D75" s="116"/>
      <c r="E75" s="120" t="n">
        <v>3500</v>
      </c>
      <c r="F75" s="120" t="s">
        <v>116</v>
      </c>
      <c r="G75" s="119"/>
      <c r="H75" s="119"/>
      <c r="I75" s="119"/>
      <c r="J75" s="119"/>
      <c r="K75" s="119"/>
      <c r="L75" s="119"/>
      <c r="M75" s="119"/>
      <c r="N75" s="119"/>
      <c r="O75" s="119"/>
    </row>
    <row r="76" ht="21" customHeight="1">
      <c r="A76" s="120" t="n">
        <v>8</v>
      </c>
      <c r="B76" s="121" t="s">
        <v>219</v>
      </c>
      <c r="C76" s="121" t="s">
        <v>219</v>
      </c>
      <c r="D76" s="116"/>
      <c r="E76" s="120" t="n">
        <v>2000</v>
      </c>
      <c r="F76" s="120" t="s">
        <v>220</v>
      </c>
      <c r="G76" s="119"/>
      <c r="H76" s="119"/>
      <c r="I76" s="119"/>
      <c r="J76" s="119"/>
      <c r="K76" s="119"/>
      <c r="L76" s="119"/>
      <c r="M76" s="119"/>
      <c r="N76" s="119"/>
      <c r="O76" s="119"/>
    </row>
    <row r="77" ht="21" customHeight="1">
      <c r="B77" s="105" t="s">
        <v>221</v>
      </c>
      <c r="C77" s="135"/>
      <c r="D77" s="136"/>
      <c r="E77" s="137"/>
      <c r="F77" s="136"/>
      <c r="G77" s="119"/>
      <c r="H77" s="119"/>
      <c r="I77" s="119"/>
      <c r="J77" s="119"/>
      <c r="K77" s="119"/>
      <c r="L77" s="119"/>
      <c r="M77" s="119"/>
      <c r="N77" s="119"/>
      <c r="O77" s="119"/>
    </row>
    <row r="78" ht="21" customHeight="1">
      <c r="A78" s="120" t="n">
        <v>1</v>
      </c>
      <c r="B78" s="124" t="s">
        <v>222</v>
      </c>
      <c r="C78" s="238" t="s">
        <v>223</v>
      </c>
      <c r="D78" s="116" t="s">
        <v>199</v>
      </c>
      <c r="E78" s="120" t="n">
        <v>11</v>
      </c>
      <c r="F78" s="120" t="s">
        <v>111</v>
      </c>
      <c r="G78" s="119"/>
      <c r="H78" s="119"/>
      <c r="I78" s="119"/>
      <c r="J78" s="119"/>
      <c r="K78" s="119"/>
      <c r="L78" s="119"/>
      <c r="M78" s="119"/>
      <c r="N78" s="119"/>
      <c r="O78" s="119"/>
    </row>
    <row r="79" ht="21" customHeight="1">
      <c r="A79" s="120" t="n">
        <v>2</v>
      </c>
      <c r="B79" s="124" t="s">
        <v>224</v>
      </c>
      <c r="C79" s="124" t="s">
        <v>225</v>
      </c>
      <c r="D79" s="116" t="s">
        <v>199</v>
      </c>
      <c r="E79" s="120" t="n">
        <v>6</v>
      </c>
      <c r="F79" s="120" t="s">
        <v>76</v>
      </c>
      <c r="G79" s="119"/>
      <c r="H79" s="119"/>
      <c r="I79" s="119"/>
      <c r="J79" s="119"/>
      <c r="K79" s="119"/>
      <c r="L79" s="119"/>
      <c r="M79" s="119"/>
      <c r="N79" s="119"/>
      <c r="O79" s="119"/>
    </row>
    <row r="80" ht="21" customHeight="1">
      <c r="A80" s="120" t="n">
        <v>3</v>
      </c>
      <c r="B80" s="124" t="s">
        <v>226</v>
      </c>
      <c r="C80" s="239" t="s">
        <v>227</v>
      </c>
      <c r="D80" s="116" t="s">
        <v>199</v>
      </c>
      <c r="E80" s="120" t="n">
        <v>1</v>
      </c>
      <c r="F80" s="120" t="s">
        <v>76</v>
      </c>
      <c r="G80" s="119"/>
      <c r="H80" s="119"/>
      <c r="I80" s="119"/>
      <c r="J80" s="119"/>
      <c r="K80" s="119"/>
      <c r="L80" s="119"/>
      <c r="M80" s="119"/>
      <c r="N80" s="119"/>
      <c r="O80" s="119"/>
    </row>
    <row r="81" ht="21" customHeight="1">
      <c r="A81" s="120" t="n">
        <v>4</v>
      </c>
      <c r="B81" s="124" t="s">
        <v>228</v>
      </c>
      <c r="C81" s="240" t="s">
        <v>229</v>
      </c>
      <c r="D81" s="116" t="s">
        <v>199</v>
      </c>
      <c r="E81" s="120" t="n">
        <v>1</v>
      </c>
      <c r="F81" s="120" t="s">
        <v>76</v>
      </c>
      <c r="G81" s="119"/>
      <c r="H81" s="119"/>
      <c r="I81" s="119"/>
      <c r="J81" s="119"/>
      <c r="K81" s="119"/>
      <c r="L81" s="119"/>
      <c r="M81" s="119"/>
      <c r="N81" s="119"/>
      <c r="O81" s="119"/>
    </row>
    <row r="82" ht="21" customHeight="1">
      <c r="A82" s="120" t="n">
        <v>5</v>
      </c>
      <c r="B82" s="124" t="s">
        <v>230</v>
      </c>
      <c r="C82" s="241" t="s">
        <v>231</v>
      </c>
      <c r="D82" s="116" t="s">
        <v>199</v>
      </c>
      <c r="E82" s="120" t="n">
        <v>1</v>
      </c>
      <c r="F82" s="120" t="s">
        <v>76</v>
      </c>
      <c r="G82" s="119"/>
      <c r="H82" s="119"/>
      <c r="I82" s="119"/>
      <c r="J82" s="119"/>
      <c r="K82" s="119"/>
      <c r="L82" s="119"/>
      <c r="M82" s="119"/>
      <c r="N82" s="119"/>
      <c r="O82" s="119"/>
    </row>
    <row r="83" ht="21" customHeight="1">
      <c r="A83" s="120" t="n">
        <v>6</v>
      </c>
      <c r="B83" s="124" t="s">
        <v>232</v>
      </c>
      <c r="C83" s="242" t="s">
        <v>233</v>
      </c>
      <c r="D83" s="116" t="s">
        <v>199</v>
      </c>
      <c r="E83" s="120" t="n">
        <v>1</v>
      </c>
      <c r="F83" s="120" t="s">
        <v>102</v>
      </c>
      <c r="G83" s="119"/>
      <c r="H83" s="119"/>
      <c r="I83" s="119"/>
      <c r="J83" s="119"/>
      <c r="K83" s="119"/>
      <c r="L83" s="119"/>
      <c r="M83" s="119"/>
      <c r="N83" s="119"/>
      <c r="O83" s="119"/>
    </row>
    <row r="84" ht="21" customHeight="1">
      <c r="A84" s="120" t="n">
        <v>7</v>
      </c>
      <c r="B84" s="124" t="s">
        <v>234</v>
      </c>
      <c r="C84" s="243" t="s">
        <v>235</v>
      </c>
      <c r="D84" s="116" t="s">
        <v>199</v>
      </c>
      <c r="E84" s="120" t="n">
        <v>11</v>
      </c>
      <c r="F84" s="120" t="s">
        <v>76</v>
      </c>
      <c r="G84" s="119"/>
      <c r="H84" s="119"/>
      <c r="I84" s="119"/>
      <c r="J84" s="119"/>
      <c r="K84" s="119"/>
      <c r="L84" s="119"/>
      <c r="M84" s="119"/>
      <c r="N84" s="119"/>
      <c r="O84" s="119"/>
    </row>
    <row r="85" ht="21" customHeight="1">
      <c r="A85" s="120" t="n">
        <v>8</v>
      </c>
      <c r="B85" s="124" t="s">
        <v>236</v>
      </c>
      <c r="C85" s="244" t="s">
        <v>237</v>
      </c>
      <c r="D85" s="116" t="s">
        <v>199</v>
      </c>
      <c r="E85" s="120" t="n">
        <v>1</v>
      </c>
      <c r="F85" s="120" t="s">
        <v>76</v>
      </c>
      <c r="G85" s="119"/>
      <c r="H85" s="119"/>
      <c r="I85" s="119"/>
      <c r="J85" s="119"/>
      <c r="K85" s="119"/>
      <c r="L85" s="119"/>
      <c r="M85" s="119"/>
      <c r="N85" s="119"/>
      <c r="O85" s="119"/>
    </row>
    <row r="86" ht="21" customHeight="1">
      <c r="A86" s="120" t="n">
        <v>9</v>
      </c>
      <c r="B86" s="124" t="s">
        <v>128</v>
      </c>
      <c r="C86" s="124" t="s">
        <v>238</v>
      </c>
      <c r="D86" s="120" t="s">
        <v>107</v>
      </c>
      <c r="E86" s="120" t="n">
        <v>2400</v>
      </c>
      <c r="F86" s="120" t="s">
        <v>116</v>
      </c>
      <c r="G86" s="119"/>
      <c r="H86" s="119"/>
      <c r="I86" s="119"/>
      <c r="J86" s="119"/>
      <c r="K86" s="119"/>
      <c r="L86" s="119"/>
      <c r="M86" s="119"/>
      <c r="N86" s="119"/>
      <c r="O86" s="119"/>
    </row>
    <row r="87" ht="21" customHeight="1">
      <c r="A87" s="120" t="n">
        <v>10</v>
      </c>
      <c r="B87" s="124" t="s">
        <v>128</v>
      </c>
      <c r="C87" s="124" t="s">
        <v>239</v>
      </c>
      <c r="D87" s="120" t="s">
        <v>107</v>
      </c>
      <c r="E87" s="120" t="n">
        <v>200</v>
      </c>
      <c r="F87" s="120" t="s">
        <v>116</v>
      </c>
      <c r="G87" s="119"/>
      <c r="H87" s="119"/>
      <c r="I87" s="119"/>
      <c r="J87" s="119"/>
      <c r="K87" s="119"/>
      <c r="L87" s="119"/>
      <c r="M87" s="119"/>
      <c r="N87" s="119"/>
      <c r="O87" s="119"/>
    </row>
    <row r="88" ht="21" customHeight="1">
      <c r="A88" s="120" t="n">
        <v>11</v>
      </c>
      <c r="B88" s="126" t="s">
        <v>133</v>
      </c>
      <c r="C88" s="124" t="s">
        <v>134</v>
      </c>
      <c r="D88" s="116" t="s">
        <v>135</v>
      </c>
      <c r="E88" s="120" t="n">
        <v>1000</v>
      </c>
      <c r="F88" s="120" t="s">
        <v>116</v>
      </c>
      <c r="G88" s="119"/>
      <c r="H88" s="119"/>
      <c r="I88" s="119"/>
      <c r="J88" s="119"/>
      <c r="K88" s="119"/>
      <c r="L88" s="119"/>
      <c r="M88" s="119"/>
      <c r="N88" s="119"/>
      <c r="O88" s="119"/>
    </row>
    <row r="89" ht="21" customHeight="1">
      <c r="B89" s="105" t="s">
        <v>240</v>
      </c>
      <c r="C89" s="118"/>
      <c r="D89" s="116"/>
      <c r="E89" s="119"/>
      <c r="F89" s="116"/>
      <c r="G89" s="119"/>
      <c r="H89" s="119"/>
      <c r="I89" s="119"/>
      <c r="J89" s="119"/>
      <c r="K89" s="119"/>
      <c r="L89" s="119"/>
      <c r="M89" s="119"/>
      <c r="N89" s="119"/>
      <c r="O89" s="119"/>
    </row>
    <row r="90" ht="68.25" customHeight="1">
      <c r="A90" s="120" t="n">
        <v>1</v>
      </c>
      <c r="B90" s="124" t="s">
        <v>77</v>
      </c>
      <c r="C90" s="245" t="s">
        <v>241</v>
      </c>
      <c r="D90" s="120" t="s">
        <v>79</v>
      </c>
      <c r="E90" s="120" t="n">
        <v>1</v>
      </c>
      <c r="F90" s="120" t="s">
        <v>76</v>
      </c>
      <c r="G90" s="119"/>
      <c r="H90" s="119"/>
      <c r="I90" s="119"/>
      <c r="J90" s="119"/>
      <c r="K90" s="119"/>
      <c r="L90" s="119"/>
      <c r="M90" s="119"/>
      <c r="N90" s="119"/>
      <c r="O90" s="119"/>
    </row>
    <row r="91" ht="21" customHeight="1">
      <c r="A91" s="120" t="n">
        <v>2</v>
      </c>
      <c r="B91" s="124" t="s">
        <v>80</v>
      </c>
      <c r="C91" s="246" t="s">
        <v>81</v>
      </c>
      <c r="D91" s="120" t="s">
        <v>79</v>
      </c>
      <c r="E91" s="120" t="n">
        <v>9</v>
      </c>
      <c r="F91" s="120" t="s">
        <v>76</v>
      </c>
      <c r="G91" s="119"/>
      <c r="H91" s="119"/>
      <c r="I91" s="119"/>
      <c r="J91" s="119"/>
      <c r="K91" s="119"/>
      <c r="L91" s="119"/>
      <c r="M91" s="119"/>
      <c r="N91" s="119"/>
      <c r="O91" s="119"/>
    </row>
    <row r="92" ht="21" customHeight="1">
      <c r="A92" s="120" t="n">
        <v>3</v>
      </c>
      <c r="B92" s="124" t="s">
        <v>82</v>
      </c>
      <c r="C92" s="124" t="s">
        <v>242</v>
      </c>
      <c r="D92" s="120" t="s">
        <v>79</v>
      </c>
      <c r="E92" s="120" t="n">
        <v>9</v>
      </c>
      <c r="F92" s="120" t="s">
        <v>76</v>
      </c>
      <c r="G92" s="119"/>
      <c r="H92" s="119"/>
      <c r="I92" s="119"/>
      <c r="J92" s="119"/>
      <c r="K92" s="119"/>
      <c r="L92" s="119"/>
      <c r="M92" s="119"/>
      <c r="N92" s="119"/>
      <c r="O92" s="119"/>
    </row>
    <row r="93" ht="108.75" customHeight="1">
      <c r="A93" s="120" t="n">
        <v>4</v>
      </c>
      <c r="B93" s="124" t="s">
        <v>85</v>
      </c>
      <c r="C93" s="247" t="s">
        <v>86</v>
      </c>
      <c r="D93" s="120" t="s">
        <v>87</v>
      </c>
      <c r="E93" s="120" t="n">
        <v>9</v>
      </c>
      <c r="F93" s="120" t="s">
        <v>76</v>
      </c>
      <c r="G93" s="119"/>
      <c r="H93" s="119"/>
      <c r="I93" s="119"/>
      <c r="J93" s="119"/>
      <c r="K93" s="119"/>
      <c r="L93" s="119"/>
      <c r="M93" s="119"/>
      <c r="N93" s="119"/>
      <c r="O93" s="119"/>
    </row>
    <row r="94" ht="21" customHeight="1">
      <c r="A94" s="120" t="n">
        <v>5</v>
      </c>
      <c r="B94" s="124" t="s">
        <v>243</v>
      </c>
      <c r="C94" s="248" t="s">
        <v>244</v>
      </c>
      <c r="D94" s="120" t="s">
        <v>79</v>
      </c>
      <c r="E94" s="120" t="n">
        <v>39</v>
      </c>
      <c r="F94" s="120" t="s">
        <v>76</v>
      </c>
      <c r="G94" s="119"/>
      <c r="H94" s="119"/>
      <c r="I94" s="119"/>
      <c r="J94" s="119"/>
      <c r="K94" s="119"/>
      <c r="L94" s="119"/>
      <c r="M94" s="119"/>
      <c r="N94" s="119"/>
      <c r="O94" s="119"/>
    </row>
    <row r="95" ht="21" customHeight="1">
      <c r="A95" s="120" t="n">
        <v>6</v>
      </c>
      <c r="B95" s="124" t="s">
        <v>245</v>
      </c>
      <c r="C95" s="249" t="s">
        <v>246</v>
      </c>
      <c r="D95" s="123" t="s">
        <v>247</v>
      </c>
      <c r="E95" s="120" t="n">
        <v>14</v>
      </c>
      <c r="F95" s="120" t="s">
        <v>76</v>
      </c>
      <c r="G95" s="119"/>
      <c r="H95" s="119"/>
      <c r="I95" s="119"/>
      <c r="J95" s="119"/>
      <c r="K95" s="119"/>
      <c r="L95" s="119"/>
      <c r="M95" s="119"/>
      <c r="N95" s="119"/>
      <c r="O95" s="119"/>
    </row>
    <row r="96" ht="21" customHeight="1">
      <c r="A96" s="120" t="n">
        <v>7</v>
      </c>
      <c r="B96" s="126" t="s">
        <v>105</v>
      </c>
      <c r="C96" s="124" t="s">
        <v>106</v>
      </c>
      <c r="D96" s="120" t="s">
        <v>107</v>
      </c>
      <c r="E96" s="116" t="n">
        <f>E90+E91</f>
        <v>10</v>
      </c>
      <c r="F96" s="120" t="s">
        <v>102</v>
      </c>
      <c r="G96" s="119"/>
      <c r="H96" s="119"/>
      <c r="I96" s="119"/>
      <c r="J96" s="119"/>
      <c r="K96" s="119"/>
      <c r="L96" s="119"/>
      <c r="M96" s="119"/>
      <c r="N96" s="119"/>
      <c r="O96" s="119"/>
    </row>
    <row r="97" ht="21" customHeight="1">
      <c r="A97" s="120" t="n">
        <v>8</v>
      </c>
      <c r="B97" s="126" t="s">
        <v>108</v>
      </c>
      <c r="C97" s="124" t="s">
        <v>109</v>
      </c>
      <c r="D97" s="116" t="s">
        <v>110</v>
      </c>
      <c r="E97" s="116" t="n">
        <f>E90+E91</f>
        <v>10</v>
      </c>
      <c r="F97" s="120" t="s">
        <v>111</v>
      </c>
      <c r="G97" s="119"/>
      <c r="H97" s="119"/>
      <c r="I97" s="119"/>
      <c r="J97" s="119"/>
      <c r="K97" s="119"/>
      <c r="L97" s="119"/>
      <c r="M97" s="119"/>
      <c r="N97" s="119"/>
      <c r="O97" s="119"/>
    </row>
    <row r="98" ht="21" customHeight="1">
      <c r="A98" s="120" t="n">
        <v>9</v>
      </c>
      <c r="B98" s="126" t="s">
        <v>112</v>
      </c>
      <c r="C98" s="124" t="s">
        <v>113</v>
      </c>
      <c r="D98" s="116" t="s">
        <v>110</v>
      </c>
      <c r="E98" s="116" t="n">
        <v>1</v>
      </c>
      <c r="F98" s="120" t="s">
        <v>102</v>
      </c>
      <c r="G98" s="119"/>
      <c r="H98" s="119"/>
      <c r="I98" s="119"/>
      <c r="J98" s="119"/>
      <c r="K98" s="119"/>
      <c r="L98" s="119"/>
      <c r="M98" s="119"/>
      <c r="N98" s="119"/>
      <c r="O98" s="119"/>
    </row>
    <row r="99" ht="21" customHeight="1">
      <c r="A99" s="120" t="n">
        <v>10</v>
      </c>
      <c r="B99" s="126" t="s">
        <v>114</v>
      </c>
      <c r="C99" s="250" t="s">
        <v>115</v>
      </c>
      <c r="D99" s="120" t="s">
        <v>107</v>
      </c>
      <c r="E99" s="120" t="n">
        <f>E97*300</f>
        <v>3000</v>
      </c>
      <c r="F99" s="120" t="s">
        <v>116</v>
      </c>
      <c r="G99" s="119"/>
      <c r="H99" s="119"/>
      <c r="I99" s="119"/>
      <c r="J99" s="119"/>
      <c r="K99" s="119"/>
      <c r="L99" s="119"/>
      <c r="M99" s="119"/>
      <c r="N99" s="119"/>
      <c r="O99" s="119"/>
    </row>
    <row r="100" ht="21" customHeight="1">
      <c r="A100" s="120" t="n">
        <v>11</v>
      </c>
      <c r="B100" s="126" t="s">
        <v>117</v>
      </c>
      <c r="C100" s="251" t="s">
        <v>118</v>
      </c>
      <c r="D100" s="120" t="s">
        <v>107</v>
      </c>
      <c r="E100" s="120" t="n">
        <v>1</v>
      </c>
      <c r="F100" s="120" t="s">
        <v>102</v>
      </c>
      <c r="G100" s="119"/>
      <c r="H100" s="119"/>
      <c r="I100" s="119"/>
      <c r="J100" s="119"/>
      <c r="K100" s="119"/>
      <c r="L100" s="119"/>
      <c r="M100" s="119"/>
      <c r="N100" s="119"/>
      <c r="O100" s="119"/>
    </row>
    <row r="101" ht="21" customHeight="1">
      <c r="A101" s="120" t="n">
        <v>12</v>
      </c>
      <c r="B101" s="126" t="s">
        <v>119</v>
      </c>
      <c r="C101" s="124" t="s">
        <v>120</v>
      </c>
      <c r="D101" s="120" t="s">
        <v>107</v>
      </c>
      <c r="E101" s="120" t="n">
        <f>E97</f>
        <v>10</v>
      </c>
      <c r="F101" s="120" t="s">
        <v>102</v>
      </c>
      <c r="G101" s="119"/>
      <c r="H101" s="119"/>
      <c r="I101" s="119"/>
      <c r="J101" s="119"/>
      <c r="K101" s="119"/>
      <c r="L101" s="119"/>
      <c r="M101" s="119"/>
      <c r="N101" s="119"/>
      <c r="O101" s="119"/>
    </row>
    <row r="102" ht="135.75" customHeight="1">
      <c r="A102" s="120" t="n">
        <v>13</v>
      </c>
      <c r="B102" s="126" t="s">
        <v>121</v>
      </c>
      <c r="C102" s="252" t="s">
        <v>248</v>
      </c>
      <c r="D102" s="120" t="s">
        <v>107</v>
      </c>
      <c r="E102" s="120" t="n">
        <f>E97*2</f>
        <v>20</v>
      </c>
      <c r="F102" s="120" t="s">
        <v>102</v>
      </c>
      <c r="G102" s="119"/>
      <c r="H102" s="119"/>
      <c r="I102" s="119"/>
      <c r="J102" s="119"/>
      <c r="K102" s="119"/>
      <c r="L102" s="119"/>
      <c r="M102" s="119"/>
      <c r="N102" s="119"/>
      <c r="O102" s="119"/>
    </row>
    <row r="103" ht="21" customHeight="1">
      <c r="A103" s="120" t="n">
        <v>14</v>
      </c>
      <c r="B103" s="126" t="s">
        <v>249</v>
      </c>
      <c r="C103" s="253" t="s">
        <v>250</v>
      </c>
      <c r="D103" s="116" t="s">
        <v>125</v>
      </c>
      <c r="E103" s="116" t="n">
        <v>1</v>
      </c>
      <c r="F103" s="120" t="s">
        <v>76</v>
      </c>
      <c r="G103" s="119"/>
      <c r="H103" s="119"/>
      <c r="I103" s="119"/>
      <c r="J103" s="119"/>
      <c r="K103" s="119"/>
      <c r="L103" s="119"/>
      <c r="M103" s="119"/>
      <c r="N103" s="119"/>
      <c r="O103" s="119"/>
    </row>
    <row r="104" ht="21" customHeight="1">
      <c r="A104" s="120" t="n">
        <v>15</v>
      </c>
      <c r="B104" s="126" t="s">
        <v>126</v>
      </c>
      <c r="C104" s="124" t="s">
        <v>127</v>
      </c>
      <c r="D104" s="116" t="s">
        <v>125</v>
      </c>
      <c r="E104" s="120" t="n">
        <f>(E103)*2</f>
        <v>2</v>
      </c>
      <c r="F104" s="120" t="s">
        <v>102</v>
      </c>
      <c r="G104" s="138"/>
      <c r="H104" s="139"/>
      <c r="I104" s="139"/>
      <c r="J104" s="139"/>
      <c r="K104" s="139"/>
      <c r="L104" s="139"/>
      <c r="M104" s="139"/>
      <c r="N104" s="139"/>
      <c r="O104" s="139"/>
    </row>
    <row r="105" ht="14.25" customHeight="1">
      <c r="A105" s="120" t="n">
        <v>16</v>
      </c>
      <c r="B105" s="124" t="s">
        <v>128</v>
      </c>
      <c r="C105" s="124" t="s">
        <v>251</v>
      </c>
      <c r="D105" s="120" t="s">
        <v>107</v>
      </c>
      <c r="E105" s="120" t="n">
        <f>E94*70*1.1</f>
        <v>3003</v>
      </c>
      <c r="F105" s="140" t="s">
        <v>116</v>
      </c>
      <c r="G105" s="141"/>
      <c r="H105" s="141"/>
      <c r="I105" s="141"/>
      <c r="J105" s="141"/>
      <c r="K105" s="119"/>
      <c r="L105" s="119"/>
      <c r="M105" s="119"/>
      <c r="N105" s="119"/>
      <c r="O105" s="141"/>
    </row>
    <row r="106" ht="14.25" customHeight="1">
      <c r="A106" s="120" t="n">
        <v>17</v>
      </c>
      <c r="B106" s="124" t="s">
        <v>252</v>
      </c>
      <c r="C106" s="124" t="s">
        <v>131</v>
      </c>
      <c r="D106" s="120" t="s">
        <v>107</v>
      </c>
      <c r="E106" s="120" t="n">
        <f>E95*70*1.1</f>
        <v>1078</v>
      </c>
      <c r="F106" s="140" t="s">
        <v>116</v>
      </c>
      <c r="G106" s="141"/>
      <c r="H106" s="141"/>
      <c r="I106" s="141"/>
      <c r="J106" s="141"/>
      <c r="K106" s="119"/>
      <c r="L106" s="119"/>
      <c r="M106" s="119"/>
      <c r="N106" s="119"/>
      <c r="O106" s="141"/>
    </row>
    <row r="107" ht="14.25" customHeight="1">
      <c r="A107" s="120" t="n">
        <v>18</v>
      </c>
      <c r="B107" s="126" t="s">
        <v>133</v>
      </c>
      <c r="C107" s="124" t="s">
        <v>134</v>
      </c>
      <c r="D107" s="116" t="s">
        <v>135</v>
      </c>
      <c r="E107" s="120" t="n">
        <f>E105+E106</f>
        <v>4081</v>
      </c>
      <c r="F107" s="140" t="s">
        <v>116</v>
      </c>
      <c r="G107" s="141"/>
      <c r="H107" s="141"/>
      <c r="I107" s="141"/>
      <c r="J107" s="141"/>
      <c r="K107" s="119"/>
      <c r="L107" s="119"/>
      <c r="M107" s="119"/>
      <c r="N107" s="119"/>
      <c r="O107" s="141"/>
    </row>
    <row r="108" ht="14.25" customHeight="1">
      <c r="A108" s="132" t="n">
        <v>19</v>
      </c>
      <c r="B108" s="133" t="s">
        <v>136</v>
      </c>
      <c r="C108" s="133" t="s">
        <v>137</v>
      </c>
      <c r="D108" s="134"/>
      <c r="E108" s="132" t="n">
        <v>1</v>
      </c>
      <c r="F108" s="142" t="s">
        <v>138</v>
      </c>
      <c r="G108" s="141"/>
      <c r="H108" s="141"/>
      <c r="I108" s="141"/>
      <c r="J108" s="141"/>
      <c r="K108" s="119"/>
      <c r="L108" s="119"/>
      <c r="M108" s="119"/>
      <c r="N108" s="119"/>
      <c r="O108" s="141"/>
    </row>
    <row r="109" ht="19" customHeight="1">
      <c r="A109" s="116"/>
      <c r="B109" s="143" t="s">
        <v>253</v>
      </c>
      <c r="C109" s="118"/>
      <c r="D109" s="120"/>
      <c r="E109" s="120"/>
      <c r="F109" s="140"/>
      <c r="G109" s="141"/>
      <c r="H109" s="141"/>
      <c r="I109" s="141"/>
      <c r="J109" s="141"/>
      <c r="K109" s="119"/>
      <c r="L109" s="119"/>
      <c r="M109" s="119"/>
      <c r="N109" s="119"/>
      <c r="O109" s="141"/>
    </row>
    <row r="110" ht="19" customHeight="1">
      <c r="A110" s="116" t="n">
        <v>1</v>
      </c>
      <c r="B110" s="124" t="s">
        <v>254</v>
      </c>
      <c r="C110" s="118"/>
      <c r="D110" s="120"/>
      <c r="E110" s="120" t="n">
        <v>1</v>
      </c>
      <c r="F110" s="140" t="s">
        <v>138</v>
      </c>
      <c r="G110" s="141"/>
      <c r="H110" s="141"/>
      <c r="I110" s="141"/>
      <c r="J110" s="141"/>
      <c r="K110" s="119"/>
      <c r="L110" s="119"/>
      <c r="M110" s="119"/>
      <c r="N110" s="119"/>
      <c r="O110" s="141"/>
    </row>
    <row r="111" ht="19" customHeight="1">
      <c r="A111" s="116"/>
      <c r="B111" s="121"/>
      <c r="C111" s="118"/>
      <c r="D111" s="116"/>
      <c r="E111" s="141"/>
      <c r="F111" s="144"/>
      <c r="G111" s="141"/>
      <c r="H111" s="141"/>
      <c r="I111" s="141"/>
      <c r="J111" s="141"/>
      <c r="K111" s="119"/>
      <c r="L111" s="119"/>
      <c r="M111" s="119"/>
      <c r="N111" s="119"/>
      <c r="O111" s="141"/>
    </row>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sheetData>
  <autoFilter ref="A2:XFD1048576"/>
  <mergeCells count="1">
    <mergeCell ref="A1:F1"/>
  </mergeCells>
  <phoneticPr fontId="1"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tabColor rgb="FFFFFF00"/>
    <outlinePr summaryBelow="0" summaryRight="0"/>
  </sheetPr>
  <dimension ref="A1"/>
  <sheetViews>
    <sheetView workbookViewId="0"/>
  </sheetViews>
  <sheetFormatPr baseColWidth="10" defaultColWidth="9" defaultRowHeight="14.25" customHeight="1"/>
  <cols>
    <col min="1" max="1" width="9" style="27"/>
    <col min="2" max="2" width="22.5" customWidth="1" style="27"/>
    <col min="3" max="3" width="12" customWidth="1" style="27"/>
    <col min="4" max="5" width="9" style="27"/>
    <col min="6" max="6" width="13.166015625" customWidth="1" style="27"/>
    <col min="7" max="8" width="15.6650390625" customWidth="1" style="27"/>
    <col min="9" max="40" width="9" style="27"/>
  </cols>
  <sheetData>
    <row r="1" s="97" customFormat="1" ht="38" customHeight="1">
      <c r="A1" s="98" t="s">
        <v>0</v>
      </c>
      <c r="B1" s="99"/>
      <c r="C1" s="99"/>
      <c r="D1" s="99"/>
      <c r="E1" s="99"/>
    </row>
    <row r="2" ht="30" customHeight="1">
      <c r="A2" s="100" t="s">
        <v>255</v>
      </c>
      <c r="B2" s="100"/>
      <c r="C2" s="100"/>
      <c r="D2" s="100"/>
      <c r="E2" s="100"/>
      <c r="F2" s="100"/>
      <c r="G2" s="100"/>
      <c r="H2" s="100"/>
    </row>
    <row r="3" ht="41.25" customHeight="1">
      <c r="A3" s="62" t="s">
        <v>2</v>
      </c>
      <c r="B3" s="62" t="s">
        <v>256</v>
      </c>
      <c r="C3" s="62" t="s">
        <v>62</v>
      </c>
      <c r="D3" s="62" t="s">
        <v>63</v>
      </c>
      <c r="E3" s="62" t="s">
        <v>4</v>
      </c>
      <c r="F3" s="62" t="s">
        <v>257</v>
      </c>
      <c r="G3" s="62" t="s">
        <v>71</v>
      </c>
      <c r="H3" s="62" t="s">
        <v>258</v>
      </c>
    </row>
    <row r="4" ht="41.25" customHeight="1">
      <c r="A4" s="62" t="n">
        <v>1</v>
      </c>
      <c r="B4" s="62" t="s">
        <v>259</v>
      </c>
      <c r="C4" s="62" t="n">
        <v>1</v>
      </c>
      <c r="D4" s="62" t="s">
        <v>138</v>
      </c>
      <c r="E4" s="62"/>
      <c r="F4" s="62" t="n">
        <f>'软件-产品费用报价明细'!G10</f>
        <v>0</v>
      </c>
      <c r="G4" s="62" t="n">
        <f>C4*F4</f>
        <v>0</v>
      </c>
      <c r="H4" s="62" t="n">
        <f>G4*(1+E4)</f>
        <v>0</v>
      </c>
    </row>
    <row r="5" ht="41.25" customHeight="1">
      <c r="A5" s="62" t="n">
        <v>2</v>
      </c>
      <c r="B5" s="62" t="s">
        <v>260</v>
      </c>
      <c r="C5" s="62" t="n">
        <v>1</v>
      </c>
      <c r="D5" s="62" t="s">
        <v>138</v>
      </c>
      <c r="E5" s="62"/>
      <c r="F5" s="62" t="n">
        <f>'软件-实施费用报价明细'!N19</f>
        <v>0</v>
      </c>
      <c r="G5" s="62" t="n">
        <f>C5*F5</f>
        <v>0</v>
      </c>
      <c r="H5" s="62" t="n">
        <f>G5*(1+E5)</f>
        <v>0</v>
      </c>
    </row>
    <row r="6" ht="41.25" customHeight="1">
      <c r="A6" s="62" t="n">
        <v>3</v>
      </c>
      <c r="B6" s="62" t="s">
        <v>261</v>
      </c>
      <c r="C6" s="62" t="n">
        <v>2</v>
      </c>
      <c r="D6" s="62" t="s">
        <v>262</v>
      </c>
      <c r="E6" s="62"/>
      <c r="F6" s="62"/>
      <c r="G6" s="62" t="n">
        <f>C6*F6</f>
        <v>0</v>
      </c>
      <c r="H6" s="62" t="n">
        <f>G6*(1+E6)</f>
        <v>0</v>
      </c>
    </row>
    <row r="7" ht="41.25" customHeight="1">
      <c r="A7" s="62" t="n">
        <v>4</v>
      </c>
      <c r="B7" s="62" t="s">
        <v>263</v>
      </c>
      <c r="C7" s="62"/>
      <c r="D7" s="62"/>
      <c r="E7" s="62"/>
      <c r="F7" s="62"/>
      <c r="G7" s="62" t="n">
        <f>SUM(G4:G6)</f>
        <v>0</v>
      </c>
      <c r="H7" s="62" t="n">
        <f>SUM(H4:H6)</f>
        <v>0</v>
      </c>
    </row>
    <row r="8" ht="181.19999999999996" customHeight="1">
      <c r="A8" s="101" t="s">
        <v>264</v>
      </c>
      <c r="B8" s="102"/>
      <c r="C8" s="102"/>
      <c r="D8" s="102"/>
      <c r="E8" s="102"/>
      <c r="F8" s="102"/>
      <c r="G8" s="102"/>
      <c r="H8" s="102"/>
    </row>
  </sheetData>
  <mergeCells count="3">
    <mergeCell ref="A2:H2"/>
    <mergeCell ref="B7:F7"/>
    <mergeCell ref="A8:H8"/>
  </mergeCells>
  <phoneticPr fontId="1"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tabColor rgb="FFFFFF00"/>
    <outlinePr summaryBelow="0" summaryRight="0"/>
  </sheetPr>
  <dimension ref="A1"/>
  <sheetViews>
    <sheetView workbookViewId="0"/>
  </sheetViews>
  <sheetFormatPr baseColWidth="10" defaultColWidth="9" defaultRowHeight="14.25" customHeight="1"/>
  <cols>
    <col min="1" max="1" width="9" style="89"/>
    <col min="2" max="2" width="19.5" customWidth="1" style="89"/>
    <col min="3" max="3" width="12.6650390625" customWidth="1" style="89"/>
    <col min="4" max="4" width="8.1650390625" customWidth="1" style="89"/>
    <col min="5" max="6" width="11.666015625" customWidth="1" style="89"/>
    <col min="7" max="8" width="13.166015625" customWidth="1" style="89"/>
    <col min="9" max="9" width="17.1650390625" customWidth="1" style="89"/>
    <col min="10" max="40" width="9" style="89"/>
  </cols>
  <sheetData>
    <row r="1" ht="29.25" customHeight="1">
      <c r="A1" s="62" t="s">
        <v>2</v>
      </c>
      <c r="B1" s="62" t="s">
        <v>265</v>
      </c>
      <c r="C1" s="62" t="s">
        <v>266</v>
      </c>
      <c r="D1" s="62" t="s">
        <v>62</v>
      </c>
      <c r="E1" s="62" t="s">
        <v>63</v>
      </c>
      <c r="F1" s="62" t="s">
        <v>257</v>
      </c>
      <c r="G1" s="62" t="s">
        <v>267</v>
      </c>
      <c r="H1" s="62" t="s">
        <v>268</v>
      </c>
      <c r="I1" s="62" t="s">
        <v>7</v>
      </c>
    </row>
    <row r="2" ht="29.25" customHeight="1">
      <c r="A2" s="62" t="n">
        <v>1</v>
      </c>
      <c r="B2" s="62"/>
      <c r="C2" s="62"/>
      <c r="D2" s="62"/>
      <c r="E2" s="62"/>
      <c r="F2" s="62"/>
      <c r="G2" s="62"/>
      <c r="H2" s="62"/>
      <c r="I2" s="90" t="s">
        <v>269</v>
      </c>
    </row>
    <row r="3" ht="29.25" customHeight="1">
      <c r="A3" s="62" t="n">
        <v>2</v>
      </c>
      <c r="B3" s="91"/>
      <c r="C3" s="92"/>
      <c r="D3" s="93"/>
      <c r="E3" s="62"/>
      <c r="F3" s="91"/>
      <c r="G3" s="62"/>
      <c r="H3" s="62"/>
      <c r="I3" s="94"/>
    </row>
    <row r="4" ht="29.25" customHeight="1">
      <c r="A4" s="62" t="n">
        <v>3</v>
      </c>
      <c r="B4" s="91"/>
      <c r="C4" s="62"/>
      <c r="D4" s="62"/>
      <c r="E4" s="62"/>
      <c r="F4" s="91"/>
      <c r="G4" s="62"/>
      <c r="H4" s="62"/>
      <c r="I4" s="94"/>
    </row>
    <row r="5" ht="37.5" customHeight="1">
      <c r="A5" s="62" t="n">
        <v>4</v>
      </c>
      <c r="B5" s="91"/>
      <c r="C5" s="62"/>
      <c r="D5" s="62"/>
      <c r="E5" s="62"/>
      <c r="F5" s="91"/>
      <c r="G5" s="62"/>
      <c r="H5" s="62"/>
      <c r="I5" s="94"/>
    </row>
    <row r="6" ht="37.5" customHeight="1">
      <c r="A6" s="62" t="n">
        <v>5</v>
      </c>
      <c r="B6" s="62"/>
      <c r="C6" s="62"/>
      <c r="D6" s="62"/>
      <c r="E6" s="62"/>
      <c r="F6" s="62"/>
      <c r="G6" s="62"/>
      <c r="H6" s="62"/>
      <c r="I6" s="94"/>
    </row>
    <row r="7" ht="30" customHeight="1">
      <c r="A7" s="62" t="n">
        <v>6</v>
      </c>
      <c r="B7" s="68"/>
      <c r="C7" s="62"/>
      <c r="D7" s="62"/>
      <c r="E7" s="62"/>
      <c r="F7" s="62"/>
      <c r="G7" s="62"/>
      <c r="H7" s="62"/>
      <c r="I7" s="94"/>
    </row>
    <row r="8" ht="26.25" customHeight="1">
      <c r="A8" s="62" t="n">
        <v>7</v>
      </c>
      <c r="B8" s="91"/>
      <c r="C8" s="62"/>
      <c r="D8" s="91"/>
      <c r="E8" s="62"/>
      <c r="F8" s="91"/>
      <c r="G8" s="62"/>
      <c r="H8" s="62"/>
      <c r="I8" s="94"/>
    </row>
    <row r="9" ht="26.25" customHeight="1">
      <c r="A9" s="62" t="s">
        <v>270</v>
      </c>
      <c r="B9" s="91"/>
      <c r="C9" s="62"/>
      <c r="D9" s="91"/>
      <c r="E9" s="62"/>
      <c r="F9" s="91"/>
      <c r="G9" s="62"/>
      <c r="H9" s="62"/>
      <c r="I9" s="95"/>
    </row>
    <row r="10" ht="24" customHeight="1">
      <c r="A10" s="62" t="s">
        <v>267</v>
      </c>
      <c r="B10" s="62"/>
      <c r="C10" s="62"/>
      <c r="D10" s="62"/>
      <c r="E10" s="62"/>
      <c r="F10" s="62"/>
      <c r="G10" s="96" t="n">
        <f>SUM(G2:G9)</f>
        <v>0</v>
      </c>
      <c r="H10" s="62"/>
      <c r="I10" s="62"/>
    </row>
  </sheetData>
  <mergeCells count="1">
    <mergeCell ref="I2:I9"/>
  </mergeCells>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tabColor rgb="FFFFFF00"/>
    <outlinePr summaryBelow="0" summaryRight="0"/>
  </sheetPr>
  <dimension ref="A1"/>
  <sheetViews>
    <sheetView workbookViewId="0">
      <pane topLeftCell="B5" activePane="bottomRight" state="frozen" xSplit="1" ySplit="4"/>
    </sheetView>
  </sheetViews>
  <sheetFormatPr baseColWidth="10" defaultColWidth="8.8330078125" defaultRowHeight="14.25" customHeight="1"/>
  <cols>
    <col min="1" max="1" width="13.8310546875" customWidth="1" style="27"/>
    <col min="2" max="2" width="15.9990234375" customWidth="1" style="27"/>
    <col min="3" max="3" width="9.83203125" customWidth="1" style="27"/>
    <col min="4" max="11" width="17.8330078125" customWidth="1" style="27"/>
    <col min="12" max="12" width="9.83203125" customWidth="1" style="27"/>
    <col min="13" max="13" width="15.83203125" customWidth="1" style="27"/>
    <col min="14" max="14" width="12.83203125" customWidth="1" style="27"/>
    <col min="15" max="40" width="8.8330078125" style="27"/>
  </cols>
  <sheetData>
    <row r="1" s="25" customFormat="1" ht="25.5" customHeight="1">
      <c r="A1" s="28" t="s">
        <v>271</v>
      </c>
      <c r="B1" s="29"/>
      <c r="C1" s="29"/>
      <c r="D1" s="29"/>
      <c r="E1" s="29"/>
      <c r="F1" s="29"/>
      <c r="G1" s="29"/>
      <c r="H1" s="29"/>
      <c r="I1" s="29"/>
      <c r="J1" s="29"/>
    </row>
    <row r="2" ht="25.5" customHeight="1">
      <c r="A2" s="30" t="s">
        <v>272</v>
      </c>
      <c r="B2" s="31"/>
      <c r="C2" s="31"/>
      <c r="D2" s="31"/>
      <c r="E2" s="31"/>
      <c r="F2" s="31"/>
      <c r="G2" s="31"/>
      <c r="H2" s="31"/>
      <c r="I2" s="31"/>
      <c r="J2" s="31"/>
      <c r="K2" s="31"/>
      <c r="L2" s="31"/>
      <c r="M2" s="31"/>
      <c r="N2" s="32"/>
    </row>
    <row r="3" s="26" customFormat="1" ht="14.25" customHeight="1">
      <c r="A3" s="33" t="s">
        <v>273</v>
      </c>
      <c r="B3" s="34" t="s">
        <v>274</v>
      </c>
      <c r="C3" s="35" t="s">
        <v>275</v>
      </c>
      <c r="D3" s="36" t="s">
        <v>276</v>
      </c>
      <c r="E3" s="37"/>
      <c r="F3" s="37"/>
      <c r="G3" s="37"/>
      <c r="H3" s="37"/>
      <c r="I3" s="37"/>
      <c r="J3" s="37"/>
      <c r="K3" s="37"/>
      <c r="L3" s="38"/>
      <c r="M3" s="34" t="s">
        <v>277</v>
      </c>
      <c r="N3" s="39"/>
    </row>
    <row r="4" s="26" customFormat="1" ht="73.2" customHeight="1">
      <c r="A4" s="40"/>
      <c r="B4" s="41"/>
      <c r="C4" s="42"/>
      <c r="D4" s="43" t="s">
        <v>278</v>
      </c>
      <c r="E4" s="43" t="s">
        <v>279</v>
      </c>
      <c r="F4" s="43" t="s">
        <v>280</v>
      </c>
      <c r="G4" s="43" t="s">
        <v>281</v>
      </c>
      <c r="H4" s="43" t="s">
        <v>282</v>
      </c>
      <c r="I4" s="43" t="s">
        <v>283</v>
      </c>
      <c r="J4" s="43" t="s">
        <v>284</v>
      </c>
      <c r="K4" s="43" t="s">
        <v>285</v>
      </c>
      <c r="L4" s="44" t="s">
        <v>286</v>
      </c>
      <c r="M4" s="254" t="s">
        <v>287</v>
      </c>
      <c r="N4" s="255" t="s">
        <v>288</v>
      </c>
    </row>
    <row r="5" s="26" customFormat="1" ht="16.5" customHeight="1">
      <c r="A5" s="47"/>
      <c r="B5" s="41" t="s">
        <v>289</v>
      </c>
      <c r="C5" s="48" t="s">
        <v>290</v>
      </c>
      <c r="D5" s="49" t="s">
        <v>291</v>
      </c>
      <c r="E5" s="50" t="s">
        <v>292</v>
      </c>
      <c r="F5" s="50" t="s">
        <v>292</v>
      </c>
      <c r="G5" s="50" t="s">
        <v>292</v>
      </c>
      <c r="H5" s="50" t="s">
        <v>292</v>
      </c>
      <c r="I5" s="50" t="s">
        <v>292</v>
      </c>
      <c r="J5" s="50" t="s">
        <v>292</v>
      </c>
      <c r="K5" s="50" t="s">
        <v>292</v>
      </c>
      <c r="L5" s="42"/>
      <c r="M5" s="51"/>
      <c r="N5" s="52"/>
    </row>
    <row r="6" ht="14.25" customHeight="1">
      <c r="A6" s="53"/>
      <c r="B6" s="54" t="s">
        <v>293</v>
      </c>
      <c r="C6" s="55" t="s">
        <v>294</v>
      </c>
      <c r="D6" s="55"/>
      <c r="E6" s="55"/>
      <c r="F6" s="55"/>
      <c r="G6" s="55"/>
      <c r="H6" s="55"/>
      <c r="I6" s="55"/>
      <c r="J6" s="55"/>
      <c r="K6" s="55"/>
      <c r="L6" s="56" t="n">
        <f>SUM(D6:K6)</f>
        <v>0</v>
      </c>
      <c r="M6" s="56"/>
      <c r="N6" s="57" t="n">
        <f>M6*L6</f>
        <v>0</v>
      </c>
    </row>
    <row r="7" ht="14.25" customHeight="1">
      <c r="A7" s="58"/>
      <c r="B7" s="59"/>
      <c r="C7" s="60" t="s">
        <v>295</v>
      </c>
      <c r="D7" s="61"/>
      <c r="E7" s="60"/>
      <c r="F7" s="60"/>
      <c r="G7" s="60"/>
      <c r="H7" s="60"/>
      <c r="I7" s="60"/>
      <c r="J7" s="60"/>
      <c r="K7" s="60"/>
      <c r="L7" s="62" t="n">
        <f>SUM(D7:K7)</f>
        <v>0</v>
      </c>
      <c r="M7" s="63"/>
      <c r="N7" s="64" t="n">
        <f>M7*L7</f>
        <v>0</v>
      </c>
    </row>
    <row r="8" ht="14.25" customHeight="1">
      <c r="A8" s="53"/>
      <c r="B8" s="54" t="s">
        <v>296</v>
      </c>
      <c r="C8" s="55" t="s">
        <v>294</v>
      </c>
      <c r="D8" s="55"/>
      <c r="E8" s="55"/>
      <c r="F8" s="55"/>
      <c r="G8" s="55"/>
      <c r="H8" s="55"/>
      <c r="I8" s="55"/>
      <c r="J8" s="55"/>
      <c r="K8" s="55"/>
      <c r="L8" s="56" t="n">
        <f>SUM(D8:K8)</f>
        <v>0</v>
      </c>
      <c r="M8" s="56"/>
      <c r="N8" s="57" t="n">
        <f>M8*L8</f>
        <v>0</v>
      </c>
    </row>
    <row r="9" ht="14.25" customHeight="1">
      <c r="A9" s="58"/>
      <c r="B9" s="59"/>
      <c r="C9" s="60" t="s">
        <v>295</v>
      </c>
      <c r="D9" s="65"/>
      <c r="E9" s="60"/>
      <c r="F9" s="60"/>
      <c r="G9" s="60"/>
      <c r="H9" s="60"/>
      <c r="I9" s="60"/>
      <c r="J9" s="60"/>
      <c r="K9" s="60"/>
      <c r="L9" s="62" t="n">
        <f>SUM(D9:K9)</f>
        <v>0</v>
      </c>
      <c r="M9" s="63"/>
      <c r="N9" s="64" t="n">
        <f>M9*L9</f>
        <v>0</v>
      </c>
    </row>
    <row r="10" ht="14.25" customHeight="1">
      <c r="A10" s="53"/>
      <c r="B10" s="54" t="s">
        <v>297</v>
      </c>
      <c r="C10" s="55" t="s">
        <v>294</v>
      </c>
      <c r="D10" s="55"/>
      <c r="E10" s="55"/>
      <c r="F10" s="55"/>
      <c r="G10" s="55"/>
      <c r="H10" s="55"/>
      <c r="I10" s="55"/>
      <c r="J10" s="55"/>
      <c r="K10" s="55"/>
      <c r="L10" s="56" t="n">
        <f>SUM(D10:K10)</f>
        <v>0</v>
      </c>
      <c r="M10" s="56"/>
      <c r="N10" s="57" t="n">
        <f>M10*L10</f>
        <v>0</v>
      </c>
    </row>
    <row r="11" ht="14.25" customHeight="1">
      <c r="A11" s="58"/>
      <c r="B11" s="59"/>
      <c r="C11" s="60" t="s">
        <v>295</v>
      </c>
      <c r="D11" s="60"/>
      <c r="E11" s="60"/>
      <c r="F11" s="60"/>
      <c r="G11" s="60"/>
      <c r="H11" s="60"/>
      <c r="I11" s="60"/>
      <c r="J11" s="60"/>
      <c r="K11" s="60"/>
      <c r="L11" s="62" t="n">
        <f>SUM(D11:K11)</f>
        <v>0</v>
      </c>
      <c r="M11" s="63"/>
      <c r="N11" s="64" t="n">
        <f>M11*L11</f>
        <v>0</v>
      </c>
    </row>
    <row r="12" ht="14.25" customHeight="1">
      <c r="A12" s="53"/>
      <c r="B12" s="54" t="s">
        <v>298</v>
      </c>
      <c r="C12" s="55" t="s">
        <v>294</v>
      </c>
      <c r="D12" s="55"/>
      <c r="E12" s="55"/>
      <c r="F12" s="55"/>
      <c r="G12" s="55"/>
      <c r="H12" s="55"/>
      <c r="I12" s="55"/>
      <c r="J12" s="55"/>
      <c r="K12" s="55"/>
      <c r="L12" s="56" t="n">
        <f>SUM(D12:K12)</f>
        <v>0</v>
      </c>
      <c r="M12" s="56"/>
      <c r="N12" s="57" t="n">
        <f>M12*L12</f>
        <v>0</v>
      </c>
    </row>
    <row r="13" ht="14.25" customHeight="1">
      <c r="A13" s="58"/>
      <c r="B13" s="59"/>
      <c r="C13" s="60" t="s">
        <v>295</v>
      </c>
      <c r="D13" s="60"/>
      <c r="E13" s="60"/>
      <c r="F13" s="60"/>
      <c r="G13" s="60"/>
      <c r="H13" s="60"/>
      <c r="I13" s="60"/>
      <c r="J13" s="60"/>
      <c r="K13" s="60"/>
      <c r="L13" s="62" t="n">
        <f>SUM(D13:K13)</f>
        <v>0</v>
      </c>
      <c r="M13" s="63"/>
      <c r="N13" s="64" t="n">
        <f>M13*L13</f>
        <v>0</v>
      </c>
    </row>
    <row r="14" ht="14.25" customHeight="1">
      <c r="A14" s="53"/>
      <c r="B14" s="54" t="s">
        <v>299</v>
      </c>
      <c r="C14" s="55" t="s">
        <v>294</v>
      </c>
      <c r="D14" s="55"/>
      <c r="E14" s="55"/>
      <c r="F14" s="55"/>
      <c r="G14" s="55"/>
      <c r="H14" s="55"/>
      <c r="I14" s="55"/>
      <c r="J14" s="55"/>
      <c r="K14" s="55"/>
      <c r="L14" s="56" t="n">
        <f>SUM(D14:K14)</f>
        <v>0</v>
      </c>
      <c r="M14" s="56"/>
      <c r="N14" s="57" t="n">
        <f>M14*L14</f>
        <v>0</v>
      </c>
    </row>
    <row r="15" ht="14.25" customHeight="1">
      <c r="A15" s="58"/>
      <c r="B15" s="59"/>
      <c r="C15" s="60" t="s">
        <v>295</v>
      </c>
      <c r="D15" s="60"/>
      <c r="E15" s="60"/>
      <c r="F15" s="60"/>
      <c r="G15" s="60"/>
      <c r="H15" s="60"/>
      <c r="I15" s="60"/>
      <c r="J15" s="60"/>
      <c r="K15" s="60"/>
      <c r="L15" s="62" t="n">
        <f>SUM(D15:K15)</f>
        <v>0</v>
      </c>
      <c r="M15" s="63"/>
      <c r="N15" s="64" t="n">
        <f>M15*L15</f>
        <v>0</v>
      </c>
    </row>
    <row r="16" ht="14.25" customHeight="1">
      <c r="A16" s="53"/>
      <c r="B16" s="54" t="s">
        <v>299</v>
      </c>
      <c r="C16" s="55" t="s">
        <v>294</v>
      </c>
      <c r="D16" s="55"/>
      <c r="E16" s="55"/>
      <c r="F16" s="55"/>
      <c r="G16" s="55"/>
      <c r="H16" s="55"/>
      <c r="I16" s="55"/>
      <c r="J16" s="55"/>
      <c r="K16" s="55"/>
      <c r="L16" s="56" t="n">
        <f>SUM(D16:K16)</f>
        <v>0</v>
      </c>
      <c r="M16" s="56"/>
      <c r="N16" s="57" t="n">
        <f>M16*L16</f>
        <v>0</v>
      </c>
    </row>
    <row r="17" ht="14.25" customHeight="1">
      <c r="A17" s="58"/>
      <c r="B17" s="59"/>
      <c r="C17" s="60" t="s">
        <v>295</v>
      </c>
      <c r="D17" s="60"/>
      <c r="E17" s="60"/>
      <c r="F17" s="60"/>
      <c r="G17" s="60"/>
      <c r="H17" s="60"/>
      <c r="I17" s="60"/>
      <c r="J17" s="60"/>
      <c r="K17" s="60"/>
      <c r="L17" s="62" t="n">
        <f>SUM(D17:K17)</f>
        <v>0</v>
      </c>
      <c r="M17" s="63"/>
      <c r="N17" s="64" t="n">
        <f>M17*L17</f>
        <v>0</v>
      </c>
    </row>
    <row r="18" ht="14.25" customHeight="1">
      <c r="A18" s="58"/>
      <c r="B18" s="59" t="s">
        <v>300</v>
      </c>
      <c r="C18" s="60"/>
      <c r="D18" s="60"/>
      <c r="E18" s="60"/>
      <c r="F18" s="60"/>
      <c r="G18" s="60"/>
      <c r="H18" s="60"/>
      <c r="I18" s="60"/>
      <c r="J18" s="60"/>
      <c r="K18" s="60"/>
      <c r="L18" s="66"/>
      <c r="M18" s="66"/>
      <c r="N18" s="64"/>
    </row>
    <row r="19" ht="14.25" customHeight="1">
      <c r="B19" s="67"/>
      <c r="C19" s="67"/>
      <c r="D19" s="67"/>
      <c r="E19" s="67"/>
      <c r="F19" s="67"/>
      <c r="G19" s="67"/>
      <c r="H19" s="67"/>
      <c r="I19" s="67"/>
      <c r="J19" s="67"/>
      <c r="K19" s="68" t="s">
        <v>301</v>
      </c>
      <c r="L19" s="69" t="n">
        <f>SUM(L6:L18)</f>
        <v>0</v>
      </c>
      <c r="M19" s="68" t="s">
        <v>302</v>
      </c>
      <c r="N19" s="70" t="n">
        <f>SUM(N6:N18)</f>
        <v>0</v>
      </c>
    </row>
    <row r="20" ht="14.25" customHeight="1">
      <c r="A20" s="71" t="s">
        <v>303</v>
      </c>
      <c r="B20" s="72"/>
      <c r="C20" s="73" t="s">
        <v>304</v>
      </c>
      <c r="D20" s="73"/>
      <c r="E20" s="73"/>
      <c r="F20" s="73"/>
      <c r="G20" s="73"/>
      <c r="H20" s="73"/>
      <c r="I20" s="73"/>
      <c r="J20" s="73"/>
      <c r="K20" s="73"/>
      <c r="L20" s="73"/>
      <c r="M20" s="73"/>
      <c r="N20" s="74"/>
    </row>
    <row r="21" ht="14.25" customHeight="1">
      <c r="A21" s="71"/>
      <c r="B21" s="72"/>
      <c r="C21" s="75" t="s">
        <v>305</v>
      </c>
      <c r="D21" s="76"/>
      <c r="E21" s="76"/>
      <c r="F21" s="76"/>
      <c r="G21" s="76"/>
      <c r="H21" s="76"/>
      <c r="I21" s="76"/>
      <c r="J21" s="76"/>
      <c r="K21" s="76"/>
      <c r="L21" s="76"/>
      <c r="M21" s="76"/>
      <c r="N21" s="77"/>
    </row>
    <row r="22" ht="14.25" customHeight="1">
      <c r="A22" s="78"/>
      <c r="B22" s="79"/>
      <c r="C22" s="73" t="s">
        <v>306</v>
      </c>
      <c r="D22" s="73"/>
      <c r="E22" s="73"/>
      <c r="F22" s="73"/>
      <c r="G22" s="73"/>
      <c r="H22" s="73"/>
      <c r="I22" s="73"/>
      <c r="J22" s="73"/>
      <c r="K22" s="73"/>
      <c r="L22" s="73"/>
      <c r="M22" s="73"/>
      <c r="N22" s="74"/>
    </row>
    <row r="23" ht="14.25" customHeight="1">
      <c r="A23" s="80" t="s">
        <v>307</v>
      </c>
      <c r="B23" s="81"/>
      <c r="C23" s="82" t="s">
        <v>308</v>
      </c>
      <c r="D23" s="82"/>
      <c r="E23" s="82"/>
      <c r="F23" s="82"/>
      <c r="G23" s="82"/>
      <c r="H23" s="82"/>
      <c r="I23" s="82"/>
      <c r="J23" s="82"/>
      <c r="K23" s="82"/>
      <c r="L23" s="82"/>
      <c r="M23" s="82"/>
      <c r="N23" s="83"/>
    </row>
    <row r="24" ht="14.25" customHeight="1">
      <c r="A24" s="71"/>
      <c r="B24" s="72"/>
      <c r="C24" s="82"/>
      <c r="D24" s="82"/>
      <c r="E24" s="82"/>
      <c r="F24" s="82"/>
      <c r="G24" s="82"/>
      <c r="H24" s="82"/>
      <c r="I24" s="82"/>
      <c r="J24" s="82"/>
      <c r="K24" s="82"/>
      <c r="L24" s="82"/>
      <c r="M24" s="82"/>
      <c r="N24" s="83"/>
    </row>
    <row r="25" ht="14.25" customHeight="1">
      <c r="A25" s="84"/>
      <c r="B25" s="85"/>
      <c r="C25" s="86"/>
      <c r="D25" s="86"/>
      <c r="E25" s="86"/>
      <c r="F25" s="86"/>
      <c r="G25" s="86"/>
      <c r="H25" s="86"/>
      <c r="I25" s="86"/>
      <c r="J25" s="86"/>
      <c r="K25" s="86"/>
      <c r="L25" s="86"/>
      <c r="M25" s="86"/>
      <c r="N25" s="87"/>
    </row>
    <row r="27" ht="14.25" customHeight="1">
      <c r="A27" s="88" t="s">
        <v>309</v>
      </c>
    </row>
  </sheetData>
  <sheetProtection insertHyperlinks="0" autoFilter="0"/>
  <mergeCells count="30">
    <mergeCell ref="C21:N21"/>
    <mergeCell ref="A3:A4"/>
    <mergeCell ref="B8:B9"/>
    <mergeCell ref="B3:B4"/>
    <mergeCell ref="C3:C4"/>
    <mergeCell ref="B14:B15"/>
    <mergeCell ref="C24:N24"/>
    <mergeCell ref="C20:N20"/>
    <mergeCell ref="B12:B13"/>
    <mergeCell ref="C25:N25"/>
    <mergeCell ref="A2:N2"/>
    <mergeCell ref="L4:L5"/>
    <mergeCell ref="A12:A13"/>
    <mergeCell ref="A16:A17"/>
    <mergeCell ref="A6:A7"/>
    <mergeCell ref="A1:J1"/>
    <mergeCell ref="B6:B7"/>
    <mergeCell ref="N4:N5"/>
    <mergeCell ref="M3:N3"/>
    <mergeCell ref="D3:L3"/>
    <mergeCell ref="A14:A15"/>
    <mergeCell ref="C22:N22"/>
    <mergeCell ref="A10:A11"/>
    <mergeCell ref="B16:B17"/>
    <mergeCell ref="A20:B22"/>
    <mergeCell ref="C23:N23"/>
    <mergeCell ref="B10:B11"/>
    <mergeCell ref="A8:A9"/>
    <mergeCell ref="A23:B25"/>
    <mergeCell ref="M4:M5"/>
  </mergeCells>
  <phoneticPr fontId="1" type="noConversion"/>
  <pageMargins left="0.7" right="0.7" top="0.75" bottom="0.75" header="0.3" footer="0.3"/>
  <drawing r:id="rId1"/>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8.1640625" customWidth="1" style="97"/>
    <col min="2" max="2" width="17.33203125" style="97"/>
    <col min="3" max="3" width="16.5" customWidth="1" style="195"/>
    <col min="4" max="4" width="32.8330078125" customWidth="1" style="195"/>
    <col min="5" max="5" width="12.498046875" style="195"/>
    <col min="6" max="6" width="29.4990234375" customWidth="1" style="5"/>
    <col min="7" max="7" width="6.6650390625" style="97"/>
  </cols>
  <sheetData>
    <row r="1" ht="16.5" customHeight="1">
      <c r="A1" s="6" t="s">
        <v>310</v>
      </c>
      <c r="B1" s="6" t="s">
        <v>311</v>
      </c>
      <c r="C1" s="7" t="s">
        <v>2</v>
      </c>
      <c r="D1" s="7" t="s">
        <v>312</v>
      </c>
      <c r="E1" s="7" t="s">
        <v>62</v>
      </c>
      <c r="F1" s="7" t="s">
        <v>313</v>
      </c>
      <c r="G1" s="6"/>
    </row>
    <row r="2" ht="16.5" customHeight="1">
      <c r="A2" s="8" t="s">
        <v>314</v>
      </c>
      <c r="B2" s="8" t="s">
        <v>315</v>
      </c>
      <c r="C2" s="9" t="n">
        <v>1</v>
      </c>
      <c r="D2" s="9" t="s">
        <v>316</v>
      </c>
      <c r="E2" s="9" t="s">
        <v>317</v>
      </c>
      <c r="F2" s="10" t="s">
        <v>318</v>
      </c>
      <c r="G2" s="11"/>
    </row>
    <row r="3" ht="41.25" customHeight="1">
      <c r="A3" s="12"/>
      <c r="B3" s="12"/>
      <c r="C3" s="9" t="n">
        <v>2</v>
      </c>
      <c r="D3" s="9" t="s">
        <v>319</v>
      </c>
      <c r="E3" s="9" t="s">
        <v>320</v>
      </c>
      <c r="F3" s="10" t="s">
        <v>321</v>
      </c>
      <c r="G3" s="11"/>
    </row>
    <row r="4" ht="16.5" customHeight="1">
      <c r="A4" s="12"/>
      <c r="B4" s="12"/>
      <c r="C4" s="9" t="n">
        <v>3</v>
      </c>
      <c r="D4" s="9" t="s">
        <v>322</v>
      </c>
      <c r="E4" s="9" t="s">
        <v>323</v>
      </c>
      <c r="F4" s="10" t="s">
        <v>324</v>
      </c>
      <c r="G4" s="11"/>
    </row>
    <row r="5" ht="27.75" customHeight="1">
      <c r="A5" s="12"/>
      <c r="B5" s="12"/>
      <c r="C5" s="9" t="n">
        <v>4</v>
      </c>
      <c r="D5" s="9" t="s">
        <v>325</v>
      </c>
      <c r="E5" s="9" t="s">
        <v>323</v>
      </c>
      <c r="F5" s="10" t="s">
        <v>326</v>
      </c>
      <c r="G5" s="11"/>
    </row>
    <row r="6" ht="16.5" customHeight="1">
      <c r="A6" s="12"/>
      <c r="B6" s="12"/>
      <c r="C6" s="9" t="n">
        <v>5</v>
      </c>
      <c r="D6" s="9" t="s">
        <v>327</v>
      </c>
      <c r="E6" s="9" t="s">
        <v>328</v>
      </c>
      <c r="F6" s="10" t="s">
        <v>329</v>
      </c>
      <c r="G6" s="11"/>
    </row>
    <row r="7" ht="16.5" customHeight="1">
      <c r="A7" s="12"/>
      <c r="B7" s="12"/>
      <c r="C7" s="9" t="n">
        <v>6</v>
      </c>
      <c r="D7" s="9" t="s">
        <v>330</v>
      </c>
      <c r="E7" s="9" t="s">
        <v>331</v>
      </c>
      <c r="F7" s="10" t="s">
        <v>332</v>
      </c>
      <c r="G7" s="11"/>
    </row>
    <row r="8" ht="27.75" customHeight="1">
      <c r="A8" s="12"/>
      <c r="B8" s="12"/>
      <c r="C8" s="9" t="n">
        <v>7</v>
      </c>
      <c r="D8" s="9" t="s">
        <v>333</v>
      </c>
      <c r="E8" s="9" t="s">
        <v>331</v>
      </c>
      <c r="F8" s="10" t="s">
        <v>334</v>
      </c>
      <c r="G8" s="11"/>
    </row>
    <row r="9" ht="16.5" customHeight="1">
      <c r="A9" s="12"/>
      <c r="B9" s="12"/>
      <c r="C9" s="9" t="n">
        <v>8</v>
      </c>
      <c r="D9" s="9" t="s">
        <v>335</v>
      </c>
      <c r="E9" s="9" t="s">
        <v>336</v>
      </c>
      <c r="F9" s="10" t="s">
        <v>337</v>
      </c>
      <c r="G9" s="11"/>
    </row>
    <row r="10" ht="16.5" customHeight="1">
      <c r="A10" s="12"/>
      <c r="B10" s="12"/>
      <c r="C10" s="9" t="n">
        <v>9</v>
      </c>
      <c r="D10" s="9" t="s">
        <v>338</v>
      </c>
      <c r="E10" s="9" t="s">
        <v>339</v>
      </c>
      <c r="F10" s="10" t="s">
        <v>340</v>
      </c>
      <c r="G10" s="11"/>
    </row>
    <row r="11" ht="27.75" customHeight="1">
      <c r="A11" s="12"/>
      <c r="B11" s="12"/>
      <c r="C11" s="9" t="n">
        <v>10</v>
      </c>
      <c r="D11" s="9" t="s">
        <v>341</v>
      </c>
      <c r="E11" s="9" t="s">
        <v>342</v>
      </c>
      <c r="F11" s="10" t="s">
        <v>343</v>
      </c>
      <c r="G11" s="11"/>
    </row>
    <row r="12" ht="27.75" customHeight="1">
      <c r="A12" s="12"/>
      <c r="B12" s="12"/>
      <c r="C12" s="9" t="n">
        <v>11</v>
      </c>
      <c r="D12" s="9" t="s">
        <v>344</v>
      </c>
      <c r="E12" s="9" t="s">
        <v>345</v>
      </c>
      <c r="F12" s="10" t="s">
        <v>346</v>
      </c>
      <c r="G12" s="11"/>
    </row>
    <row r="13" ht="41.25" customHeight="1">
      <c r="A13" s="12"/>
      <c r="B13" s="12"/>
      <c r="C13" s="9" t="n">
        <v>12</v>
      </c>
      <c r="D13" s="9" t="s">
        <v>347</v>
      </c>
      <c r="E13" s="9" t="s">
        <v>348</v>
      </c>
      <c r="F13" s="10" t="s">
        <v>349</v>
      </c>
      <c r="G13" s="11"/>
    </row>
    <row r="14" ht="27.75" customHeight="1">
      <c r="A14" s="12"/>
      <c r="B14" s="12"/>
      <c r="C14" s="9" t="n">
        <v>13</v>
      </c>
      <c r="D14" s="9" t="s">
        <v>350</v>
      </c>
      <c r="E14" s="9" t="s">
        <v>351</v>
      </c>
      <c r="F14" s="10" t="s">
        <v>352</v>
      </c>
      <c r="G14" s="11"/>
    </row>
    <row r="15" ht="16.5" customHeight="1">
      <c r="A15" s="12"/>
      <c r="B15" s="12"/>
      <c r="C15" s="9" t="n">
        <v>14</v>
      </c>
      <c r="D15" s="9" t="s">
        <v>353</v>
      </c>
      <c r="E15" s="9" t="s">
        <v>354</v>
      </c>
      <c r="F15" s="10" t="s">
        <v>355</v>
      </c>
      <c r="G15" s="11"/>
    </row>
    <row r="16" ht="16.5" customHeight="1">
      <c r="A16" s="12"/>
      <c r="B16" s="13"/>
      <c r="C16" s="9" t="n">
        <v>15</v>
      </c>
      <c r="D16" s="9" t="s">
        <v>356</v>
      </c>
      <c r="E16" s="9" t="s">
        <v>357</v>
      </c>
      <c r="F16" s="10" t="s">
        <v>358</v>
      </c>
      <c r="G16" s="11"/>
    </row>
    <row r="17" ht="16.5" customHeight="1">
      <c r="A17" s="12"/>
      <c r="B17" s="8" t="s">
        <v>359</v>
      </c>
      <c r="C17" s="9" t="n">
        <v>16</v>
      </c>
      <c r="D17" s="9" t="s">
        <v>360</v>
      </c>
      <c r="E17" s="9" t="s">
        <v>361</v>
      </c>
      <c r="F17" s="10" t="s">
        <v>362</v>
      </c>
      <c r="G17" s="11"/>
    </row>
    <row r="18" ht="16.5" customHeight="1">
      <c r="A18" s="12"/>
      <c r="B18" s="13"/>
      <c r="C18" s="9" t="n">
        <v>17</v>
      </c>
      <c r="D18" s="9" t="s">
        <v>363</v>
      </c>
      <c r="E18" s="9" t="s">
        <v>364</v>
      </c>
      <c r="F18" s="10" t="s">
        <v>365</v>
      </c>
      <c r="G18" s="11"/>
    </row>
    <row r="19" ht="16.5" customHeight="1">
      <c r="A19" s="12"/>
      <c r="B19" s="8" t="s">
        <v>366</v>
      </c>
      <c r="C19" s="9" t="n">
        <v>18</v>
      </c>
      <c r="D19" s="9" t="s">
        <v>367</v>
      </c>
      <c r="E19" s="9" t="s">
        <v>368</v>
      </c>
      <c r="F19" s="10" t="s">
        <v>369</v>
      </c>
      <c r="G19" s="11"/>
    </row>
    <row r="20" ht="16.5" customHeight="1">
      <c r="A20" s="12"/>
      <c r="B20" s="13"/>
      <c r="C20" s="9" t="n">
        <v>19</v>
      </c>
      <c r="D20" s="9" t="s">
        <v>370</v>
      </c>
      <c r="E20" s="9" t="s">
        <v>371</v>
      </c>
      <c r="F20" s="10" t="s">
        <v>372</v>
      </c>
      <c r="G20" s="11"/>
    </row>
    <row r="21" ht="16.5" customHeight="1">
      <c r="A21" s="12"/>
      <c r="B21" s="11" t="s">
        <v>373</v>
      </c>
      <c r="C21" s="9"/>
      <c r="D21" s="9"/>
      <c r="E21" s="9"/>
      <c r="F21" s="10" t="s">
        <v>372</v>
      </c>
      <c r="G21" s="11"/>
    </row>
    <row r="22" ht="16.5" customHeight="1">
      <c r="A22" s="12"/>
      <c r="B22" s="8" t="s">
        <v>374</v>
      </c>
      <c r="C22" s="9" t="n">
        <v>20</v>
      </c>
      <c r="D22" s="9" t="s">
        <v>375</v>
      </c>
      <c r="E22" s="9"/>
      <c r="F22" s="10" t="s">
        <v>376</v>
      </c>
      <c r="G22" s="11"/>
    </row>
    <row r="23" ht="16.5" customHeight="1">
      <c r="A23" s="12"/>
      <c r="B23" s="12"/>
      <c r="C23" s="9" t="n">
        <v>21</v>
      </c>
      <c r="D23" s="9" t="s">
        <v>377</v>
      </c>
      <c r="E23" s="9" t="s">
        <v>378</v>
      </c>
      <c r="F23" s="10" t="s">
        <v>379</v>
      </c>
      <c r="G23" s="11"/>
    </row>
    <row r="24" ht="16.5" customHeight="1">
      <c r="A24" s="12"/>
      <c r="B24" s="13"/>
      <c r="C24" s="9" t="n">
        <v>22</v>
      </c>
      <c r="D24" s="9" t="s">
        <v>380</v>
      </c>
      <c r="E24" s="9"/>
      <c r="F24" s="10" t="s">
        <v>381</v>
      </c>
      <c r="G24" s="11"/>
    </row>
    <row r="25" ht="16.5" customHeight="1">
      <c r="A25" s="12"/>
      <c r="B25" s="8" t="s">
        <v>382</v>
      </c>
      <c r="C25" s="9" t="n">
        <v>23</v>
      </c>
      <c r="D25" s="9" t="s">
        <v>383</v>
      </c>
      <c r="E25" s="9" t="s">
        <v>354</v>
      </c>
      <c r="F25" s="10" t="s">
        <v>384</v>
      </c>
      <c r="G25" s="11"/>
    </row>
    <row r="26" ht="27.75" customHeight="1">
      <c r="A26" s="12"/>
      <c r="B26" s="13"/>
      <c r="C26" s="9" t="n">
        <v>24</v>
      </c>
      <c r="D26" s="9" t="s">
        <v>385</v>
      </c>
      <c r="E26" s="9" t="s">
        <v>386</v>
      </c>
      <c r="F26" s="10" t="s">
        <v>387</v>
      </c>
      <c r="G26" s="11"/>
    </row>
    <row r="27" ht="27.75" customHeight="1">
      <c r="A27" s="12"/>
      <c r="B27" s="11" t="s">
        <v>388</v>
      </c>
      <c r="C27" s="9"/>
      <c r="D27" s="9"/>
      <c r="E27" s="9"/>
      <c r="F27" s="10" t="s">
        <v>389</v>
      </c>
      <c r="G27" s="11"/>
    </row>
    <row r="28" ht="27.75" customHeight="1">
      <c r="A28" s="12"/>
      <c r="B28" s="8" t="s">
        <v>390</v>
      </c>
      <c r="C28" s="9" t="n">
        <v>25</v>
      </c>
      <c r="D28" s="9" t="s">
        <v>391</v>
      </c>
      <c r="E28" s="9"/>
      <c r="F28" s="10" t="s">
        <v>392</v>
      </c>
      <c r="G28" s="11"/>
    </row>
    <row r="29" ht="27.75" customHeight="1">
      <c r="A29" s="12"/>
      <c r="B29" s="12"/>
      <c r="C29" s="9" t="n">
        <v>26</v>
      </c>
      <c r="D29" s="9" t="s">
        <v>393</v>
      </c>
      <c r="E29" s="9"/>
      <c r="F29" s="10" t="s">
        <v>394</v>
      </c>
      <c r="G29" s="11"/>
    </row>
    <row r="30" ht="16.5" customHeight="1">
      <c r="A30" s="12"/>
      <c r="B30" s="12"/>
      <c r="C30" s="9" t="n">
        <v>27</v>
      </c>
      <c r="D30" s="9" t="s">
        <v>395</v>
      </c>
      <c r="E30" s="9"/>
      <c r="F30" s="10" t="s">
        <v>396</v>
      </c>
      <c r="G30" s="11"/>
    </row>
    <row r="31" ht="16.5" customHeight="1">
      <c r="A31" s="12"/>
      <c r="B31" s="12"/>
      <c r="C31" s="9"/>
      <c r="D31" s="9" t="s">
        <v>397</v>
      </c>
      <c r="E31" s="9"/>
      <c r="F31" s="10" t="s">
        <v>398</v>
      </c>
      <c r="G31" s="11"/>
    </row>
    <row r="32" ht="16.5" customHeight="1">
      <c r="A32" s="12"/>
      <c r="B32" s="12"/>
      <c r="C32" s="9"/>
      <c r="D32" s="9" t="s">
        <v>399</v>
      </c>
      <c r="E32" s="9"/>
      <c r="F32" s="10" t="n">
        <v>8</v>
      </c>
      <c r="G32" s="11"/>
    </row>
    <row r="33" ht="16.5" customHeight="1">
      <c r="A33" s="12"/>
      <c r="B33" s="12"/>
      <c r="C33" s="9"/>
      <c r="D33" s="9" t="s">
        <v>400</v>
      </c>
      <c r="E33" s="9"/>
      <c r="F33" s="10" t="n">
        <v>15</v>
      </c>
      <c r="G33" s="11"/>
    </row>
    <row r="34" ht="16.5" customHeight="1">
      <c r="A34" s="12"/>
      <c r="B34" s="12"/>
      <c r="C34" s="9"/>
      <c r="D34" s="9" t="s">
        <v>401</v>
      </c>
      <c r="E34" s="9"/>
      <c r="F34" s="10" t="s">
        <v>402</v>
      </c>
      <c r="G34" s="11"/>
    </row>
    <row r="35" ht="16.5" customHeight="1">
      <c r="A35" s="12"/>
      <c r="B35" s="13"/>
      <c r="C35" s="9"/>
      <c r="D35" s="9" t="s">
        <v>403</v>
      </c>
      <c r="E35" s="9"/>
      <c r="F35" s="10" t="s">
        <v>404</v>
      </c>
      <c r="G35" s="11"/>
    </row>
    <row r="36" ht="27.75" customHeight="1">
      <c r="A36" s="13"/>
      <c r="B36" s="11" t="s">
        <v>405</v>
      </c>
      <c r="C36" s="9" t="n">
        <v>28</v>
      </c>
      <c r="D36" s="9" t="s">
        <v>187</v>
      </c>
      <c r="E36" s="9"/>
      <c r="F36" s="10" t="s">
        <v>406</v>
      </c>
      <c r="G36" s="11"/>
    </row>
    <row r="37" ht="16.5" customHeight="1">
      <c r="A37" s="8" t="s">
        <v>14</v>
      </c>
      <c r="B37" s="8" t="s">
        <v>407</v>
      </c>
      <c r="C37" s="9" t="n">
        <v>29</v>
      </c>
      <c r="D37" s="9" t="s">
        <v>408</v>
      </c>
      <c r="E37" s="9"/>
      <c r="F37" s="10" t="s">
        <v>409</v>
      </c>
      <c r="G37" s="11"/>
    </row>
    <row r="38" ht="27.75" customHeight="1">
      <c r="A38" s="12"/>
      <c r="B38" s="12"/>
      <c r="C38" s="9" t="n">
        <v>30</v>
      </c>
      <c r="D38" s="9" t="s">
        <v>410</v>
      </c>
      <c r="E38" s="9"/>
      <c r="F38" s="10" t="s">
        <v>411</v>
      </c>
      <c r="G38" s="11"/>
    </row>
    <row r="39" ht="27.75" customHeight="1">
      <c r="A39" s="12"/>
      <c r="B39" s="12"/>
      <c r="C39" s="9" t="n">
        <v>31</v>
      </c>
      <c r="D39" s="9" t="s">
        <v>412</v>
      </c>
      <c r="E39" s="9"/>
      <c r="F39" s="10" t="s">
        <v>413</v>
      </c>
      <c r="G39" s="11"/>
    </row>
    <row r="40" ht="16.5" customHeight="1">
      <c r="A40" s="12"/>
      <c r="B40" s="8" t="s">
        <v>414</v>
      </c>
      <c r="C40" s="9" t="n">
        <v>32</v>
      </c>
      <c r="D40" s="9" t="s">
        <v>415</v>
      </c>
      <c r="E40" s="9"/>
      <c r="F40" s="10" t="s">
        <v>416</v>
      </c>
      <c r="G40" s="11"/>
    </row>
    <row r="41" ht="16.5" customHeight="1">
      <c r="A41" s="12"/>
      <c r="B41" s="12"/>
      <c r="C41" s="9" t="n">
        <v>33</v>
      </c>
      <c r="D41" s="9" t="s">
        <v>417</v>
      </c>
      <c r="E41" s="9"/>
      <c r="F41" s="10" t="s">
        <v>418</v>
      </c>
      <c r="G41" s="11"/>
    </row>
    <row r="42" ht="16.5" customHeight="1">
      <c r="A42" s="12"/>
      <c r="B42" s="13"/>
      <c r="C42" s="9" t="n">
        <v>34</v>
      </c>
      <c r="D42" s="9" t="s">
        <v>178</v>
      </c>
      <c r="E42" s="9"/>
      <c r="F42" s="10" t="s">
        <v>419</v>
      </c>
      <c r="G42" s="11"/>
    </row>
    <row r="43" ht="16.5" customHeight="1">
      <c r="A43" s="13"/>
      <c r="B43" s="11" t="s">
        <v>420</v>
      </c>
      <c r="C43" s="9" t="n">
        <v>35</v>
      </c>
      <c r="D43" s="9" t="s">
        <v>421</v>
      </c>
      <c r="E43" s="9"/>
      <c r="F43" s="10" t="s">
        <v>422</v>
      </c>
      <c r="G43" s="11"/>
    </row>
    <row r="44" ht="16.5" customHeight="1">
      <c r="A44" s="8"/>
      <c r="B44" s="11"/>
      <c r="C44" s="9"/>
      <c r="D44" s="9"/>
      <c r="E44" s="9"/>
      <c r="F44" s="10"/>
      <c r="G44" s="11"/>
    </row>
    <row r="45" ht="16.5" customHeight="1">
      <c r="A45" s="14" t="s">
        <v>423</v>
      </c>
      <c r="B45" s="14" t="s">
        <v>424</v>
      </c>
      <c r="C45" s="15" t="s">
        <v>425</v>
      </c>
      <c r="D45" s="15" t="s">
        <v>426</v>
      </c>
      <c r="E45" s="15"/>
      <c r="F45" s="16" t="s">
        <v>427</v>
      </c>
      <c r="G45" s="14" t="s">
        <v>428</v>
      </c>
    </row>
    <row r="46" ht="27.75" customHeight="1">
      <c r="A46" s="17" t="s">
        <v>429</v>
      </c>
      <c r="B46" s="17" t="s">
        <v>430</v>
      </c>
      <c r="C46" s="18" t="s">
        <v>431</v>
      </c>
      <c r="D46" s="18" t="s">
        <v>432</v>
      </c>
      <c r="E46" s="18"/>
      <c r="F46" s="19" t="n">
        <v>24</v>
      </c>
      <c r="G46" s="17" t="s">
        <v>433</v>
      </c>
    </row>
    <row r="47" ht="27.75" customHeight="1">
      <c r="A47" s="17" t="s">
        <v>429</v>
      </c>
      <c r="B47" s="17" t="s">
        <v>430</v>
      </c>
      <c r="C47" s="18" t="s">
        <v>434</v>
      </c>
      <c r="D47" s="18" t="s">
        <v>435</v>
      </c>
      <c r="E47" s="18"/>
      <c r="F47" s="19" t="n">
        <v>16</v>
      </c>
      <c r="G47" s="17" t="s">
        <v>433</v>
      </c>
    </row>
    <row r="48" ht="27.75" customHeight="1">
      <c r="A48" s="17" t="s">
        <v>429</v>
      </c>
      <c r="B48" s="17" t="s">
        <v>430</v>
      </c>
      <c r="C48" s="18" t="s">
        <v>436</v>
      </c>
      <c r="D48" s="18" t="s">
        <v>437</v>
      </c>
      <c r="E48" s="18"/>
      <c r="F48" s="19" t="n">
        <v>0</v>
      </c>
      <c r="G48" s="17" t="s">
        <v>438</v>
      </c>
    </row>
    <row r="49" ht="27.75" customHeight="1">
      <c r="A49" s="17" t="s">
        <v>429</v>
      </c>
      <c r="B49" s="17" t="s">
        <v>430</v>
      </c>
      <c r="C49" s="18" t="s">
        <v>439</v>
      </c>
      <c r="D49" s="18" t="s">
        <v>440</v>
      </c>
      <c r="E49" s="18"/>
      <c r="F49" s="19" t="n">
        <v>1</v>
      </c>
      <c r="G49" s="17" t="s">
        <v>438</v>
      </c>
    </row>
    <row r="50" ht="27.75" customHeight="1">
      <c r="A50" s="17" t="s">
        <v>429</v>
      </c>
      <c r="B50" s="17" t="s">
        <v>430</v>
      </c>
      <c r="C50" s="18" t="s">
        <v>441</v>
      </c>
      <c r="D50" s="18" t="s">
        <v>442</v>
      </c>
      <c r="E50" s="18"/>
      <c r="F50" s="19" t="n">
        <v>2</v>
      </c>
      <c r="G50" s="17" t="s">
        <v>438</v>
      </c>
    </row>
    <row r="51" ht="27.75" customHeight="1">
      <c r="A51" s="17" t="s">
        <v>429</v>
      </c>
      <c r="B51" s="17" t="s">
        <v>443</v>
      </c>
      <c r="C51" s="18" t="s">
        <v>444</v>
      </c>
      <c r="D51" s="18" t="s">
        <v>445</v>
      </c>
      <c r="E51" s="18"/>
      <c r="F51" s="19" t="n">
        <v>1</v>
      </c>
      <c r="G51" s="17" t="s">
        <v>438</v>
      </c>
    </row>
    <row r="52" ht="27.75" customHeight="1">
      <c r="A52" s="17" t="s">
        <v>429</v>
      </c>
      <c r="B52" s="17" t="s">
        <v>443</v>
      </c>
      <c r="C52" s="18" t="s">
        <v>446</v>
      </c>
      <c r="D52" s="18" t="s">
        <v>447</v>
      </c>
      <c r="E52" s="18"/>
      <c r="F52" s="19" t="n">
        <v>1</v>
      </c>
      <c r="G52" s="17" t="s">
        <v>438</v>
      </c>
    </row>
    <row r="53" ht="27.75" customHeight="1">
      <c r="A53" s="17" t="s">
        <v>429</v>
      </c>
      <c r="B53" s="17" t="s">
        <v>443</v>
      </c>
      <c r="C53" s="18" t="s">
        <v>448</v>
      </c>
      <c r="D53" s="18" t="s">
        <v>449</v>
      </c>
      <c r="E53" s="18"/>
      <c r="F53" s="19" t="n">
        <v>0</v>
      </c>
      <c r="G53" s="17" t="s">
        <v>433</v>
      </c>
    </row>
    <row r="54" ht="27.75" customHeight="1">
      <c r="A54" s="17" t="s">
        <v>429</v>
      </c>
      <c r="B54" s="17" t="s">
        <v>450</v>
      </c>
      <c r="C54" s="18" t="s">
        <v>451</v>
      </c>
      <c r="D54" s="18" t="s">
        <v>452</v>
      </c>
      <c r="E54" s="18"/>
      <c r="F54" s="19" t="n">
        <v>1</v>
      </c>
      <c r="G54" s="17" t="s">
        <v>433</v>
      </c>
    </row>
    <row r="55" ht="27.75" customHeight="1">
      <c r="A55" s="17" t="s">
        <v>429</v>
      </c>
      <c r="B55" s="17" t="s">
        <v>450</v>
      </c>
      <c r="C55" s="18" t="s">
        <v>453</v>
      </c>
      <c r="D55" s="18" t="s">
        <v>454</v>
      </c>
      <c r="E55" s="18"/>
      <c r="F55" s="19" t="n">
        <v>0</v>
      </c>
      <c r="G55" s="17" t="s">
        <v>433</v>
      </c>
    </row>
    <row r="56" ht="16.5" customHeight="1">
      <c r="A56" s="17" t="s">
        <v>429</v>
      </c>
      <c r="B56" s="17" t="s">
        <v>455</v>
      </c>
      <c r="C56" s="18" t="s">
        <v>456</v>
      </c>
      <c r="D56" s="18" t="s">
        <v>457</v>
      </c>
      <c r="E56" s="18"/>
      <c r="F56" s="19" t="s">
        <v>371</v>
      </c>
      <c r="G56" s="17" t="s">
        <v>438</v>
      </c>
    </row>
    <row r="57" ht="41.25" customHeight="1">
      <c r="A57" s="17" t="s">
        <v>429</v>
      </c>
      <c r="B57" s="17" t="s">
        <v>455</v>
      </c>
      <c r="C57" s="18" t="s">
        <v>458</v>
      </c>
      <c r="D57" s="18" t="s">
        <v>459</v>
      </c>
      <c r="E57" s="18"/>
      <c r="F57" s="19" t="n">
        <v>4</v>
      </c>
      <c r="G57" s="17" t="s">
        <v>433</v>
      </c>
    </row>
    <row r="58" ht="41.25" customHeight="1">
      <c r="A58" s="17" t="s">
        <v>429</v>
      </c>
      <c r="B58" s="17" t="s">
        <v>455</v>
      </c>
      <c r="C58" s="18" t="s">
        <v>460</v>
      </c>
      <c r="D58" s="18" t="s">
        <v>459</v>
      </c>
      <c r="E58" s="18"/>
      <c r="F58" s="19" t="n">
        <v>3</v>
      </c>
      <c r="G58" s="17" t="s">
        <v>433</v>
      </c>
    </row>
    <row r="59" ht="41.25" customHeight="1">
      <c r="A59" s="17" t="s">
        <v>429</v>
      </c>
      <c r="B59" s="17" t="s">
        <v>455</v>
      </c>
      <c r="C59" s="18" t="s">
        <v>461</v>
      </c>
      <c r="D59" s="18" t="s">
        <v>462</v>
      </c>
      <c r="E59" s="18"/>
      <c r="F59" s="19" t="n">
        <v>0</v>
      </c>
      <c r="G59" s="17" t="s">
        <v>438</v>
      </c>
    </row>
    <row r="60" ht="41.25" customHeight="1">
      <c r="A60" s="17" t="s">
        <v>429</v>
      </c>
      <c r="B60" s="17" t="s">
        <v>463</v>
      </c>
      <c r="C60" s="18" t="s">
        <v>464</v>
      </c>
      <c r="D60" s="18" t="s">
        <v>465</v>
      </c>
      <c r="E60" s="18"/>
      <c r="F60" s="19" t="n">
        <v>2</v>
      </c>
      <c r="G60" s="17" t="s">
        <v>433</v>
      </c>
    </row>
    <row r="61" ht="16.5" customHeight="1">
      <c r="A61" s="17" t="s">
        <v>429</v>
      </c>
      <c r="B61" s="17" t="s">
        <v>466</v>
      </c>
      <c r="C61" s="18" t="s">
        <v>467</v>
      </c>
      <c r="D61" s="18" t="s">
        <v>468</v>
      </c>
      <c r="E61" s="18"/>
      <c r="F61" s="19" t="n">
        <v>0</v>
      </c>
      <c r="G61" s="17" t="s">
        <v>438</v>
      </c>
    </row>
    <row r="62" ht="27.75" customHeight="1">
      <c r="A62" s="17" t="s">
        <v>429</v>
      </c>
      <c r="B62" s="17" t="s">
        <v>469</v>
      </c>
      <c r="C62" s="18" t="s">
        <v>470</v>
      </c>
      <c r="D62" s="18" t="s">
        <v>471</v>
      </c>
      <c r="E62" s="18"/>
      <c r="F62" s="19" t="n">
        <v>0</v>
      </c>
      <c r="G62" s="17" t="s">
        <v>438</v>
      </c>
    </row>
    <row r="63" ht="27.75" customHeight="1">
      <c r="A63" s="17" t="s">
        <v>429</v>
      </c>
      <c r="B63" s="17" t="s">
        <v>443</v>
      </c>
      <c r="C63" s="18" t="s">
        <v>472</v>
      </c>
      <c r="D63" s="18" t="s">
        <v>473</v>
      </c>
      <c r="E63" s="18"/>
      <c r="F63" s="19" t="n">
        <v>0</v>
      </c>
      <c r="G63" s="17" t="s">
        <v>438</v>
      </c>
    </row>
    <row r="64" ht="27.75" customHeight="1">
      <c r="A64" s="17" t="s">
        <v>429</v>
      </c>
      <c r="B64" s="17" t="s">
        <v>474</v>
      </c>
      <c r="C64" s="18" t="s">
        <v>475</v>
      </c>
      <c r="D64" s="18" t="s">
        <v>476</v>
      </c>
      <c r="E64" s="18"/>
      <c r="F64" s="19" t="n">
        <v>34</v>
      </c>
      <c r="G64" s="17" t="s">
        <v>438</v>
      </c>
    </row>
    <row r="65" ht="27.75" customHeight="1">
      <c r="A65" s="17" t="s">
        <v>429</v>
      </c>
      <c r="B65" s="17" t="s">
        <v>474</v>
      </c>
      <c r="C65" s="18" t="s">
        <v>475</v>
      </c>
      <c r="D65" s="18" t="s">
        <v>477</v>
      </c>
      <c r="E65" s="18"/>
      <c r="F65" s="19" t="n">
        <v>26</v>
      </c>
      <c r="G65" s="17" t="s">
        <v>438</v>
      </c>
    </row>
    <row r="66" ht="16.5" customHeight="1">
      <c r="A66" s="17" t="s">
        <v>429</v>
      </c>
      <c r="B66" s="17" t="s">
        <v>478</v>
      </c>
      <c r="C66" s="18" t="s">
        <v>479</v>
      </c>
      <c r="D66" s="18" t="s">
        <v>480</v>
      </c>
      <c r="E66" s="18"/>
      <c r="F66" s="19" t="n">
        <v>1</v>
      </c>
      <c r="G66" s="17" t="s">
        <v>438</v>
      </c>
    </row>
    <row r="67" ht="16.5" customHeight="1">
      <c r="A67" s="17" t="s">
        <v>429</v>
      </c>
      <c r="B67" s="17" t="s">
        <v>478</v>
      </c>
      <c r="C67" s="18" t="s">
        <v>481</v>
      </c>
      <c r="D67" s="18" t="s">
        <v>482</v>
      </c>
      <c r="E67" s="18"/>
      <c r="F67" s="19" t="n">
        <v>1</v>
      </c>
      <c r="G67" s="17" t="s">
        <v>438</v>
      </c>
    </row>
    <row r="68" ht="16.5" customHeight="1">
      <c r="A68" s="17" t="s">
        <v>429</v>
      </c>
      <c r="B68" s="17" t="s">
        <v>478</v>
      </c>
      <c r="C68" s="18" t="s">
        <v>483</v>
      </c>
      <c r="D68" s="18" t="s">
        <v>484</v>
      </c>
      <c r="E68" s="18"/>
      <c r="F68" s="19" t="n">
        <v>3</v>
      </c>
      <c r="G68" s="17" t="s">
        <v>438</v>
      </c>
    </row>
    <row r="69" ht="16.5" customHeight="1">
      <c r="A69" s="17" t="s">
        <v>429</v>
      </c>
      <c r="B69" s="17" t="s">
        <v>478</v>
      </c>
      <c r="C69" s="18" t="s">
        <v>485</v>
      </c>
      <c r="D69" s="18" t="s">
        <v>486</v>
      </c>
      <c r="E69" s="18"/>
      <c r="F69" s="19" t="n">
        <v>3</v>
      </c>
      <c r="G69" s="17" t="s">
        <v>438</v>
      </c>
    </row>
    <row r="70" ht="16.5" customHeight="1">
      <c r="A70" s="17" t="s">
        <v>429</v>
      </c>
      <c r="B70" s="17" t="s">
        <v>478</v>
      </c>
      <c r="C70" s="18" t="s">
        <v>487</v>
      </c>
      <c r="D70" s="18" t="s">
        <v>449</v>
      </c>
      <c r="E70" s="18"/>
      <c r="F70" s="19" t="n">
        <v>3</v>
      </c>
      <c r="G70" s="17" t="s">
        <v>433</v>
      </c>
    </row>
    <row r="71" ht="41.25" customHeight="1">
      <c r="A71" s="17" t="s">
        <v>429</v>
      </c>
      <c r="B71" s="17" t="s">
        <v>488</v>
      </c>
      <c r="C71" s="18" t="s">
        <v>489</v>
      </c>
      <c r="D71" s="18" t="s">
        <v>490</v>
      </c>
      <c r="E71" s="18"/>
      <c r="F71" s="19" t="n">
        <v>311</v>
      </c>
      <c r="G71" s="17" t="s">
        <v>433</v>
      </c>
    </row>
    <row r="72" ht="16.5" customHeight="1">
      <c r="A72" s="11"/>
      <c r="B72" s="11"/>
      <c r="C72" s="9"/>
      <c r="D72" s="9"/>
      <c r="E72" s="9"/>
      <c r="F72" s="10"/>
      <c r="G72" s="11"/>
    </row>
    <row r="73" ht="16.5" customHeight="1">
      <c r="A73" s="20" t="s">
        <v>423</v>
      </c>
      <c r="B73" s="20" t="s">
        <v>424</v>
      </c>
      <c r="C73" s="21" t="s">
        <v>425</v>
      </c>
      <c r="D73" s="21" t="s">
        <v>426</v>
      </c>
      <c r="E73" s="21"/>
      <c r="F73" s="21" t="s">
        <v>427</v>
      </c>
      <c r="G73" s="20" t="s">
        <v>428</v>
      </c>
    </row>
    <row r="74" ht="16.5" customHeight="1">
      <c r="A74" s="22" t="s">
        <v>491</v>
      </c>
      <c r="B74" s="22" t="s">
        <v>489</v>
      </c>
      <c r="C74" s="23" t="s">
        <v>492</v>
      </c>
      <c r="D74" s="23" t="s">
        <v>493</v>
      </c>
      <c r="E74" s="23"/>
      <c r="F74" s="24" t="n">
        <v>311</v>
      </c>
      <c r="G74" s="22" t="s">
        <v>494</v>
      </c>
    </row>
    <row r="75" ht="16.5" customHeight="1">
      <c r="A75" s="22" t="s">
        <v>407</v>
      </c>
      <c r="B75" s="22" t="s">
        <v>495</v>
      </c>
      <c r="C75" s="23" t="s">
        <v>492</v>
      </c>
      <c r="D75" s="23" t="s">
        <v>496</v>
      </c>
      <c r="E75" s="23"/>
      <c r="F75" s="24" t="n">
        <v>92</v>
      </c>
      <c r="G75" s="22" t="s">
        <v>438</v>
      </c>
    </row>
    <row r="76" ht="16.5" customHeight="1">
      <c r="A76" s="22" t="s">
        <v>497</v>
      </c>
      <c r="B76" s="22" t="s">
        <v>498</v>
      </c>
      <c r="C76" s="23" t="s">
        <v>492</v>
      </c>
      <c r="D76" s="23" t="s">
        <v>499</v>
      </c>
      <c r="E76" s="23"/>
      <c r="F76" s="24" t="n">
        <v>0</v>
      </c>
      <c r="G76" s="22" t="s">
        <v>433</v>
      </c>
    </row>
    <row r="77" ht="16.5" customHeight="1">
      <c r="A77" s="22" t="s">
        <v>500</v>
      </c>
      <c r="B77" s="22" t="s">
        <v>501</v>
      </c>
      <c r="C77" s="23" t="s">
        <v>492</v>
      </c>
      <c r="D77" s="23" t="s">
        <v>393</v>
      </c>
      <c r="E77" s="23"/>
      <c r="F77" s="24" t="n">
        <v>150</v>
      </c>
      <c r="G77" s="22" t="s">
        <v>494</v>
      </c>
    </row>
    <row r="78" ht="16.5" customHeight="1">
      <c r="A78" s="22" t="s">
        <v>502</v>
      </c>
      <c r="B78" s="22" t="s">
        <v>503</v>
      </c>
      <c r="C78" s="23" t="s">
        <v>504</v>
      </c>
      <c r="D78" s="23" t="s">
        <v>505</v>
      </c>
      <c r="E78" s="23"/>
      <c r="F78" s="24" t="n">
        <v>7</v>
      </c>
      <c r="G78" s="22" t="s">
        <v>433</v>
      </c>
    </row>
    <row r="79" ht="16.5" customHeight="1">
      <c r="A79" s="22"/>
      <c r="B79" s="22" t="s">
        <v>506</v>
      </c>
      <c r="C79" s="23" t="s">
        <v>507</v>
      </c>
      <c r="D79" s="23" t="s">
        <v>508</v>
      </c>
      <c r="E79" s="23"/>
      <c r="F79" s="24" t="n">
        <v>6</v>
      </c>
      <c r="G79" s="22" t="s">
        <v>433</v>
      </c>
    </row>
    <row r="80" ht="16.5" customHeight="1">
      <c r="A80" s="22" t="s">
        <v>509</v>
      </c>
      <c r="B80" s="22" t="s">
        <v>503</v>
      </c>
      <c r="C80" s="23" t="s">
        <v>504</v>
      </c>
      <c r="D80" s="23" t="s">
        <v>509</v>
      </c>
      <c r="E80" s="23"/>
      <c r="F80" s="24" t="n">
        <v>28</v>
      </c>
      <c r="G80" s="22" t="s">
        <v>433</v>
      </c>
    </row>
    <row r="81" ht="16.5" customHeight="1">
      <c r="A81" s="22"/>
      <c r="B81" s="22" t="s">
        <v>506</v>
      </c>
      <c r="C81" s="23" t="s">
        <v>507</v>
      </c>
      <c r="D81" s="23" t="s">
        <v>510</v>
      </c>
      <c r="E81" s="23"/>
      <c r="F81" s="24" t="n">
        <v>28</v>
      </c>
      <c r="G81" s="22" t="s">
        <v>433</v>
      </c>
    </row>
    <row r="82" ht="16.5" customHeight="1">
      <c r="A82" s="22" t="s">
        <v>330</v>
      </c>
      <c r="B82" s="22" t="s">
        <v>503</v>
      </c>
      <c r="C82" s="23" t="s">
        <v>504</v>
      </c>
      <c r="D82" s="23" t="s">
        <v>511</v>
      </c>
      <c r="E82" s="23"/>
      <c r="F82" s="24" t="n">
        <v>9</v>
      </c>
      <c r="G82" s="22" t="s">
        <v>433</v>
      </c>
    </row>
    <row r="83" ht="16.5" customHeight="1">
      <c r="A83" s="22" t="s">
        <v>333</v>
      </c>
      <c r="B83" s="22" t="s">
        <v>503</v>
      </c>
      <c r="C83" s="23" t="s">
        <v>504</v>
      </c>
      <c r="D83" s="23" t="s">
        <v>512</v>
      </c>
      <c r="E83" s="23"/>
      <c r="F83" s="24" t="n">
        <v>28</v>
      </c>
      <c r="G83" s="22" t="s">
        <v>433</v>
      </c>
    </row>
    <row r="84" ht="16.5" customHeight="1">
      <c r="A84" s="22" t="s">
        <v>335</v>
      </c>
      <c r="B84" s="22" t="s">
        <v>415</v>
      </c>
      <c r="C84" s="23" t="s">
        <v>513</v>
      </c>
      <c r="D84" s="23" t="s">
        <v>514</v>
      </c>
      <c r="E84" s="23"/>
      <c r="F84" s="24" t="n">
        <v>30</v>
      </c>
      <c r="G84" s="22" t="s">
        <v>433</v>
      </c>
    </row>
    <row r="85" ht="16.5" customHeight="1">
      <c r="A85" s="22" t="s">
        <v>338</v>
      </c>
      <c r="B85" s="22" t="s">
        <v>515</v>
      </c>
      <c r="C85" s="23" t="s">
        <v>516</v>
      </c>
      <c r="D85" s="23" t="s">
        <v>514</v>
      </c>
      <c r="E85" s="23"/>
      <c r="F85" s="24" t="n">
        <v>200</v>
      </c>
      <c r="G85" s="22" t="s">
        <v>433</v>
      </c>
    </row>
    <row r="86" ht="16.5" customHeight="1">
      <c r="A86" s="22" t="s">
        <v>517</v>
      </c>
      <c r="B86" s="22" t="s">
        <v>518</v>
      </c>
      <c r="C86" s="23" t="s">
        <v>519</v>
      </c>
      <c r="D86" s="23" t="s">
        <v>520</v>
      </c>
      <c r="E86" s="23"/>
      <c r="F86" s="24" t="n">
        <v>13</v>
      </c>
      <c r="G86" s="22" t="s">
        <v>433</v>
      </c>
    </row>
  </sheetData>
  <mergeCells count="10">
    <mergeCell ref="B37:B39"/>
    <mergeCell ref="B19:B20"/>
    <mergeCell ref="B28:B35"/>
    <mergeCell ref="B22:B24"/>
    <mergeCell ref="B40:B42"/>
    <mergeCell ref="A37:A43"/>
    <mergeCell ref="B2:B16"/>
    <mergeCell ref="B17:B18"/>
    <mergeCell ref="B25:B26"/>
    <mergeCell ref="A2:A36"/>
  </mergeCells>
  <phoneticPr fontId="1" type="noConversion"/>
  <pageMargins left="0.7" right="0.7" top="0.75" bottom="0.75" header="0.3" footer="0.3"/>
</worksheet>
</file>

<file path=customXml/dingComments.xml><?xml version="1.0" encoding="utf-8"?>
<dingComments>
  <dingCommentList sheetId="7">
    <dingComment ref="D4" cmtId="cmt-05bc920f-72604"/>
  </dingCommentList>
</dingComments>
</file>

<file path=docProps/app.xml><?xml version="1.0" encoding="utf-8"?>
<Properties xmlns="http://schemas.openxmlformats.org/officeDocument/2006/extended-properties" xmlns:vt="http://schemas.openxmlformats.org/officeDocument/2006/docPropsVTypes">
  <TotalTime>0</TotalTime>
  <Application>DingTalk</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DingTalk</cp:lastModifiedBy>
  <dcterms:created xsi:type="dcterms:W3CDTF">2006-09-16T00:00:00Z</dcterms:created>
  <dcterms:modified xsi:type="dcterms:W3CDTF">2026-09-04T17:56:15Z</dcterms:modified>
</cp:coreProperties>
</file>