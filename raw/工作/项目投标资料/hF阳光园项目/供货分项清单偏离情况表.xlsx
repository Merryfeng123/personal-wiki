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410" windowHeight="11460"/>
  </bookViews>
  <sheets>
    <sheet name="硬件-报价明细" sheetId="1" r:id="rId1"/>
  </sheets>
  <definedNames>
    <definedName name="_xlnm._FilterDatabase" localSheetId="0" hidden="1">'硬件-报价明细'!$1:$1048576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<sst xmlns="http://schemas.openxmlformats.org/spreadsheetml/2006/main" count="891" uniqueCount="319">
  <si>
    <t>序号</t>
  </si>
  <si>
    <t>设备名称</t>
  </si>
  <si>
    <t>技术参数要求</t>
  </si>
  <si>
    <t>推荐品牌</t>
  </si>
  <si>
    <t>数量</t>
  </si>
  <si>
    <t>单位</t>
  </si>
  <si>
    <t>投标品牌</t>
  </si>
  <si>
    <t>投标型号</t>
  </si>
  <si>
    <t>投标参数</t>
  </si>
  <si>
    <t>参数响应</t>
  </si>
  <si>
    <t>偏离说明</t>
  </si>
  <si>
    <t>一、智慧消防及物联系统</t>
  </si>
  <si>
    <t>用户信息传输装置</t>
  </si>
  <si>
    <t>壁挂式，用于消防远程监控，通过RS232端口实时监测所连接火灾报警控制器的报警信息，并通过有线网络传递到监控平台。满足GB26875-2011标准。</t>
  </si>
  <si>
    <t>主机信号采集数量：青鸟自动报警主机*20，青岛鼎信自动报警主机*1，利达自动报警主机*1，各品牌需对应使用适配的用户信息传输硬件</t>
  </si>
  <si>
    <t>台</t>
  </si>
  <si>
    <t>青鸟</t>
  </si>
  <si>
    <t>JBF5891</t>
  </si>
  <si>
    <t>用于实现火灾报警控制器与上位机进行有线通讯（网线）的联网设备，DC24V供电，外型尺寸 136*89*36(mm)。</t>
  </si>
  <si>
    <t>响应</t>
  </si>
  <si>
    <t>-</t>
  </si>
  <si>
    <t>全局网络控制器</t>
  </si>
  <si>
    <r>
      <t>1.名称：全局网络控制器 </t>
    </r>
    <r>
      <rPr>
        <sz val="10"/>
        <rFont val="宋体"/>
        <charset val="134"/>
      </rPr>
      <t xml:space="preserve">
</t>
    </r>
    <r>
      <rPr>
        <sz val="11"/>
        <color rgb="FFFE0300"/>
        <rFont val="宋体"/>
        <charset val="134"/>
      </rPr>
      <t>2.参数要求：单核 A8@1GHz，1GB DDR3 / 4GB microSD，2× 百兆，2×RS-485，可扩展4 个 I/O/ 现场总线模块。协议：BACnet IP/MS/TP + Modbus TCP/RTU + LonWorks + KNX + SNMP + oBIX，编程：Niagara 图形化编程，功能极强，适合复杂联锁 / 算法。满足现场现场功能所需的点位授权费</t>
    </r>
  </si>
  <si>
    <t>霍尼韦尔、江森、西门子</t>
  </si>
  <si>
    <t>霍尼韦尔</t>
  </si>
  <si>
    <t>ECC200-PE</t>
  </si>
  <si>
    <t>边缘网络控制器，3条RS485总线；支持编程数据管理等功能，单核 A8@1GHz，1GB DDR3 / 4GB microSD，2× 百兆，2×RS-485，可扩展4 个 I/O/ 现场总线模块。协议：BACnet IP/MS/TP + Modbus TCP/RTU + LonWorks + KNX + SNMP + oBIX</t>
  </si>
  <si>
    <t>可编程网络控制器</t>
  </si>
  <si>
    <t>通讯接口：100M以太网，双网口
协议：BACnetIP/Modbus-TCP
扩展接口通讯：控制器内部协议
DI输入接口：数量最大24路，干接点接入
DO控制接口：8路，继电器负载能力2A/30VDC
UI输入接口：最大16路，支持电阻型温度NTC20K，电压型湿度0~10V，电压型CO2,0~10V，电压型CO 0~10V,电流型水压4~20mA，电流型流量计4~20mA，执行器0~10V和2~10V反馈
AO输出接口：8路，支持4~20mA和0~10V输出
RS485接口数量：2个，其中一个支持多合一传感器接入，另外一路备用
支持PLC功能，支持PLC逻辑编程
尺寸：225x115x 57mm
外壳原料： UL 94 ABS
电源：DC24V/3A
重量：500g</t>
  </si>
  <si>
    <t>WEBs系列控制器</t>
  </si>
  <si>
    <t>通讯接口：100M以太网，双网口
协议：BACnetIP/Modbus-TCP
扩展接口通讯：控制器内部协议
DI、DO、UI、AO接入点数满足设备接入需求；
支持电阻型温度NTC20K，电压型湿度0~10V，电压型CO2,0~10V，电压型CO 0~10V,电流型水压4~20mA，电流型流量计4~20mA，执行器0~10V和2~10V反馈
支持4~20mA和0~10V输出
RS485接口数量：2个，其中一个支持多合一传感器接入，另外一路备用
支持PLC功能，支持PLC逻辑编程</t>
  </si>
  <si>
    <t>可编程控制盘</t>
  </si>
  <si>
    <t>1、包含：空开、导轨及接线端子
2、国产优质箱体，根据实际安装设备测量后成套定制</t>
  </si>
  <si>
    <t>国产一线品牌，空开品牌为良信、正泰、公牛</t>
  </si>
  <si>
    <t>国产定制</t>
  </si>
  <si>
    <t>DDC-Panel-XL</t>
  </si>
  <si>
    <t>1、包含：正泰空开、导轨及接线端子
2、国产优质箱体，根据实际安装设备测量后成套定制</t>
  </si>
  <si>
    <t>电源模块</t>
  </si>
  <si>
    <t>输入：85–264VAC（全球宽压），50/60Hz
输出：24VDC 可调（约 24–26V）
电流：1.3A / 2.5A / 4A（常用 4A 配 DDC）
保护：过压、短路、过载、过热（自恢复）
EMC：EN61000-6-2、EN61000-4 系列，工业级
安装：35mm DIN 导轨
外壳：UL94 V-0 阻燃塑料
工作温度：-20℃ ~ +60℃</t>
  </si>
  <si>
    <t>霍尼韦尔、江森、西门子、同方泰德</t>
  </si>
  <si>
    <t>LRS-35-24</t>
  </si>
  <si>
    <t>液位开关</t>
  </si>
  <si>
    <t>电缆长度：3M；电缆类型：PVC（聚氯乙烯）；包装形式：纸箱批量简易包装；</t>
  </si>
  <si>
    <t>HSL-LS05</t>
  </si>
  <si>
    <t>电缆长度：5M；电缆类型：PVC（聚氯乙烯）；包装形式：纸箱批量简易包装；</t>
  </si>
  <si>
    <t>压力变送器</t>
  </si>
  <si>
    <t>输出信号：4-20MA；量程范围：0-25 bar；过程连接：1/4 NPT；电气连接：1M；</t>
  </si>
  <si>
    <t>HSP-W225MB</t>
  </si>
  <si>
    <t>流量传感器</t>
  </si>
  <si>
    <r>
      <t>电源:10 to 35 VDC；电源消耗:最大40mA；输出:脉冲:NPN开集方波输出，最大60V@50mA;频率:3.2至200Hz。脉冲宽度:2.5毫秒+25%，4-20mA:4mA是0fts，20 mA是25 fts。过程连接:标准配置为1-1/2”NPT外螺纹，可选2“NPT外螺纹。</t>
    </r>
    <r>
      <rPr>
        <sz val="11"/>
        <color rgb="FFFE0300"/>
        <rFont val="宋体"/>
        <charset val="134"/>
      </rPr>
      <t>管径满足现场环境</t>
    </r>
  </si>
  <si>
    <t>HMF-EM16F100N4MY</t>
  </si>
  <si>
    <t>口径100，通讯协议和接口：Modbus RTU， RS485，输出信号：4-20mA脉冲输，供电：24VDC100VAC 至 240VAC</t>
  </si>
  <si>
    <t>氧浓度监测传感器</t>
  </si>
  <si>
    <t>工作温度 -20~50℃
工作湿度 5~95% RH 无冷凝
压力范围 90~110KPa
稳定性 ≤5% 信号值 / 年
响应时间 ≤10S
预热时间 ≥5 分钟
零点漂移（-20~40℃） ±0.3%Vol
重复性 ≤1%
使用寿命 ≥24 个月
量程 0~25% VOL
精度 ±2%FS
分辨率 0.1%VOL</t>
  </si>
  <si>
    <t>O2-W2</t>
  </si>
  <si>
    <t>温湿度传感器</t>
  </si>
  <si>
    <t>精度：±2%RH；湿度输出：0-10V；温度输出：NTC20K，±0.2°C @25°C；温度量程：0~50℃；继电器输出：无；LCD显示无；</t>
  </si>
  <si>
    <t>霍尼韦尔、江森、西门子、施耐德、同方泰德</t>
  </si>
  <si>
    <t>HSH-RV2B</t>
  </si>
  <si>
    <t>精度：±2%RH；湿度输出：0-10V；温度输出：NTC20K，±0.3°C @25°C；温度量程：-10 ℃ ~ 60 ℃℃；</t>
  </si>
  <si>
    <t>管道风速监测传感器</t>
  </si>
  <si>
    <r>
      <t>量程：0–20 m/s（0–4000 ft/min），精度：±0.2 m/s（≤10 m/s）；±2% FS（&gt;10 m/s），输出信号：0–10VDC（线性对应量程），供电：24VDC ±10%（BA 标准供电）</t>
    </r>
    <r>
      <rPr>
        <sz val="10"/>
        <rFont val="宋体"/>
        <charset val="134"/>
      </rPr>
      <t xml:space="preserve">
</t>
    </r>
    <r>
      <rPr>
        <sz val="11"/>
        <color rgb="FF000000"/>
        <rFont val="宋体"/>
        <charset val="134"/>
      </rPr>
      <t>材质 / 防护：ABS 外壳，探杆 304 不锈钢；IP65</t>
    </r>
    <r>
      <rPr>
        <sz val="10"/>
        <rFont val="宋体"/>
        <charset val="134"/>
      </rPr>
      <t xml:space="preserve">
</t>
    </r>
    <r>
      <rPr>
        <sz val="11"/>
        <color rgb="FF000000"/>
        <rFont val="宋体"/>
        <charset val="134"/>
      </rPr>
      <t>温度：-10℃~+50℃（耐高温款可达 80℃）</t>
    </r>
    <r>
      <rPr>
        <sz val="10"/>
        <rFont val="宋体"/>
        <charset val="134"/>
      </rPr>
      <t xml:space="preserve">
</t>
    </r>
    <r>
      <rPr>
        <sz val="11"/>
        <color rgb="FF000000"/>
        <rFont val="宋体"/>
        <charset val="134"/>
      </rPr>
      <t>安装：法兰开孔插入式，带密封圈，漏风小</t>
    </r>
  </si>
  <si>
    <t>HSV-ADH30U</t>
  </si>
  <si>
    <t>风速传感器，一体式，最大量程30m/s,0-10V/4-20mA输出，不带显示</t>
  </si>
  <si>
    <t>继电器</t>
  </si>
  <si>
    <t>适配电磁阀信号选配</t>
  </si>
  <si>
    <t>个</t>
  </si>
  <si>
    <t>HSV-ADH30J</t>
  </si>
  <si>
    <t>按电磁阀信号选配</t>
  </si>
  <si>
    <t>交流电流变送器</t>
  </si>
  <si>
    <t>输出4-20mA三相模块RS485信号</t>
  </si>
  <si>
    <t>同方泰德</t>
  </si>
  <si>
    <t>AC0-5A4-20mA10V</t>
  </si>
  <si>
    <t>光纤熔接盒（含光纤熔纤）</t>
  </si>
  <si>
    <t>SC4芯单模满配含熔接尾纤、法兰、SC光跳线</t>
  </si>
  <si>
    <t>一舟、普天天纪、罗格朗</t>
  </si>
  <si>
    <t>一舟</t>
  </si>
  <si>
    <t>S953-4X+
4*S905-3+
4*S812+
2*S922</t>
  </si>
  <si>
    <t>含4个SC单工耦合器，4条SC单芯单模尾纤，2条SC-SC双芯单模跳纤</t>
  </si>
  <si>
    <t>光纤收发器</t>
  </si>
  <si>
    <t>1个10/100M/1000M网口，1个1000Mbps光口（SC），工作波长：1550nm（发送）、1310nm（接收），20km。</t>
  </si>
  <si>
    <t>TP-LINK、山泽、烽火</t>
  </si>
  <si>
    <t>对</t>
  </si>
  <si>
    <t>普联</t>
  </si>
  <si>
    <t>TL-FC311A-3</t>
  </si>
  <si>
    <t>普联（TP-LINK）TL-FC311A-3千兆单模单纤光纤收发器 光电转换器SC单芯3km（单只装）</t>
  </si>
  <si>
    <t>光纤收发器架</t>
  </si>
  <si>
    <t>14槽光纤收发器机架；标准机柜安装；</t>
  </si>
  <si>
    <t>TL-FC1400</t>
  </si>
  <si>
    <t>普联（TP-LINK） TL-FC1400单模多模光纤收发器14槽机架单纤双纤光电转换器整理箱机柜2U机箱</t>
  </si>
  <si>
    <t>室外4芯单模光缆</t>
  </si>
  <si>
    <t>1.标准：YD/T769，ISO/IEC11801，ANSI/TIA -568-C.3
2.全截面阻水结构，松套管填充纤膏，松套管和钢带之间填充缆膏，确保良好的阻水防潮性能
3.光纤规格：B1.3（OS2）
4.衰减＠20℃（dB/Km）：＠1310nm≤0.36，＠1550nm≤0.22
5.光纤芯数：4芯
6.护套：夹带钢丝的钢-聚乙烯粘结护套，MDPE，黑色
7.允许拉伸力：长期：600N，短期：1500N
8.允许压扁力：长期：300N/100mm，短期：1000N/100mm
9.最小弯曲半径：动态：20D，静态：10D</t>
  </si>
  <si>
    <t>m</t>
  </si>
  <si>
    <t>D173-4</t>
  </si>
  <si>
    <t>24口光纤配线架（含尾纤、LC双工耦合器、熔接）</t>
  </si>
  <si>
    <t>1.标准：YD/T778，ISO/IEC 11801，ANSI/TIA -568-C.3
2.安装方式：19″机架式安装
3.4个光缆进线口，带固定PG头，盒内配置光缆护套固定装置，光缆加强件固定装置
4.通用型设计，可兼容：LC双工、SC单工、FC、ST适配器，一个4口支架仅需一颗螺丝，便于安装和拆卸
5.进出光纤方便灵活，有充裕的光纤盘存空间，光纤和尾纤弯曲半径不小于30mm
6.端口数量： 24口，空余端口可安装空白功能件，高度：1U
7.表面处理：静电喷塑
8.材料：优质冷扎钢板
9.表面颜色：黑色
10.含LC双工耦合器</t>
  </si>
  <si>
    <t>S952-24X+
24*S905-7-1+
48*S813</t>
  </si>
  <si>
    <t>光纤跳线</t>
  </si>
  <si>
    <t>单模双芯SC-LC优质2米光纤跳线；</t>
  </si>
  <si>
    <t>S928</t>
  </si>
  <si>
    <t>六类非屏蔽跳线（2m）</t>
  </si>
  <si>
    <t>1.标准：不低于TIA/EIA568-C.2、ISO/IEC11801、IEC60332-1、GB 50311；
2.导体规格：多股绞合，软圆铜线，4×2×24AWG；
3.护套材料：PVC，护套外径：6.3±0.3mm；
4.插头规格：RJ45，8P8C；
5.插拔次数：≥1000次；
6.最高传输频率：不小于250MHz；
7.线缆外护套上间隔印有商标、电缆编号、电缆类别、线规、防火等级、标准；
8.支持以太网供电应用（POE/POE+）；
9.描述：用于办公桌桌面跳线，长度2米
10.为了保证性能的匹配性和稳定性，综合布线光纤系统、铜缆系统应采用同一品牌。</t>
  </si>
  <si>
    <t>S0200-GY</t>
  </si>
  <si>
    <t>1.标准：不低于TIA/EIA568-C.2、ISO/IEC11801、IEC60332-1、GB 50311；
2.导体规格：多股绞合，软圆铜线，4×2×23AWG；
3.护套材料：PVC，护套外径：6.3±0.3mm；
4.插头规格：RJ45，8P8C；
5.插拔次数：≥1000次；
6.最高传输频率：不小于250MHz；
7.线缆外护套上间隔印有商标、电缆编号、电缆类别、线规、防火等级、标准；
8.支持以太网供电应用（POE/POE+）；
9.描述：用于办公桌桌面跳线，长度2米
10.为了保证性能的匹配性和稳定性，综合布线光纤系统、铜缆系统应采用同一品牌。</t>
  </si>
  <si>
    <t>24口接入交换机-单电源</t>
  </si>
  <si>
    <t>★在不插板卡情况下，单设备交换容量≥336Gbps，包转发率≥120Mpps，提供≥24个千兆电接口、≥4个千兆SFP光接口      
1、支持堆叠技术或者虚拟化技术
2、支持 4K 802.1Q VLAN,支持Voice VLAN及Voice VLAN中可以同时识别多厂家的OUI地址，支持端口VLAN、MAC VLAN
3、支持标准IP ACL（基于IP地址的硬件ACL）支持扩展IP ACL（基于IP地址、TCP/UDP端口号的硬件ACL）
4、支持QOS
5、支持一对一、多对一、一对多的镜像
6、支持DHCP Server、DHCP Client、DHCP Snooping、DHCP Relay、DHCP Option82
7、支持广播风暴抑制
8、支持设备登陆管理的AAA安全认证、radius认证、支持802.1x、支持ssh2.0
9、支持STP/RSTP/MSTP协议
10、支持链路聚合（支持静态、动态链路聚合、千兆口聚合）
11、有标准的或私有的邻居发现协议
12、支持VLAN虚接口
13、支持 IPv4 /ipv6静态路由
14、支持OSPFv2、OSPFv3
15、支持SNMPv1/v2/v3，WEB网管，支持命令行接口配置，Telnet，SSH，Console口配置，支持系统日志，分级告警，调试信息输出，NTP/SNTP
★16、提供真实有效的工信部入网证复印件；
★17、原厂质保≥3年
★18、考虑设备兼容性、项目实施、交付及售后服务，采用与核心交换机同一品牌。</t>
  </si>
  <si>
    <t>华三、锐捷（非睿易）</t>
  </si>
  <si>
    <t>锐捷</t>
  </si>
  <si>
    <t>RG-NBS3100-24GT4SFP V2</t>
  </si>
  <si>
    <t>24个10/100/1000Base-T自适应以太网接口，4个1GE SFP接口；
交换容量:598Gbps/5.98Tbps;包转发率:126Mpps;
支持4K 802.1Q VLAN，支持Port based VLAN，支持MAC based VLAN，支持Voice VLAN，支持GVRP；
支持STP、RSTP、MSTP；
支持DHCP Server ，支持DHCP Client ，支持DHCP Snooping，支持DHCP Relay；
支持VSU虚拟化技术，支持本地堆叠和远程堆叠，支持通过标准业务口实现虚拟化；
支持IPv4/IPv6静态路由、可扩展支持RIP、RIPng、OSPF、OSPFv3协议;
支持端口流量识别，支持端口流量限速，支持802.1p/DSCP/TOS流量分类，支持SP、WRR、DRR、SP+WFQ、 SP+WRR、SP+DRR、RED/WRED队列调度；
支持过滤非法的MAC地址，支持广播风暴抑制，支持BPDU Guard，支持CPP、NFPP，支持端口保护；
支持SNMP、CLI(Telnet/Console)、RMON、SSH、Syslog/Debug、NTP/SNTP、FTP、TFTP、Web、WIS公有云平台管理;</t>
  </si>
  <si>
    <t>千兆单模光模块</t>
  </si>
  <si>
    <t>LC接口，单模千兆光纤（和交换机同品牌）</t>
  </si>
  <si>
    <t>GE-eSFP-LX-SM1310</t>
  </si>
  <si>
    <t>千兆单模SFP光模块，波长1310nm，最大传输距离10km</t>
  </si>
  <si>
    <t>信号线</t>
  </si>
  <si>
    <t>国标，RVV2*1.0</t>
  </si>
  <si>
    <t>RVV2*1.0</t>
  </si>
  <si>
    <t>国标，RVVP2*1.0</t>
  </si>
  <si>
    <t>RVVP2*1.0</t>
  </si>
  <si>
    <t>国标，RVVP4*1.0</t>
  </si>
  <si>
    <t>RVVP4*1.0</t>
  </si>
  <si>
    <t>国标，RVVP6*1.0</t>
  </si>
  <si>
    <t>RVVP6*1.0</t>
  </si>
  <si>
    <t>JDG20管</t>
  </si>
  <si>
    <t>JDG管，壁厚不小于1.0MM,φ20；含主材、接头、固定扣件（含钢结构扣件）等辅材</t>
  </si>
  <si>
    <t>国产</t>
  </si>
  <si>
    <t>JDG20</t>
  </si>
  <si>
    <r>
      <rPr>
        <sz val="11"/>
        <color rgb="FF000000"/>
        <rFont val="宋体"/>
        <charset val="134"/>
      </rPr>
      <t>JDG管，壁厚不小于1.0MM,</t>
    </r>
    <r>
      <rPr>
        <sz val="11"/>
        <color rgb="FF000000"/>
        <rFont val="Calibri"/>
        <charset val="161"/>
      </rPr>
      <t>φ</t>
    </r>
    <r>
      <rPr>
        <sz val="11"/>
        <color rgb="FF000000"/>
        <rFont val="宋体"/>
        <charset val="134"/>
      </rPr>
      <t>20；含主材、接头、固定扣件（含钢结构扣件）等辅材</t>
    </r>
  </si>
  <si>
    <t>辅材</t>
  </si>
  <si>
    <t>设备安装配套辅材，水晶头，扎带等</t>
  </si>
  <si>
    <t>项</t>
  </si>
  <si>
    <t>二、智慧安防系统</t>
  </si>
  <si>
    <t>2.1、视频监控系统</t>
  </si>
  <si>
    <t>抗振防抖场景专用摄像机</t>
  </si>
  <si>
    <t>1.设备采用金属机身，主要接口：1个M12航空头网络接口、1个CVBS接口、1个音频输入接口，1个音频输出接口、1个RS485接口、1个报警输入接口、1个报警输出接口、1个SD卡卡槽（内置）
2.内置1/1.8英寸，400万像素CMOS传感器；最大亮度鉴别等级试验≥11级；最大帧率60fps；延时试验小于200ms；照度适应范围不小于140dB
3.外壳防护等级IP66/IP68
4.机身部分碰撞防护等级IK10
5.摄像机应能在额定电源电压DC9V-DC36V范围内正常工作，支持POE供电
6.设备支持红外和暖光补光灯，可通过IE浏览器或客户端切换补光灯类型
7.最低照度试验：彩色：0.0005 lx，黑白：0.0001 lx
8.支持开启、关闭畸变矫正功能
9.防抖功能检查：在水平X轴方向随机抖动频率范围5Hz-62Hz，加速度有效值：5.6m/s²，最大振幅3.39mm；相机配置：2560X1440，最大焦距，座装安装，镜头方向朝下；在图像中指定4个像素点，最大偏移应不超过±1%。
10.防抖功能检查：在水平Y轴方向随机抖动频率范围5Hz-62Hz，加速度有效值：5.6m/s²，最大振幅3.39mm；相机配置：2560X1440，最大焦距，座装安装，镜头方向朝下；在图像中指定4个像素点，最大偏移应不超过±1%。
11.防抖功能检查：在垂直Z轴方向随机抖动频率范围5Hz-26Hz，加速度有效值：5.6m/s²，最大振幅3.39mm；相机配置：2560X1440，最大焦距，座装安装，镜头方向朝下；在图像中指定4个像素点，最大偏移应不超过±1.5%。
12.在彩色模式下，当照度降低至一定值时，设备可自动开启白光灯补光，设备在白天、夜晚均可输出彩色视频图像
13.可通过扫描预览界面上生产的二维码获取设备资料。
14.当移动侦测、进入区域、离开区域、越界区域或区域入侵报警类型设置为人和/或车时，仅当检测区域中出现对应的人和/或车时，才触发报警；当报警产生时，可触发联动白光灯闪烁，白光灯闪烁的时间和频率可设置
15.设备具有APP管理功能，支持在线导入APP、删除APP、加载运行APP、配置APP操作，APP管理操作无需重启设备，操作期间预览画面无中断。
16.设备支持用户自定义最多16个AI算法库，可设置当前生效的算法库和显示当前算法库的运行状态，并支持修改、删除算法库及自定义算法库名称。
17.设备具有良好的环境适应性，工作温度范围可达-40℃～60℃。</t>
  </si>
  <si>
    <t>海康</t>
  </si>
  <si>
    <t>DS-2XC7245/KZ</t>
  </si>
  <si>
    <t xml:space="preserve">400万抗振防抖摄像机
产品具备抗振动及图像防抖能力，支持起重机械场景使用
内置大模型移动周界功能，支持AI开放平台及HEOP功能，支持自定义算法训练及三方算法集成
最高分辨率可达2560 × 1440，并在此分辨率下可输出最大60 fps实时图像
支持低延时，相机解码延时低至100 ms
采用双光阵列灯，低功耗，红外照射距离最远达80 m（2.8~12 mm红外支持50 m），白光照射距离最远达50 m（2.8~12 mm白光支持30 m）
支持DC9 V~36 V宽压和PoE at供电
支持除雾，防止设备内部起雾
支持雨刷
支持加热
彩色：0.0005 Lux @（F1.2，AGC ON）；黑白：0.0001 Lux @（F1.2，AGC ON）；0 Lux with IR
支持宽动态范围达120 dB，适合逆光环境监控
支持三码流技术，每路码流可独立配置分辨率及帧率
支持1路音频输入和1路音频输出、1路报警输入和1路报警输出、1路RS-485 、1路模拟视频输出
千兆自适应以太网口，M12航空头（8芯），标配防水对插头
支持防雷、防浪涌、防静电，IP68防护等级
C5-M、NEMA 4X、WF2防腐蚀标准，有效避免酸性、中性盐雾腐蚀
传感器类型：1/1.8" Progressive Scan CMOS
最低照度：彩色：0.0005 Lux @（F1.2, AGC ON），0 Lux with Light
黑白：0.0001 Lux @（F1.2, AGC ON），0 Lux with IR
调节角度：水平: -15°~15°；垂直: -120°~45° 
焦距&amp;视场角：2.8~12 mm：水平视场角：99.6°~39.8°，垂直视场角：52.3°~22.4°，对角视场角：119.9°~45.7°
8~32 mm：水平视场角：40.3°~14.5°，垂直视场角：22.1°~8.2°，对角视场角：46.9°~16.5° 
补光灯类型：红外模式：红外灯
白光模式：白光灯
补光距离：2.8~12 mm：红外50米，白光30米
8~32 mm：红外80米，白光50米 
最大分辨率：2560 × 1440
视频压缩标准：主码流：H.265/H.264 
子码流：H.265/H.264/MJPEG 
第三码流：H.265/H.264  
宽动态：120dB 
视频输出：1 Vp-p复合输出（75 Ω/CVBS）
网络：千兆自适应以太网口，M12航空头（8芯），标配防水对插头
SD卡扩展：内置MicroSD插槽，最大支持512 GB
音频：1路输入（Line in）（terminal block）（最大输入幅值：3.3 Vpp，输入阻抗：1 kΩ，接口类型：非平衡） 
1路输出（Line out）（terminal block）（最大输出幅值：3.3 Vpp，输出阻抗：100 Ω，接口类型：非平衡）
报警：1路输入，1路输出（报警输出最大支持DC12 V，30mA）
RS-485：支持1个RS-485 
外壳材质：316L不锈钢
产品尺寸：199.7 × 201.9 × 209.2 mm
包装尺寸：340 × 298 × 290 mm
设备重量：5.6 kg
带包装重量：6.6 kg
启动和工作温湿度：-40 °C~60 °C，湿度小于95%（无凝结）
雨刷：支持
电流及功耗：DC：9~36 V，2.65~0.65 A，24 W Max
PoE：802.3at，42.5 V~57 V，0.56 A~0.42 A，24 W Max
供电方式：DC：9 V~36 V，支持防反接保护；PoE：802.3at，Class 4
电源接口类型：2芯绿头
安装方式：壁装，座装  
防腐蚀：WF2，C5，NEMA 4X 
恢复出厂设置：支持
在线升级：支持
文件系统双备份：支持 </t>
  </si>
  <si>
    <t>400万变焦筒型网络摄像机</t>
  </si>
  <si>
    <t>1.支持输出图像分辨率不低于2560x1440
2.最低照度彩色：0.005 lx，最大亮度鉴别等级不小于11级
3.补光距离：红外不低于50 m，白光不低于30 m
4.支持电动变焦
5.具备区域入侵、越界、进入区域、离开区域、人员聚集、快速移动、徘徊、物品移除、物品遗留、停车智能分析功能，当以上智能分析行为达到设定的阈值时，可通过客户端软件或IE浏览器给出报警提示
6.同一场景相同图像质量下设备在H.264或H265编码方式时，开启智能编码功能和不开启智能编码相比，码率节约80%
7.靶面尺寸为1/2.7英寸，内置1个麦克风，具有1个RJ45 网络接口，1路音频输入、1路音频输出、1路报警输入、1路报警输出、1 个复位按钮、1个 SD 卡槽、1个 DC12V 电压输出接口
8.支持H.264、H.265视频编码格式，且具有High Profile编码能力
9.支持电源电源在DC12V±25%范围内变化时正常工作，支持POE
10.IP67防护等级</t>
  </si>
  <si>
    <t>DS-2CD2645V3-FD</t>
  </si>
  <si>
    <t xml:space="preserve">
最高分辨率可达400万像素（2688 × 1520），并在此分辨率下可输出30 fps实时图像
室外消防通道占用：可检测汽车是否占用区域，可根据停留时间上报信息，可支持车牌号识别
室内消防通道占道：可检测杂物堆放导致通道被长时间占用
支持smart事件，人脸抓拍，比对建模，车辆监控算法切换使用
支持室内通道占用与人脸抓拍并行运行
支持室内通道占用与smart事件并行运行
可支持AI开放平台训练模型包导入运行
支持电动变焦，方便远程调节图像，保证算法效果
内置2个内置麦克风，1个内置扬声器，支持远程对讲与智能联动语音
外部接口丰富：1路报警IO输入，1路报警IO输出；1路音频LINE IN输入，1路音频输出LINE OUT；1路485接口；1路DC12V电源反送
最大支持512GB MicroSD/MicroSDHC/MicroSDXC卡存储；
传感器类型：1/2.7" 逐行扫描 CMOS
最低照度：彩色：0.005 Lux @（F1.2，AGC ON），0 Lux with Light； 
黑白：0.001 Lux @（F1.2，AGC ON），0 Lux with IR
焦距&amp;视场角：2.7~13.5 mm：水平视场角：30.1°~99°，垂直视场角：17°~52.9°，对角视场角：34.6°~117.8°
补光灯类型：反射式补光，双光 (红外850nm+白光) 
补光距离：红外最远可达50m，暖白最远可达30m 
主码流帧率分辨率：50 Hz:25 fps(2688 × 1520,2560 × 1440,1920 × 1080,1280 × 720)
60 Hz:30 fps(2688 × 1520,2560 × 1440,1920 × 1080,1280 × 720)
视频压缩标准：主码流：H.265/H.265+/H.264/H.264
子码流：H.265/H.264/MJPEG
第三码流：H.265/H.264 
网络传输类型：有线 
宽动态：120 dB 
连接方式：甩线式接口，线缆长度约35cm；
音频：1路输入（Line in），1路输出（Line out），2个内置麦克风，1个内置扬声器
报警：1路输入，湿接点，支持3.3 V~5 V范围电位
1路输出，三极管输出，电平量，湿接点，最大支持DC 12V，30 mA    
RS-485：1路RS-485接口，采用半双工模式，支持自适应HIKVISION，PELCO-P和PELCO-D协议  
电源输出：1路DC12V输出，最大电流100mA。备注：为保证设备正常工作，电源输出外接延长线请控制在10米以内。 
尺寸：设备尺寸：180.3 × 99.2 × 93 mm
包装尺寸：315 × 137 × 141 mm
重量：设备重量：1.0kg
带包装重量：1.3kg
存储温湿度：-30 °C~60 °C，湿度小于95%（无凝结）
启动和工作温湿度：-30 °C~60 °C，湿度小于95%（无凝结）
物理防护：防水防尘：IP67 
电源：1、 电源输入类型：2芯接口
2、 电流及功耗：
DC：12 V，1.2 A，最大功耗：14.4W
PoE：PoE(IEEE 802.3at class 4)，最大功耗：16W </t>
  </si>
  <si>
    <t>热成像摄像机</t>
  </si>
  <si>
    <r>
      <rPr>
        <sz val="11"/>
        <color rgb="FF000000"/>
        <rFont val="宋体"/>
        <charset val="134"/>
      </rPr>
      <t>★热成像：分辨率：256×192；焦距：</t>
    </r>
    <r>
      <rPr>
        <sz val="11"/>
        <color rgb="FFFE0300"/>
        <rFont val="宋体"/>
        <charset val="134"/>
      </rPr>
      <t>焦距可选：3/7/10mm</t>
    </r>
    <r>
      <rPr>
        <sz val="11"/>
        <color rgb="FF000000"/>
        <rFont val="宋体"/>
        <charset val="134"/>
      </rPr>
      <t>；</t>
    </r>
    <r>
      <rPr>
        <sz val="10"/>
        <rFont val="宋体"/>
        <charset val="134"/>
      </rPr>
      <t xml:space="preserve">
</t>
    </r>
    <r>
      <rPr>
        <sz val="11"/>
        <color rgb="FF000000"/>
        <rFont val="宋体"/>
        <charset val="134"/>
      </rPr>
      <t>可见光：分辨率：2688*1520，400万；</t>
    </r>
    <r>
      <rPr>
        <sz val="11"/>
        <color rgb="FFFE0300"/>
        <rFont val="宋体"/>
        <charset val="134"/>
      </rPr>
      <t>焦距：焦距可选：4mm/8mm/12.4mm</t>
    </r>
    <r>
      <rPr>
        <sz val="11"/>
        <color rgb="FF000000"/>
        <rFont val="宋体"/>
        <charset val="134"/>
      </rPr>
      <t>；</t>
    </r>
    <r>
      <rPr>
        <sz val="10"/>
        <rFont val="宋体"/>
        <charset val="134"/>
      </rPr>
      <t xml:space="preserve">
</t>
    </r>
    <r>
      <rPr>
        <sz val="11"/>
        <color rgb="FF000000"/>
        <rFont val="宋体"/>
        <charset val="134"/>
      </rPr>
      <t>支持1路音频输入，1路音频输出；</t>
    </r>
    <r>
      <rPr>
        <sz val="10"/>
        <rFont val="宋体"/>
        <charset val="134"/>
      </rPr>
      <t xml:space="preserve">
</t>
    </r>
    <r>
      <rPr>
        <sz val="11"/>
        <color rgb="FF000000"/>
        <rFont val="宋体"/>
        <charset val="134"/>
      </rPr>
      <t>支持2路报警输入，2路报警输出；</t>
    </r>
    <r>
      <rPr>
        <sz val="10"/>
        <rFont val="宋体"/>
        <charset val="134"/>
      </rPr>
      <t xml:space="preserve">
</t>
    </r>
    <r>
      <rPr>
        <sz val="11"/>
        <color rgb="FF000000"/>
        <rFont val="宋体"/>
        <charset val="134"/>
      </rPr>
      <t>外壳防护等级：IP67；</t>
    </r>
    <r>
      <rPr>
        <sz val="10"/>
        <rFont val="宋体"/>
        <charset val="134"/>
      </rPr>
      <t xml:space="preserve">
</t>
    </r>
    <r>
      <rPr>
        <sz val="11"/>
        <color rgb="FF000000"/>
        <rFont val="宋体"/>
        <charset val="134"/>
      </rPr>
      <t>电源电压在DC12V±20%范围内变化时，能正常工作；</t>
    </r>
    <r>
      <rPr>
        <sz val="10"/>
        <rFont val="宋体"/>
        <charset val="134"/>
      </rPr>
      <t xml:space="preserve">
</t>
    </r>
    <r>
      <rPr>
        <sz val="11"/>
        <color rgb="FF000000"/>
        <rFont val="宋体"/>
        <charset val="134"/>
      </rPr>
      <t>可通过IE浏览器在热成像画面中设置点、线段、区域测温规则；</t>
    </r>
    <r>
      <rPr>
        <sz val="10"/>
        <rFont val="宋体"/>
        <charset val="134"/>
      </rPr>
      <t xml:space="preserve">
</t>
    </r>
    <r>
      <rPr>
        <sz val="11"/>
        <color rgb="FF000000"/>
        <rFont val="宋体"/>
        <charset val="134"/>
      </rPr>
      <t>点测温、线测温、区域测温中存在高于或者低于报警或预报警温度时，可在客户端显示不同的报警颜色进行报警提示，联动报警输出，联动录像及联动抓拍；</t>
    </r>
    <r>
      <rPr>
        <sz val="10"/>
        <rFont val="宋体"/>
        <charset val="134"/>
      </rPr>
      <t xml:space="preserve">
</t>
    </r>
    <r>
      <rPr>
        <sz val="11"/>
        <color rgb="FF000000"/>
        <rFont val="宋体"/>
        <charset val="134"/>
      </rPr>
      <t>支持声音联动报警功能。可对智能行为、温度超过阈值、出现高温点等行为进行检测并报警，报警声音可设置，同时支持自定义；</t>
    </r>
    <r>
      <rPr>
        <sz val="10"/>
        <rFont val="宋体"/>
        <charset val="134"/>
      </rPr>
      <t xml:space="preserve">
</t>
    </r>
    <r>
      <rPr>
        <sz val="11"/>
        <color rgb="FF000000"/>
        <rFont val="宋体"/>
        <charset val="134"/>
      </rPr>
      <t>★噪声等效温差为8mk，最小可分辨温差为200mk（（公京检第2401130038号第100条）</t>
    </r>
    <r>
      <rPr>
        <sz val="10"/>
        <rFont val="宋体"/>
        <charset val="134"/>
      </rPr>
      <t xml:space="preserve">
</t>
    </r>
    <r>
      <rPr>
        <sz val="11"/>
        <color rgb="FF000000"/>
        <rFont val="宋体"/>
        <charset val="134"/>
      </rPr>
      <t>热成像视频图像具有白热、黑热、融合1、融合2、彩虹1、铁红2、深褐色等42种显示模式</t>
    </r>
    <r>
      <rPr>
        <sz val="10"/>
        <rFont val="宋体"/>
        <charset val="134"/>
      </rPr>
      <t xml:space="preserve">
</t>
    </r>
    <r>
      <rPr>
        <sz val="11"/>
        <color rgb="FF000000"/>
        <rFont val="宋体"/>
        <charset val="134"/>
      </rPr>
      <t>含安装支架</t>
    </r>
  </si>
  <si>
    <t>HM-TD2628-XX/T1A</t>
  </si>
  <si>
    <t xml:space="preserve">双光谱筒型摄像机
【功能特性】
热成像像素256 × 192，像元大小12um，NETD ≤ 35 mK (25°C, F1.0)
支持区域入侵探测、越界探测、进入区域探测、离开区域探测、音频异常探测、高温物体检测等功能
支持测温功能:支持普通测温，专家测温检测；可以画最多10个点，1条线，10个区域检测。测温范围：-20 °C~300 °C，测温精度：±8 °C或者读数的±8%（取最大值）
支持吸烟检测、火点检测、烟雾检测
支持联动白光报警、支持联动声音报警，内置白光灯和扬声器
支持AI开放平台
智能功能资源配置：测温、周界功能支持同时开启。测温、火点检测、烟雾检测支持同时开启。测温、AI开放平台支持同时开启。周界功能不支持与火点、吸烟、烟雾检测两两同时开启。
支持线性、直方图、自适应等热成像AGC模式，支持DDE、3D DNR。
支持叉车去误报功能
【应用场景】
可通过外接温湿度传感器，在样机OSD界面显示传感器信息
周界防范：石油石化、电力系统、工商企业、政府大院、铁路沿线、机场、文博、学校、医院等；
烟火检测：物流仓储、博物馆、实验室、数据机房、配电房等；
吸烟检测：加油站、景区、博物馆、校园、医院、生产车间等；
热成像传感器类型：氧化钒非制冷型探测器
热成像像元尺寸：12 μm
热成像响应波段：8~14 μm
热成像分辨率：256 × 192
热成像焦距：10 mm 
热成像视场角：18°×13.5°
热成像最大光圈值：F1.0
热成像数字变倍：×2,×4
热成像帧频：50 Hz: 25 fps
热成像近摄距：3.5m
噪声等效温差NETD：≤ 35 mk(@25 °C,F#=1.0)
空间分辨率MRAD：1.24
伪彩：白热、黑热、融合1、彩虹、融合2、铁红1、铁红2、深褐色、色彩1、色彩2、冰火、雨、红热、绿热、深蓝等15种
温度异常功能：全屏测温
专家模式：10个点，10个框，1条线总计21个测温规则
测温范围：测温范围：-20 °C~300 °C
测温精度：测温精度：±8 °C或者读数的±8%（取最大值）
人员最远报警距离（以1.8米*0.5米为准）：100m
车辆最远报警距离（以4米*1.4米为准）：300m
吸烟检测最远报警距离：15m
防火最远报警距离（以0.05㎡高温源或0.1㎡火焰为准）：70m
最远测温距离（满足测温精度，以0.1m*0.1m目标物为准）：15m 
可见光传感器类型：400万星光级1/2.7" Progressive Scan CMOS
可见光焦距&amp;视场角：12.4mm,24.6°×14°
烟雾最远报警距离（以1㎡烟雾为准）：70m
可见光分辨率：2688 × 1520
最低照度：0.0089Lux @(F1.6,AGC ON) ,0 Lux with IR
可见光补光功能：补光最远可达30米
可见光光圈值：F1.6 
报警联动：内置混合补光灯（支持红外和白光补光）、内置扬声器，支持联动白光报警、支持联动声音报警
周界防范检测：热成像通道（默认）：越界侦探测,区域入侵探测,进入/离开区域探测
可见光通道：越界探测,区域入侵探测,进入/离开区域探测
防火应用检测：支持火点检测、烟雾检测、吸烟检测 
最大预览路数：20路
视频压缩标准：H.265/H.264/MJPEG 
音频压缩标准：G.711/G.722.1/G.726/MP2L2/PCM 
客户端：iVMS-4200/萤石/HIK-CONNCET
浏览器：IE10+,Chrome 57+,Mozilla Firefox 52+,Mac Safari 12 
报警输入：支持2路DC 0~5 V报警输入
报警输出：支持2路常开型继电器输出，报警类型可设置
音频输入：1路3.5 mm Mic in/Line in interface. Line input: 2-2.4 V[p-p]
音频输出：1路3.5mm Impedance: 600Ω 
复位键：1个复位键
RS485控制接口：1路
网口：1路RJ45接口10/100 M自适应以太网口
SD卡存储：1个内置SD卡卡槽,最大支持内存256G 
尺寸：312.1 mm × 105 mm × 104.9 mm
电源输入：12 VDC ± 25%，PoE (802.3at, class 4)
备注：需单独购买DC 12V电源适配器
功率：12 VDC ± 25%: 1.2A to 2A, max. 18W
PoE (802.3at, class 4): 42.5 V to 57 V, 0.32 A to 0.43A, max. 18W
工作温度和湿度：-40°C~70°C，＜95% RH
测温环境温度：-20°C~50°C
防护等级：IP67
重量：1.53 kg
藏线盒：需单独购买 </t>
  </si>
  <si>
    <t>高空球型鹰眼</t>
  </si>
  <si>
    <t>1.全景通道最高分辨率不小于6072 x 2640，细节通道最高分辨率不小于3840x2160。
2.全景通道内置4个镜头、靶面尺寸不小于1/1.8英寸的CMOS传感器，细节通道内置1个镜头，靶面尺寸不小于1/1.2英寸的CMOS传感器。
3.设备在全景拼接模式下，垂直视场角不小于110°，水平视场角不小于180°。可将4个全景视频图像进行拼接，实现不小于180°拼接画面显示，并抓拍拼接后的图片。
4.细节通道内置镜头支持不小于45倍光学变倍，镜头最大焦距不小于320mm。
5.设备具有光学防抖功能，将镜头倍率设置为最大，快门设置为1/25s，在振动台振幅不大于0.3°，振动频率不大于10Hz情况下，设备视场角应无明显变化，视频图像在振动过程中应保持稳定清晰
6.设备内置2个雨刷器，雨刷器1可清洁全景通道镜头表面玻璃，雨刷器2可清洁细节通道镜头表面玻璃。
7.设备细节通道水平手控最大速度不小于500°/s，垂直手控最大速度不小于350°/s。
8.设备具备双安装接口，一个为快速旋转安装接口，一个为多孔稳定安装接口。
9.支持不小于300个预置位，支持预置位冻结功能。
10.内置不少于3个GPU芯片。
11.支持智能行为分析功能，智能分析行为类型为区域入侵、越界入侵、进入区域、离开区域等，支持行为分析触发后联动聚焦、联动目标跟踪、报警上传等多种报警触发方式。
12.设备在全景视频图像中点击或框选移动目标至设备开始转动的时间小于0.3s，全景图像检测到且框选出移动目标至设备开始转动时间小于0.3s。
13.设备全景通道支持人员密度检测功能，可开启、关闭人员密度检测功能，最多可设置8个多边形（3～10条边）人员密度检测区域。每个区域的名称、人员数量报警阈值等级（低、中、高等级）可自定义。
14.设备全景通道车辆拥堵检测功能，开启车辆拥堵检测功能后，当设置区域内的车辆滞留时间超过设定值时，可通过IE浏览器给出报警提示。
15.设备可切换智能模式，当更换当前智能模式时设备不需重启，新智能模式即可生效。
16.设备全景通道具有默认拼接、手动拼接、自动拼接3种拼接模式；自动拼接模式下设备可自动获取特征并进行拼接。
17.设备具有AI-ISP图像质量提升功能，在低照度环境下，可自动调节预览场景视频画面中人脸、人体、车辆等目标及预览场景视频画面的区域曝光、亮度、色彩饱和度、对比度、锐度等。
18.设备具有不少于1个RJ45网络接口、1个光纤接口、7路报警输入、2路报警输出、1路音频输入、1路音频输出。内置的北斗定位模块，具有定位功能，可自动获取设备所在位置经纬度信息。
19.防护等级不低于IP67。</t>
  </si>
  <si>
    <t>DS-2DP1618XS-LD</t>
  </si>
  <si>
    <t xml:space="preserve">1600万180°AR鹰眼_800万45倍_雨刷_卫星定位_5G
1600万180° 无盲区球型5G AR鹰眼，全景采用4个F1.0大光圈全彩镜头拼接而成，可输出180°大场景拼接画面
全景画面可支持关注区域畸变矫正，细节内置45倍变焦光学防抖镜头
支持基于行业平台实现AR立体防控，可添加500个标签，结合前端多维感知设备和业务系统数据，将高点范围内的人、车、地、事、物叠加到实时视频画面中进行展示和联动，通过多维联动、全景回溯、移动标签、标记标绘等应用，为用户掌握重点区域的实时动向、及时响应指挥调度提供新方式
全景智能：Smart事件、人员密度、车辆拥堵；细节智能：全结构化、Smart事件；更好助力平安城市公共安全管理
适用于城市高点、机场车站、城管市政、水利枢纽、企业园区、景区、校园等重点场所
全景摄像机
4个1/1.8＂ 4MP Progressive Scan CMOS，最高分辨率及帧率可达6072x2640@30fps
视场角：水平180°，垂直110°
细节摄像机
1/1.2＂ 8MP Progressive Scan CMOS，最高分辨率及帧率可达3840x2160@30fps
45倍光学变倍，16倍数字变倍
【全景】支持区域入侵侦测、越界侦测、进入区域、离开区域事件侦测功能
【全景】支持人员密度检测功能，检测覆盖范围半径100米
【全景】支持车辆拥堵检测功能，检测覆盖范围半径150米，推荐：在封闭式道路中可以做拥堵事件检测，推荐在高速、环线、快速路或者主干线
【细节】支持区域入侵侦测、越界侦测、进入区域、离开区域事件侦测功能
【细节】支持全结构化：支持细节路混合目标检测，对检测区域内的人、非机动车、车进行同时抓拍上传，人脸人体关联输出，并实现对人脸、人体、车辆结构化属性特征信息提取
支持GB35114A级安全加密
AI-ISP：细节球机采用去噪卷积神经网络将深度结构、学习算法用于图像去噪，最终使画面成像更新清晰，噪点更小图像更干净
支持北斗卫星定位
支持光学防抖、光学透雾
支持雨刷，环动式双雨刷设计，可对全景4个镜头、细节球机镜头进行清洁
移动通信类型： 5G/4G/3G
传感器类型：【全景】1/1.8＂ progressive scan CMOS,【细节】1/1.2＂ progressive scan CMOS
最低照度：【全景】0.0005Lux/F1.0（彩色），0.0001Lux/F1.0（黑白）；【细节】星光级超低照度，0.0005Lux/F1.5（彩色），0.0001Lux/F1.5（黑白），0 Lux with IR
宽动态：全景不支持，细节支持120dB超宽动态
光学变倍：45倍 
焦距：【全景】2 mm；【细节】7.2~320 mm
视场角：水平视场角61.0~1.8度（广角~望远）
垂直视场角35.9~1.1度（广角~望远）
对角线视场角68.5~2.1度（广角~望远）   
红外照射距离：500m 
防补光过曝：支持 
水平范围：360°
垂直范围：-15°-90°(自动翻转)
水平速度：水平键控速度：0.1°-500°/s,速度可设;水平预置点速度：500°/s
垂直速度：垂直键控速度：0.1°-350°/s,速度可设;垂直预置点速度：350°/s  
主码流帧率分辨率：全景：50Hz: 25fps (6072x2640,5520×2400, 4096×1800,3840×1680, 2784×1200) 60Hz: 30fps (6072x2640，5520×2400,  4096×1800，3840×1680, 2784×1200)
细节：50Hz:25fps (3840×2160,2560×1440,1920×1080,1280×960,1280×720)
60Hz:30fps(3840×2160,2560×1440,1920×1080,1280×960,1280×720)
视频压缩标准：主码流：H.264/H.265+/H.265/H.264+ 子码流：H.264/H.265/MJPEG 第三码流：H.264/H.265/MJPEG 
移动通信类型：同时支持5G/4G/3G
无线频段：5G NR/LTE-FDD/LTE-TDD/WCDMA
无线制式：5G NR：n1/n5/n8/n28/n41/n78/n79
LTE-FDD：B1/B3/B5/B8
LTE-TDD：B34/B38/39/B40/B41
WCDMA：B1/B5/B8
无线传输速率：NR(SA)：DL 2 Gbps；UL 766 Mbps
EN-DC：DL 2.2 Gbps；UL 458 Mbps
LTE：DL 487 Mbps; UL 150 Mbps
WCDMA：DL 42 Mbps; UL 11 Mbps
SIM卡：nano SIM 
卫星定位：支持北斗卫星定位
陀螺仪：支持
电子罗盘：支持 
网络接口：RJ45网口;自适应10M/100M/1000M网络数据
光纤接口：FC接口;内置光纤模块;波长TX1310/RX1550nm;20km传输距离;单模单纤;1000M网络数据
SD卡扩展：内置Micro SD卡插槽，支持Micro SD/Micro SDHC/Micro SDXC卡（最大支持512G）
报警：7路报警输入，2路报警输出
音频：1路音频输入，1路音频输出
RS485接口：采用半双工模式，支持自适应HIKVISION，PELCO-P和PELCO-D(可添加)协议 
供电方式：DC36V；  整机平均功耗85w.最大功耗 120w
工作温湿度：-40℃-70℃;湿度小于90%
恢复出厂设置：支持
雨刷：支持
除雾：支持
尺寸：Φ427.6x425.9mm
重量：净重 14.6kg 
防护：IP67; 6000V 防雷、防浪涌、防突波，符合GB/T17626.2/3/4/5/6四级标准 </t>
  </si>
  <si>
    <t>人脸识别布控球</t>
  </si>
  <si>
    <t>1.单北斗5G双摄便携球套装
2.支持双摄：40倍光学变倍机芯，最大分辨率2560*1440，图像清晰、细腻，低照度，彩色0.0001Lux；全景镜头8M，分辨率2160×3840
3.支持自动彩转黑功能，实现昼夜监控
4.支持人脸比对，可存储30W张人脸名单（含一张1TB TF卡）
5.支持车辆检测及抓拍
6.支持抽烟、佩戴安全帽、玩手机、未穿工作服检测
7.支持3D-DNR
8.支持双TF卡存储
9.支持5G模块（天线内置），可额外扩展1个4G模块
10.配置可拆卸电池，单电池可支持8-9小时连续工作
11.支持双MIC、双扬声器，可选配支持LINE IN\LINE OUT
12.支持自定义语音导入，可关联智能分析报警
13.自带2.4寸LCD显示屏，可支持视频预览，云台控制等，可显示当前电池电量、定位状态、3G/4G/5G状态、录像状态、存储容量、蓝牙状态、平台连接状态、Wi-Fi状态、智能算法模式等
14.底部配置高吸力磁铁，安装便捷</t>
  </si>
  <si>
    <t>iDS-MCD402-MF/40X+TF-P1/1T/TAY</t>
  </si>
  <si>
    <t xml:space="preserve">5G双摄便携球套装
支持双摄：40倍光学变倍机芯，最大分辨率2560*1440，图像清晰、细腻，低照度，彩色0.0001Lux；全景镜头8M，分辨率2160×3840；
支持自动彩转黑功能，实现昼夜监控
支持人脸比对，可存储30W张人脸名单（需配TF卡）
支持车辆检测及抓拍
支持抽烟、佩戴安全帽、玩手机、未穿工作服检测
支持3D-DNR
支持双TF卡存储
支持5G模块（天线内置），可额外扩展1个4G模块
配置可拆卸电池，单电池可支持8-9小时连续工作
支持双MIC、双扬声器，可选配支持LINE IN\LINE OUT
支持自定义语音导入，可关联智能分析报警
自带2.4寸LCD显示屏，可支持视频预览，云台控制等，可显示当前电池电量、GPS状态、3G/4G/5G状态、录像状态、存储容量、蓝牙状态、平台连接状态、Wi-Fi状态、智能算法模式等
底部配置高吸力磁铁，安装便捷
传感器类型：变焦机芯：1/1.8" Progressive Scan CMOS
全景相机8M：1/1.8" Progressive Scan CMOS
彩色最低照度：变焦机芯：0.0001Lux @ (F1.6，AGC ON)
黑白最低照度：变焦机芯：0.00005Lux @(F1.6，AGC ON) 
屏幕尺寸：2.4英寸
分辨率：240*320
材质：TFT
触摸屏：电容屏 
镜头焦距：5.8-232mm
镜头光圈：F1.3-F4.6
光学变倍：40倍 
水平视场角：59-2度(广角-望远) 
子码流压缩码率：2Mbps
视频压缩标准：H.264;H.265;MJPEG
码率控制：定码率;变码率
录像格式：MP4
录像分辨率：变焦机芯：2560×1440
全景相机8M：3840×2160
图片分辨率：1920*1080;2560*1440
图片格式：JPEG 
音频压缩标准：G.722.1;G.711alaw;G.711ulaw 
人脸比对：支持
车辆抓拍：支持
车牌识别：支持
车辆特征识别：支持车牌、车身颜色、车型、车辆品牌、车辆子品牌识别
车辆黑名单：支持车辆黑名单
安全帽佩戴检测：支持未佩戴安全帽检测
目标抓拍：支持
支持人脸库个数：10个(需配置TF卡)
支持的人脸数量：300000张(需配置TF卡)
支持屏蔽区域设置 
拨号：GSM/GPRS/EDGE：900/1800MHz
WCDMA：B1/5/8
LTE：B1/3/5/8/34/38/39/40/41
5G：N1/5/8/28/41/77/78/79
定位：北斗
蓝牙：4.0
语音对讲：支持 
指示灯：充电指示灯,工作指示灯
系统功耗：10W~30W
产品重量：带电池4.35kg~4.5kg
产品尺寸：高262mm，直径175mm
防护等级：IP66
供电方式：电池供电;外接电源
工作温度：-10℃~55℃
工作湿度：湿度小于95%
材质：镁合金 
水平旋转角度：360°
垂直旋转角度：-20°~90° 
预置点：256个
巡航扫描：8条
花样扫描：4条
断电记忆：支持 
红外：支持
红外补光距离：100m看清人体轮廓 
扩展存储个数：2
扩展存储介质：TF
扩展存储容量：默认不含TF卡，最大支持1TB存储卡 
充电接口：6芯航空头
外部接口：电源输出接口;RJ45;RS-232;RS-485;line-in;line-out;Alarm-in;Alarm-out
扬声器：支持
MIC：支持
存储卡卡槽：2
电源输出接口：5V 
电池可拆卸：支持
电池容量：13400mAh
待机时间：8-9小时
关机充电时间：＜4小时
电池类型：锂离子电池 </t>
  </si>
  <si>
    <t>智能融合应用主机</t>
  </si>
  <si>
    <t>1.整机最大支持512路普通视频流(2MP)接入或768路文搜相机(2MP/4MP)接入，实现大模型以文搜图算法、人脸算法、结构化算法并行分析
2.整机共搭载8张GPU计算卡，其中4张抓拍卡，用于视频全目标抓拍；4张计算卡，共6个虚拟引擎，可自定义配置以文搜图算法、人脸算法、结构化算法
3.设备支持1亿条目标抓拍图片、结构化属性、模型存储（人脸+结构化）
4.集成GCN聚类算法，实现二级人员聚类方案，提供更优的人员目标聚类效果
5.大模型以文搜图算法；支持1亿条图片数据秒级文本搜图
6.大模型文本预警：支持文本描述目标关键特征，快速开启布防任务；支持1000条文本语义预警布防；最大支持50路视频流文本预警
7.大模型文本微调：支持对搜索结果进行快速标定和文本微调训练，提升文本搜图和预警效果；单次最大支持50张图片进行微调
8.人脸应用：支持目标抓拍、比对报警，以图搜图、属性检索，高频报警，1V1比对，人员档案
9.支持300万人脸静态库，300万人脸名单库比对报警，128个名单库，1亿条抓拍数据秒级检索
10.结构化应用：支持人体/车辆/非机动车抓拍、建模，以图搜图、属性检索
11.CPU：2颗64位多核处理器
12.GPU：8张GPU计算卡
13.系统内存：160GB DDR4内存
14.系统盘：2×240GB SSD
15.数据盘：1×1.92T SSD（M.2 NVMe），1× 4TB SATA盘，8× 8TB SATA盘
16.网络接口：2×千兆电口 + 2×万兆光口
17.其它接口：2×VGA接口，4×USB接口
18.整机电源：1200W ，1+1冗余电源</t>
  </si>
  <si>
    <t>DS-IX2512-U/SF</t>
  </si>
  <si>
    <t xml:space="preserve">【智能应用】
整机最大支持512路普通视频流(2MP)接入或768路文搜相机(2MP/4MP)接入，实现智能目标抓拍、大模型以文搜图算法、人脸算法、结构化算法并行分析。
整机共搭载8张智能卡，其中4张抓拍卡，用于视频全目标抓拍；4张计算卡，共6个虚拟引擎，可自定义配置以文搜图算法、人脸算法、结构化算法；
设备支持1亿条目标抓拍图片、结构化属性、模型存储（人脸+结构化）
集成GCN聚类算法，实现二级人员聚类方案，提供更优的人员目标聚类效果
支持以下3大类算法：
1、大模型以文搜图算法
实时视频流/历史视频流：最大支持512路分析（512路2MP/256路4MP/128路8MP 视频流）
图片流：建模性能90张/秒（目标小图或 2MP/4MP大图+坐标）或65张/秒（8MP大图+坐标）
大模型图文建模：支持对目标进行大模型建模，通过建模引擎将目标图片转化成语义数据模型
大模型文本搜图：输入搜索目标的文本描述，可快速搜索对应的视图内容，支持搜人、车、非机动车、物品；
支持1亿条图片数据秒级文本搜图
大模型文本预警：支持文本描述目标关键特征，快速开启布防任务；支持1000条文本语义预警布防；最大支持50路视频流文本预警
大模型文本微调：支持对搜索结果进行快速标定和文本微调训练，提升文本搜图和预警效果；单次最大支持50张图片进行微调
单个虚拟引擎：90张/秒（目标小图或 2MP/4MP大图+坐标）或65张/秒（8MP大图+坐标），预分配1个虚拟引擎
2、人脸算法
人脸应用：支持目标抓拍、比对报警，以图搜图、属性检索，高频报警，1V1比对，人员档案
实时视频流/历史视频流：最大支持512路分析（512路2MP/256路4MP/128路8MP 视频流）
图片流：支持384张/秒（建模+比对+聚类）
离线录像导入，支持1TB空间，最大支持128倍速分析（128倍速2MP/64倍速4MP/32倍速8MP 视频文件）
支持300万人脸静态库，300万人脸名单库比对报警，128个名单库，1亿条抓拍数据秒级检索
单个虚拟引擎：128张/秒（建模+比对+聚类），预分配3个虚拟引擎
3、结构化算法
结构化应用：支持人体/车辆/非机动车抓拍、建模，以图搜图、属性检索
实时视频流/历史视频流：最大支持512路分析（512路2MP/256路4MP/128路8MP 视频流）
图片流：支持260张/秒
单个虚拟引擎：最大130张/秒，预分配2个虚拟引擎
离线录像导入，支持1TB空间，最大支持128倍速分析（128倍速2MP/64倍速4MP/32倍速8MP 视频文件）
【硬件规格】
处理器：64位多核处理器
智能卡：8张
系统内存：160GB DDR4，共32个内存槽位
系统盘：2×240GB SSD
数据盘：1×1.92TB SSD（U.2 NVMe），1× 4TB SATA盘，8× 8TB SATA盘
网络接口：2×千兆电口 + 2×万兆光口
阵列卡：1张
其它接口：2×VGA接口，4×USB接口
整机电源：1200W ，1+1冗余电源
系统风扇：4个可插拔风扇，支持PID调速
机箱尺寸：87.5 mm(高) × 446.6 mm（宽） × 835 mm（深） </t>
  </si>
  <si>
    <t>AI服务器</t>
  </si>
  <si>
    <r>
      <rPr>
        <sz val="11"/>
        <color rgb="FF000000"/>
        <rFont val="宋体"/>
        <charset val="134"/>
      </rPr>
      <t>主处理器：配置2颗KP920处理器，核数≥24核，主频≥2.5GHz；</t>
    </r>
    <r>
      <rPr>
        <sz val="10"/>
        <rFont val="宋体"/>
        <charset val="134"/>
      </rPr>
      <t xml:space="preserve">
</t>
    </r>
    <r>
      <rPr>
        <sz val="11"/>
        <color rgb="FF000000"/>
        <rFont val="宋体"/>
        <charset val="134"/>
      </rPr>
      <t>操作系统：openEuler-22.03-LTS-aarch64</t>
    </r>
    <r>
      <rPr>
        <sz val="10"/>
        <rFont val="宋体"/>
        <charset val="134"/>
      </rPr>
      <t xml:space="preserve">
</t>
    </r>
    <r>
      <rPr>
        <sz val="11"/>
        <color rgb="FF000000"/>
        <rFont val="宋体"/>
        <charset val="134"/>
      </rPr>
      <t>智能卡数量：配置8张Atlas 300V 智能卡；最大可支持8个智能卡</t>
    </r>
    <r>
      <rPr>
        <sz val="10"/>
        <rFont val="宋体"/>
        <charset val="134"/>
      </rPr>
      <t xml:space="preserve">
</t>
    </r>
    <r>
      <rPr>
        <sz val="11"/>
        <color rgb="FFFE0300"/>
        <rFont val="宋体"/>
        <charset val="134"/>
      </rPr>
      <t>场景以本表格《附录五硬件场景需求表》为准</t>
    </r>
    <r>
      <rPr>
        <sz val="10"/>
        <rFont val="宋体"/>
        <charset val="134"/>
      </rPr>
      <t xml:space="preserve">
</t>
    </r>
    <r>
      <rPr>
        <sz val="11"/>
        <color rgb="FFFE0300"/>
        <rFont val="宋体"/>
        <charset val="134"/>
      </rPr>
      <t>要求算法识别准确率、设备监测准确率不低于95%</t>
    </r>
  </si>
  <si>
    <t>DS-IF2008/AI</t>
  </si>
  <si>
    <t xml:space="preserve">K系列推理服务器
处理器：配置2颗KP920 7260处理器，核数≥64核，主频≥2.6GHz；支持2颗鲲鹏920处理器（每颗处理器32/48/64核，主频2.6GHz）
内存：配置 384G DDR4；最大支持32根内存插槽，其中32核机型16个DDR4内存插槽，48/64核机型32个DDR4内存插槽
存储方案：配置1块480G SSD；最多配置16个3.5英寸SAS/SATA硬盘
独显&amp;GPU扩展：配置8张Atlas 300V Pro加速卡；最大可支持8个半高半长单宽AI加速卡
存储控制器：标配SAS_HBA 卡，支持RAID 0/1/10；可选支持 RAID 0, 1, 5, 6, 10, 50, 60，可选支持超级电容掉电保护
网络控制器：配置2个千兆电口、2个万兆光口；支持2个板载网络插卡，每个插卡支持4*G电口或者2*10GE/25GE光口；或支持2个OCP3.0网卡
PCI&amp;PCI E扩展槽：最大可支持11个标准PCIe槽位；或2个PCIe4.0 x16+5个PCIe 4.0 x8；或9个PCIe 4.0 x8标准插槽
散热系统：支持4个热拔插风扇模组，支持N+1冗余
电源方案：配置2000W(1+1)冗余电源；2个热插拔900W或2000W交流电源模块；支持1+1冗余
其它端口：前面板提供2个USB3.0 、1个VGA、1个Type-C接口；
后面板提供2个USB3.0端口、1个DB15 VGA端口、1个3.5mm串口、1个RJ45系统管理端口
机箱尺寸：447 mm*814 mm*86.1 mm（宽*深*高）
操作系统兼容：HIKOS、openEuler、SUSE、Ubuntu、CentOS、中标麒麟、银河麒麟、普华、统信、中科红旗、麒麟信安、拓林思等操作系统等操作系统
管理功能：BMC支持IPMI、SOL、KVM over IP以及虚拟媒体，提供1个10/100/1000Mbps的RJ45管理网口 </t>
  </si>
  <si>
    <t>存储服务器</t>
  </si>
  <si>
    <t>1.服务器配置： 1颗64位多核处理器，8GB内存，内存支持扩展到≥256GB，内置SSD固态硬盘（可以扩展到4个SSD作为缓存盘），配置8个风扇，风扇支持热插拔并可冗余温控调速；支持热插拔1+1AC220V电源或1+1直流冗余电源供电
2. 设备具备1个定位灯、1个电源灯、1个设备报警灯、1个就绪灯、1个网络状态灯、1个系统盘状态灯、1个硬盘状态灯，机箱具备防尘滤网，采用双立柱防震设计。设备左右侧面各2个抬手，具备前面板抽拉标签卡
3. 4个2.5Gb网口，支持2个前置 USB2.0接口、2个后置USB3.0接口，支持1个前置VGA接口、1个后置HDMI接口，支持1个RS-232串口，支持4个PCI-E3.0 
4. 可接入2T/3T/4T/6T/8T/10T/12T/14T/16T/18T/20T/25T/26T/30T SATA/SAS硬盘；支持NL-SAS 硬盘、HDD硬盘、SSD硬盘、氦气硬盘、空气硬盘；支持 CMR或SMR硬盘；支持硬盘交错/分时启动
5.支持SATA和SAS混插，支持不同品牌（希捷、西数、东芝、海康威视）的硬盘混插；支持不同大小的硬盘混合使用，可显示硬盘的总容量（各个硬盘容量之和）
6. 应能接入并存储总码流不超过4096Mbps的2048路2Mbps码流或1024路4Mbps码流的视(音)频图像;同时转发总码流不超过4096Mbps的2048路2MbpS码流或1024路4Mbps码流的视(音)频图像;同时下载总码流不超过4096Mbps的2Mbps码流的视(音)频图像;同时回放总码流不超过1400 Mbps的视(音)频图像。当RAID处于降级或重构状态时，存储业务正常。在转发模式下，可进行4096路2Mbps视频码流转发，在总带宽不变的情况下，接入、转发、回放间的性能值可自由调整
7. 支持 ONVIF、PSIA、TCP/IP、UDP、SIP、SIP2.0、RTSP、RTP、RTCP、iSCSI、CIFS(SMB)、NFS、FTP、HTTP、AFP、RSYNC、SNMP、IPV4、IPV6、HLS、S3、OSS等协议，支持IP组播
8.抓拍图片、弹出报警画面、发送语音提示、上传中心、蜂鸣报警以及日志
9.可扩展支持将前端一路视频流同时存入两台存储；支持双机间编码器和录像同步，故障时可进行互相接管
10.可对视音频、图片、结构化数据、对象等文件进行混合存储，并可通过http和https方式下载 
11.支持查看硬盘体检报告、硬盘深度体检和磁盘档案；支持下载单个硬盘或批量硬盘的报告，支持按时间显示硬盘的坏扇区、温度、振动变化趋势的曲线图；支持硬盘体检报告打印输出；支持查看硬盘体检的历史记录、硬盘健康状态，包括健康、亚健康、故障等；
12.更换系统盘并配置好信息后，再次开机无需人工介入，可自动恢复业务，历史数据不应丢失。
13.配置48块8T硬盘</t>
  </si>
  <si>
    <t>DS-A71148R/GR</t>
  </si>
  <si>
    <t xml:space="preserve">6U机架式48盘位网络存储设备，搭载64位多核处理器，1+1冗余电源、冗余风扇，实现7×24小时稳定运行
【硬件规格】
处理器：1颗64位多核处理器
系统内存：32GB（可扩展至128GB）
系统盘：1×240GB SSD（后置）
数据盘：1×960GB SSD（数据存储）
存储接口：48个SATA接口，支持硬盘热插拔
网络接口：4个2.5G数据网口，1个千兆管理口
其他接口：1×COM，2×USB2.0（前置），2×USB3.0（后置），1×VGA（前置），1×HDMI（后置）
整机电源：1600W，1+1冗余电源
【产品性能】
以文搜图模式一：768路（文搜IPC）
或 200路2MP（普通IPC，视频流）+ 568路（文搜IPC）
以文搜图模式二：300路2MP（普通IPC，视频流）
检索数量：350W/天
视频性能：最大支持接入768路（最大接入带宽1920Mbps）
图片性能：最大支持100张/S（单张图片500KB）
回放性能：最大支持76路2Mbps
事件录像：最大支持200路2Mbps
【智能应用】
前端接入能力：支持接入智能相机、结构化相机、抓拍机，对图片中的目标进行多模态大模型建模
大模型图文建模：内置大模型算法引擎，支持对目标图像和自然语言的多模态大模型建模，建立目标图像和自然语言的对应关系
大模型以文搜图：内置图文搜索引擎，支持开放式语义检索，输入文字描述即可查找人、车、非机动车及附属物等目标
以文搜图应用展示：支持全通道录像检索，且通道和时间范围可设；支持搜索结果相似度自定义设置展示；支持自定义选择时间范围
模型微调：支持对搜索结果进行快速标定和文本微调训练，提升文本搜图
搜索结果精准定位：支持搜索结果按相似度排序展示，根据搜索结果，可一键关联录像片段及以图搜图，对目标进行二次精准检索定位，还原目标的跨通道行动轨迹
搜索结果快速筛选：以文搜图检索结果支持以相似度、时间、通道等条件对检出录像/图片进行排序或筛选
【产品功能】
支持视频流、图片直写
支持ONVIF、GB/T 28181、RTSP等标准协议
支持VRAID、RAID0、1、5、6、10等多种RAID模式
支持RAID降级可读写(VRAID)，支持全局热备
支持局部重构，原盘或其克隆盘拔出设备后再插回，未被覆盖数据可快速恢复 </t>
  </si>
  <si>
    <t>原有安防监控平台扩容</t>
  </si>
  <si>
    <t>本次项目新增的前端摄像机需接入原有监控管理平台进行统一管理，并实现如下功能：
一、视频预览
1、支持视频实时预览能力，实现预览窗口布局切换、预览画面自适应及全屏切换；
2、支持云台控制、实时抓图、紧急录像、即时回放、主子码流切换、声音开启\关闭、辅屏预览（1个辅屏）、对讲、广播、报警输出控制的能力；
3、支持智能规则展示的能力（如：针对热成像设备温度信息实时展示）；
4、支持资源视图管理能力，以视图形式管理监控点、视频预览轮巡等自定义资源组，其中视图类型包含公有视图和私有视图；
5、支持全景视频监控预览能力，支持球型鹰眼、全景摄像机的全景模式；
二、录像回放
1、支持录像计划管理能力，支持实时录像计划、录像回传计划；
2、支持录像回放能力，支持多画面同步回放和异步回放切换、超高倍速回放、分段回放、录像下载、录像剪辑、录像标签、录像锁定、录像抓图；
三、图片监控
1、支持视频预览与图片实时监控模式切换能力，实现图片监控模式；
2、支持图片查询回放能力，实现按监控点、时间段展示抓拍图片；
3、支持图片自动播放能力，支持图片自动播放速度可设置；
4、支持图片下载能力；
四、视频上墙
1、支持电视墙场景管理能力，实现场景窗口配置、场景切换计划配置以及轮巡计划的管理；
2、支持上墙控制能力，实现场景一键上墙、场景切换、电视墙切换、监控点上下墙、轮巡控制操作；
五、视频事件
1、支持视频事件布撤防能力，可按计划模版进行布防，事件类型包括移动侦测、视频丢失、视频遮挡、报警输入、报警输出；
六、事件录像管理
支持事件录像存储配置、事件录像检索和下载管理。</t>
  </si>
  <si>
    <t>路</t>
  </si>
  <si>
    <t>iSecure Center-VMS</t>
  </si>
  <si>
    <t>8口POE接入交换机（带光口）</t>
  </si>
  <si>
    <t>千兆以太网交换机，PoE交换机；
端口描述：不低于10个10/100/1000M电口，不低于2个SFP口，1个console口；
背板带宽：不低于336Gbps/3.36Tbps；
包转发率：不低于27Mpps/102Mpps；
支持Console，Telnet，WEB，SNMP；
PoE：1-8口支持（整机PoE供电不低于125W，最大同时支持8个PoE端口）
PoE+：1-8口支持（整机PoE供电不低于125W，最大同时支持4个PoE+端口）</t>
  </si>
  <si>
    <t>RG-S2906-10GT2MS-P-L</t>
  </si>
  <si>
    <t>二层网管交换机，交换容量336Gbps，包转发率56Mpps，8口10/100/1000Mbps自适应电口交换机（支持PoE/PoE+，PoE功率125W），固化2个SFP千兆光口，支持VLAN、ACL、端口镜像、端口聚合等功能，支持睿易APP和MACC云平台统一管理。</t>
  </si>
  <si>
    <t>24口POE接入交换机-单电源</t>
  </si>
  <si>
    <t>1.在不插板卡情况下，单设备交换容量≥336Gbps，包转发率≥126Mpps，提供≥24个千兆电接口、≥4个万兆SFP+光接口。
2.支持支持802.3at/POE+供电标准。              
1、支持堆叠技术或者虚拟化技术
2、支持 4K 802.1Q VLAN,支持Voice VLAN及Voice VLAN中可以同时识别多厂家的OUI地址，支持端口VLAN、MAC VLAN
3、支持标准IP ACL（基于IP地址的硬件ACL）支持扩展IP ACL（基于IP地址、TCP/UDP端口号的硬件ACL）
4、支持QOS
5、支持一对一、多对一、一对多的镜像
6、支持DHCP Server、DHCP Client、DHCP Snooping、DHCP Relay、DHCP Option82
7、支持广播风暴抑制
8、支持设备登陆管理的AAA安全认证、radius认证、支持802.1x、支持ssh2.0
9、支持STP/RSTP/MSTP协议
10、支持链路聚合（支持静态、动态链路聚合、千兆口聚合、万兆口聚合）
11、有标准的或私有的邻居发现协议
12、支持VLAN虚接口
13、支持 IPv4 /ipv6静态路由
14、支持OSPFv2、OSPFv3
15、支持SNMPv1/v2/v3，WEB网管，支持命令行接口配置，Telnet，SSH，Console口配置，支持系统日志，分级告警，调试信息输出，NTP/SNTP
★15、提供真实有效的工信部入网证复印件；
★16、原厂质保≥3年</t>
  </si>
  <si>
    <t>RG-S2910-24GT4XS-P-L</t>
  </si>
  <si>
    <t>24个10/100/1000Base-T自适应以太网接口（POE+），4个1GE/10GE SFP+接口；
交换容量:672Gbps/6.72Tbps;包转发率:126Mpps;单端口最大供电30W，整机最大供电370W；
支持4K 802.1Q VLAN，支持Port based VLAN，支持MAC based VLAN，支持Voice VLAN，支持GVRP；
支持STP、RSTP、MSTP；
支持DHCP Server ，支持DHCP Client ，支持DHCP Snooping，支持DHCP Relay；
支持VSU虚拟化技术，支持本地堆叠和远程堆叠，支持通过标准业务口实现虚拟化；
支持IPv4/IPv6静态路由、可扩展支持RIP、RIPng、OSPF、OSPFv3协议;
支持端口流量识别，支持端口流量限速，支持802.1p/DSCP/TOS流量分类，支持SP、WRR、DRR、SP+WFQ、 SP+WRR、SP+DRR、RED/WRED队列调度；
支持过滤非法的MAC地址，支持广播风暴抑制，支持BPDU Guard，支持CPP、NFPP，支持端口保护；
支持SNMP、CLI(Telnet/Console)、RMON、SSH、Syslog/Debug、NTP/SNTP、FTP、TFTP、Web、WIS公有云平台管理;</t>
  </si>
  <si>
    <t>万兆单模光模块</t>
  </si>
  <si>
    <t>SFP+万兆模块(1310nm,10km,LC)</t>
  </si>
  <si>
    <t>XG-SFP-LR-SM1310</t>
  </si>
  <si>
    <t>万兆单模光模块，波长1310nm,传输距离10KM。</t>
  </si>
  <si>
    <t>六类非屏蔽双绞线</t>
  </si>
  <si>
    <t>1.标准：不低于TIA/EIA568-C.2、ISO/IEC11801、IEC60332-1、GB 50311；
2.最高传输频率不低于250MHz；
3.导体规格：单根导体直径不小于0.57±0.02；
4.屏蔽方式：U/UTP，线对采用“十”字骨架隔离；
5.护套材料：LSZH，护套外径：6.3±0.3mm；
6.支持以太网供电（Power over Ethernet）应用（POE/POE+）；
7.综合布线光纤系统、铜缆系统应采用同一品牌。</t>
  </si>
  <si>
    <t>D165-T-D</t>
  </si>
  <si>
    <t>电源线</t>
  </si>
  <si>
    <t>国标，RVV3*2.5</t>
  </si>
  <si>
    <t>RVV3*2.5</t>
  </si>
  <si>
    <t>背包箱</t>
  </si>
  <si>
    <t>1.尺寸：不低于400mmX300mmX500mm
2.配置空开、插线板，设备的安装附件和安装螺钉；满足现场使用需求。
3.结构：整体结构采用拼焊结构，牢固、钢性好、牢固可靠，表面采用热镀锌处理。
4.防护等级不低于IP55，保护内部设备不受外界恶劣环境的干扰；
5.箱体采用1.2mm的标号201不锈钢板，整体喷塑。
颜色和立杆保持一致。</t>
  </si>
  <si>
    <t>400mmX300mmX500mm</t>
  </si>
  <si>
    <t>3.5米监控立杆</t>
  </si>
  <si>
    <t>1.3.5米监控立杆，含地笼及混凝土基础；
2.颜色和背包箱保持一致。</t>
  </si>
  <si>
    <t>3.5米立杆</t>
  </si>
  <si>
    <t>SC4芯单模满配含熔接尾纤、法兰、SC光跳线。</t>
  </si>
  <si>
    <t>单模双芯LC-LC优质3米光纤跳线；</t>
  </si>
  <si>
    <t>2.2、无人机软硬件套装</t>
  </si>
  <si>
    <t>无人机</t>
  </si>
  <si>
    <t>最大飞行时间（无风环境）：＞50分钟
环境适应性：防护等级≥ IP55，最大抗风速度≥12 米/秒
环境感知：全向双目视觉系统，辅以机身底部三维红外传感器
广角：1/1.3 英寸 CMOS，有效像素 4800 万
中长焦：1/1.3 英寸 CMOS，有效像素 4800 万
长焦：1/1.5 英寸 CMOS，有效像素 4800 万
热成像相机：1280 × 1024@30fps
激光测距：正入射量程 1800 米（1 Hz）@20% 反射率目标
线缆级自动避障</t>
  </si>
  <si>
    <t>大疆、道通、复亚智能、云圣智能</t>
  </si>
  <si>
    <t>大疆</t>
  </si>
  <si>
    <t>DJI Matrice 4TD（中国版）SP Plus</t>
  </si>
  <si>
    <t>无人机巢及中继</t>
  </si>
  <si>
    <t>环境适应性：工作温度为 -30℃ 至 50℃ ，防护等级为 IP56
最大作业半径≥5 公里
充电时间＜30 分钟
舱内可直播相机分辨率：1920 × 1080
机巢图传系统
依据现场情况自行评估是否需要增加中继设备</t>
  </si>
  <si>
    <t>套</t>
  </si>
  <si>
    <t>大疆机场 3（中国版）SP Plus</t>
  </si>
  <si>
    <t>无人机平台</t>
  </si>
  <si>
    <t>私有化平台，支持算法和大模型，支持二次开发，可视化界面操作
支持本地建模，支持一键起飞，多航线设定（巡检航线和指令航线）
支持自定义模糊查找、导出照片
接入智慧安防系统
巡查管理支持无人机航线绘制和飞行任务管理，同时提供飞行实时监控：
1、航线绘制：
提供自定义航线，支持手动在地图上绘制航电，生成航线
2、飞行任务管理：
提供基础巡查任务管理，对指定航线进行巡检，支持单次、重复、定时、连续等飞行策略
3、飞行监控：支持全局视角、无人机视角多视角展示：
1）支持以2.5D地图可视化呈现无人机、机库、手持地面站、飞手等地理位置及相关信息，对禁飞区、电子围栏等区域分布进行图上统计展示。
2）支持展示地面站数量、无人机数量、任务数量、飞行里程、飞行架次、飞行时长等。
3）支持对当前执飞无人机进行实时动态监测，展示无人机当前位置、高度、速度等信息，可以查看当前无人机挂载视频实时画面。
4）支持无人机远程控制，包含一键起飞、一键返航等操作，可以针对无人机挂载设备进行广播喊话、拍照、云台控制等操作。
5）支持展示任务信息、航线信息、预警信息、地面站信息等。
6）支持按飞机、按飞手、按任务查询对应飞行任务的图片档案信息。
7）支持飞机、按飞手、按任务查询对应飞行任务的视频档案信息。</t>
  </si>
  <si>
    <t>大疆司空 2 一体机套装（中国标准版）</t>
  </si>
  <si>
    <t>2.3、巡更管理</t>
  </si>
  <si>
    <t>手持设备</t>
  </si>
  <si>
    <t>1.ARM八核2.0GHz处理器，4GB RAM，64GB ROM
2.图像采集：前置摄像头500万像素；后置摄像头1300万像素
3.支持二维码、NFC读卡、室外GPS定位+电子地图巡更方案
4.内置高灵敏度卫星定位模块，支持北斗，GPS，Glonass定位
5.防水、防尘、防摔（IP68）,支持1.5米防摔，适合全天候野外作业
6.支持NFC协议；支持ISO15693、ISO14443A/B
7.支持远程巡更任务接收，巡更任务管理
8.支持巡更人员登录注册，进行权限管理
9.支持巡更任务查询，巡更任务提醒等协助巡更的功能
10.有网络环境下支持巡更记录实时上传，无网络环境下支持巡更记录断点续传</t>
  </si>
  <si>
    <t>蓝卡、广拓、海康</t>
  </si>
  <si>
    <t>DS-MDT102/MF</t>
  </si>
  <si>
    <t xml:space="preserve">巡更手持机(C)
ARM八核2.0GHz处理器，4GB RAM，64GB ROM
图像采集：前置摄像头500万像素；后置摄像头1300万像素
支持二维码、NFC读卡、室外GPS定位+电子地图巡更方案
内置高灵敏度卫星定位模块，支持北斗，GPS，Glonass定位
防水、防尘、防摔（IP68）,支持1.5米防摔，适合全天候野外作业
支持NFC协议；支持ISO15693、ISO14443A/B
支持远程巡更任务接收，巡更任务管理
支持巡更人员登录注册，进行权限管理
支持巡更任务查询，巡更任务提醒等协助巡更的功能
有网络环境下支持巡更记录实时上传，无网络环境下支持巡更记录断点续传
传感器类型：后置主相机1300万像素，前置500万相机 
屏幕尺寸：5.5英寸
分辨率：1440*720
聚焦模式：前置：定焦 后置：自动 
视频压缩标准：H.264
录像格式：3GP
图片分辨率：2M;5M;8M;13M
图片格式：JPEG 
音频采样率：8 kHz;16 kHz;44.1 kHz;48 kHz
音频压缩标准：AAC;AAC+;AMR;AWB;VORBIS
音频压缩码率：8K,16K,32kbps,64kbps,128kbps,256kbps 
拨号：TDD-LTE B38;TDD-LTE B39;TDD-LTE B40;TDD-LTE B41;FDD -LTE B1;FDD -LTE B3;FDD -LTE B5;FDD -LTE B8;WCDMA B1;WCDMA B8;TD-SCDMA B34;TD-SCDMA B39;CDMA EVDO BC0;GSM 900;GSM 1800
Wi-Fi工作模式：AP;STATION
Wi-Fi频率范围：2.412-2.472 GHz;5.15-5.25 GHz;5.25-5.35 GHz;5.47-5.725 GHz;5.725-5.875 GHz
定位：GPS;北斗;GLONASS
蓝牙：5.0
NFC：支持 
内置存储介质：Emmc
内置存储容量：64GB 
充电接口：Type-C
扬声器：支持
MIC：支持
SIM卡槽：2 个 Nano SIM，与TF卡槽三选二 
CPU：八核2.0 Ghz
操作系统：Android14
内存：4GB
闪光灯：支持
指示灯：充电指示灯;工作指示灯
震动：支持
按键：电源、音量+、音量-、自定义键、扫码键
产品重量：240g
产品尺寸：154.9*73.3*15mm
防护等级：IP68
跌落性能：1.5米跌落
供电方式：电池供电
工作温度：-20℃～+55℃
工作湿度：&lt;95% 
电池可拆卸：不支持
电池容量：5000mAh（典型容量）
关机充电时间：3小时
电池类型：锂离子电池 </t>
  </si>
  <si>
    <t>巡更牌</t>
  </si>
  <si>
    <t>1.NFC巡更打卡，使用单兵设备可直接进行巡更打卡
2.二维码扫描，通过系统权限验证的用户，可通过扫描二维码查看巡更记录
3.抬头预留空窗，可根据需求自主印刷
4.工作温度：-40℃～85℃
5.工作湿度：5%～95% 无冷凝</t>
  </si>
  <si>
    <t>DS-TRC100-8/X</t>
  </si>
  <si>
    <t xml:space="preserve">巡更标签
NFC巡更打卡，使用单兵设备可直接进行巡更打卡
3M背胶设计，可直接粘贴于墙面，也可通过中间固定孔进行螺丝固定
【一般规范】
工作温度: -20~50℃
工作湿度: 20%~60%
</t>
  </si>
  <si>
    <t>卡片录入仪</t>
  </si>
  <si>
    <t>1.支持发卡类型：ID卡、IC卡、身份证物料卡号（序列号）、普通CPU卡、国密CPU卡
2.USB2.0接口
3.具有2个Sim卡尺寸的PSAM卡座
4.工作电压：DC 5V
5.工作电流：0.2A</t>
  </si>
  <si>
    <t>DS-K1F100K</t>
  </si>
  <si>
    <t>支持发卡类型：ID卡、IC卡、身份证物理卡号（序列号）、普通CPU卡、国密CPU卡；
USB2.0接口；
具有2个Sim卡尺寸的PSAM卡座；
工作电压：DC 5V；
工作电流：0.2A；
尺寸：117*67.5*14.3mm</t>
  </si>
  <si>
    <t>巡更管理软件</t>
  </si>
  <si>
    <t>一、巡更点
1、支持将门禁设备、近距离射频识别NFC、二维码等多种方式设置为巡更点打卡凭证；
2、支持根据实际管理需求自定义扩展巡更点类型；
二、巡更计划
1、支持有序巡更与无序巡更两种现场巡更模式。
2、支持对巡更计划进行全流程管理，可配置计划名称、有效期、任务执行周期（支持每天/每周/每月/每年或指定日期）、巡更点及执行人。执行人支持按具体人员、角色或组织进行灵活分配。
3、支持查看巡更计划列表，显示信息包括计划名称、巡更区域、巡更点数量、计划有效期等；同时支持按计划名称、状态、计划有效期、创建时间、巡更区域等多条件对计划进行检索。
三、巡更任务
1、支持系统根据巡更计划自动执行巡更任务的生成。
2、支持管理人员手动触发基于巡更计划的巡更任务生成。
3、支持通过待办任务方式提醒巡更人员按时执行巡更任务。
4、支持查看巡更任务列表，显示信息包括巡更任务编号、所属巡更计划、所属区域、任务类型、巡更点数量、发现问题数、任务开始时间等；同时支持按任务状态、任务类型、任务开始时间等多条件对任务进行检索。
3、支持离线巡更模式，可通过专用巡更棒或现场移动APP执行打卡操作。
四、巡更记录
1、支持查看巡更任务记录，显示信息包括巡更任务编号、所属区域、巡更计划模板、任务时间、巡更对象数等，并支持按条件检索及数据导出。
2、支持查看单次巡更任务的详细报告，并可支持打印。</t>
  </si>
  <si>
    <t>2.4、周界防护-定位型振动光纤系统</t>
  </si>
  <si>
    <t>传感光缆</t>
  </si>
  <si>
    <t>1.光纤类型: 4芯单模光纤
2.纤芯类型: G.652D 9/125μm 非色散位移单模光纤
3.光缆外径: 8.6mm(±5%)
4.抗压系数: 短期：1000N/10cm
5.长期：300N/10cm
6.拉伸强度: 短期：1500N
7.长期：600N
8.最小弯曲半径: 光缆外径的10倍（静态）
9.光缆外径的20倍（动态）
10.光缆传输衰减: 1310nm≤0.36dB/km；1550nm≤0.22dB/km
11.工作温度: -40~70℃
12.工作湿度: 0~95%R.H
13.防护等级: IP68</t>
  </si>
  <si>
    <t>福科斯、广拓、海康</t>
  </si>
  <si>
    <t>DS-PO2-iDFM/S4/G</t>
  </si>
  <si>
    <t xml:space="preserve">传感光缆
传感光缆防护等级高达IP68，且具有如下性能优势，探测振动响应灵敏，抗拉伸、耐磨损、抗压扁、抗冲击、抗鼠咬，可反复弯曲、扭转、曲绕、弯折、枪击等，具有很好的机械性能。
光缆信号传输快、传输距离远、传输信息完整性好、抗电磁场干扰、绝缘性好、化学稳定性好、尺寸小、重量轻、寿命长、损耗低具有很好的特性和经济效益。
环境适应性强：光纤具备柔性特点，可以随地形安装，适合地形复杂的周界
抗电磁干扰：前端全无源设计，不受取网供电条件制约，不受电磁干扰影响
耐腐蚀：抗恶劣环境，如潮湿、高低温干扰，可耐氨气、氯气、盐雾、酸雨等
【基本参数】
光纤类型: 4芯单模光纤
纤芯类型: G.652D 9/125μm 非色散位移单模光纤
光缆外径: 8.6mm(±5%)
抗压系数: 短期：1000N/10cm
长期：300N/10cm
拉伸强度: 短期：1500N
长期：600N
最小弯曲半径: 光缆外径的10倍（静态）
光缆外径的20倍（动态）
光缆传输衰减: 1310nm≤0.36dB/km
1550nm≤0.22dB/km
【一般规范】
工作温度: -40~70℃
工作湿度: 0~95%R.H
包装规格: 3000米/卷
防护等级: IP68
</t>
  </si>
  <si>
    <t>定位型振动光纤处理器</t>
  </si>
  <si>
    <t>1.当在布防区域模拟触发入侵报警时，在1s的时间内输出入侵报警信号。
2.当出现断纤时，在1s的时间内通过系统输出断纤报警信号，且可通过显示/指示单元显示距光纤始端最近的断纤位置，该信号的输出形式应在说明书中明示且应区别于其他报警信号。
3.分布式定位型振动光纤系统的外壳设有防拆保护装置,当外壳被打开到足以触及其中的任何控制部件或机械固定的调节器时,防拆保护装置动作,并输出防拆报警信号,该信号的输出形式应区别于其他报瞥信号。
4.通道开关按键16个，支持通过通道开关按键启用/关闭通道功能
5.系统支持报警分级功能，共分为3个级别，由3至1报警紧迫或重要程度逐级增加。系统支持各等级独立设置阈值参数。
6.系统支持与摄像机联动，并支持通过摄像机对图片、视频进行分析复核
7.定位精度（检测结果）：探测距离≤5km，定位精度±2.0m；探测距离＞5km且≤20km，定位精度±5.0m；探测距离＞20km且≤40km，定位精度±5.0m；探测距离＞40km且≤80km，定位精度±5.0m
8.在固定的振动激励条件下（振幅及频率不变），系统探测到的振动幅度最大偏差在±10%以内。
9.在固定声源激励敏感部件的条件下，系统支持音频信号还原及播放。
10.抗风干扰符合III级风速干扰条件下，不产生误报警和漏报警：Ill级：7～8级风速、Ih、17.1m/s～20.7m/s
11.抗雨干扰符合满足III级暴雨干扰条件下，不产生误报警和漏报警：Ill级：暴雨、每24h降水强度100mm、lh
12.主机应支持至少8路输入(开关量),至少8路输出(开关量)接口扩展。
13.系统应具有远程参数配置与程序更新功能;应具有集中维护管理功能,应可在远端进行系统设备的日常维护管理。
14.单通道瀑布图数据应每分钟实时上报；瀑布图原始数据采样分辨率应能达到0.4m，时间分辨率应不大于0.1；系统应支持瀑布图数据输出和瀑布图数据管理</t>
  </si>
  <si>
    <t>DS-QFA3016DW</t>
  </si>
  <si>
    <r>
      <rPr>
        <sz val="11"/>
        <color rgb="FF000000"/>
        <rFont val="宋体"/>
        <charset val="134"/>
      </rPr>
      <t xml:space="preserve">定位型振动光纤处理器
处理器：
定位型振动光纤处理器是一款基于相干检测技术的分布式光纤振动探测系统，通过PDC </t>
    </r>
    <r>
      <rPr>
        <sz val="11"/>
        <color rgb="FF000000"/>
        <rFont val="Calibri"/>
        <charset val="161"/>
      </rPr>
      <t>φ</t>
    </r>
    <r>
      <rPr>
        <sz val="11"/>
        <color rgb="FF000000"/>
        <rFont val="宋体"/>
        <charset val="134"/>
      </rPr>
      <t xml:space="preserve">-OTDR光时域反射解调算法做到精确的定位，结合后端数据分析处理模块，实现对振动的有效监测。同时，设备具有对自然环境干扰的智能模式识别能力，显著降低误报。
利用光纤中的背向散射光，通过光的相干检测，得到扰动位置的相位或光强的变化，输出对应的振动信号。系统可以定位振动事件，精确到其空间分辨率，可同时定位检测多个位置的振动事件
环境适应性强：光纤具备柔性特点，可以随地形安装，适合地形复杂的周界
抗电磁干扰：前端全无源设计，不受取网供电条件制约，不受电磁干扰影响
探测灵敏：灵敏度高，可高保真识别振动声波
长距离监测：监测距离长，可达数十公里
精准定位：定位精度高，支持同时定位监测多点振动事件
耐腐蚀：抗恶劣环境，如潮湿、高低温干扰，可耐氨气、氯气、盐雾、酸雨等
服务器：
抗震驱动器托架，支持3个5.25",1个3.5"驱动器
电源和HDD状态LED指示灯
高效切换电源和易维护风扇
特殊的固定夹紧设计与橡胶垫，保护卡片免受冲击和振动
易维护空气滤网、前置USB接口
【基本参数】
光纤类型: 单模光纤 (ITU-T G.652D)
通道数: 1
单通道探测距离: 30km
定位精度: ±5m
单元数: 可配置，根据光纤长度和单位间隔进行配置。
报警响应时间: ≤1S
频率响应: 0.1Hz 到 1kHz
采集速率: 250MS/s
【功能】
指示灯: 服务器电源灯：
蓝灯常亮：设备已上电；
蓝灯不亮：设备未上点；
服务器HDD指示灯：
蓝灯闪烁：有数据传输；
蓝灯不亮：无数据传输
蜂鸣器: 服务器触发报警或防拆报警，蜂鸣器长鸣
按键: 服务器:
1个船型开关；
1个关机按键
【用户】
安装员: 1个
管理员: 1个
普通用户: 若干
【存储】
硬盘存储: 支持1个256G SSD和1个1T机械硬盘
【接口】
电源接口: 1个220V电源接口
功能接口: 6个USB 3.0接口；
2个RJ45 1000M自适应以太网接口；
1个VGA接口；
1个HDMI接口；
1个DVI接口；
2个RS232接口；
3个SMA接口
音频输入: 1个音频输入输出接口
【一般规范】
电源: 服务器：220V～50Hz, 1.0A 处理器：220V～50Hz, 1.0A
整机功耗: 60W
工作温度: -15℃~55℃
工作湿度: 0~93%（±2%）无凝露
材质: 全金属
颜色: 黑色
产品尺寸: 服务器：186mm（高）*483mm（宽）*475mm（深） 
处理器：145mm （高）x 483mm （宽）x 498mm (深）
裸机重量: 服务器：约15kg
处理器：约10kg
激光防护等级: Class 1
包装尺寸: 服务器：370 mm (高）x 660 mm（宽） x 650 mm (深)
处理器：270mm（高） x 615 mm（宽） x 635 mm（深）
【协议】
网络协议: 支持ISAPI、OTAP、TCP
【通信参数】
通信方式: 支持有线网络
</t>
    </r>
  </si>
  <si>
    <t>抗紫外线扎带</t>
  </si>
  <si>
    <t>1.安装方式: 将扎线带尾巴穿过头部，即可束紧。
2.尺寸规格: 5*300mm
3.最大承受拉力: 200N±15N
4.包装数量: 250根/包
5.耐温: -40℃ ~ +80℃
6.材料: 尼龙PA66抗紫外线（UV）原料</t>
  </si>
  <si>
    <t>包</t>
  </si>
  <si>
    <t>DS-PO2-CTS/UV5300</t>
  </si>
  <si>
    <t xml:space="preserve">抗紫外线扎带
材质：NYLON PA66 制成，抗紫外线，低温脆化高温不软化，承受力强，不易老化。
特点：耐候原料（抗紫外线），适合户外使用。
用法：止退式设计，束紧后便不可退出。
【常规参数】
安装方式: 将扎线带尾巴穿过头部，即可束紧。
【基本参数】
尺寸规格: 5*300mm
最大承受拉力: 200N±15N
包装数量: 250根/包
耐温: -40℃ ~ +80℃
材料: 尼龙PA66抗紫外线（UV）原料
</t>
  </si>
  <si>
    <t>光纤接续盒</t>
  </si>
  <si>
    <t>1.光纤接续盒
2.材质：ABS工程塑料
3.规格：进出缆数，二进二出</t>
  </si>
  <si>
    <t>只</t>
  </si>
  <si>
    <t>DS-PO2-UG/ABS</t>
  </si>
  <si>
    <t xml:space="preserve">光纤接续盒
材质：ABS工程塑料
规格：进出缆数，二进二出
【常规参数】
尺寸(宽x高x深): 460mm*170mm*110mm
外壳材质: ABS工程塑料
</t>
  </si>
  <si>
    <t>塑料格栅</t>
  </si>
  <si>
    <t>1.塑料格栅是用于埋地方式部署振动光纤时，用于埋地时承载探测光缆的承载物
2.尺寸(宽x高x深): 网格：3.2cm*3.5cm；边宽3.3mm；边厚：1.3mm</t>
  </si>
  <si>
    <t>m2</t>
  </si>
  <si>
    <t>DS-PO-PG</t>
  </si>
  <si>
    <t>周界防范大模型超脑</t>
  </si>
  <si>
    <t>1.存储接口：1个SATA接口，内置1TB硬盘
2.视频接口：1×HDMI，1×VGA
3.网络接口：2×RJ45 10/100/1000Mbps自适应以太网口
4.报警接口：4路报警输入，1路报警输出
5.串行接口：1路RS-232接口、1路RS-485接口
6.USB接口：1×USB 2.0，1×USB 3.0
7.整机搭载2颗高性能AI引擎，支持周界防范引擎模式
8.周界防范应用：支持对平台下发图片进行二次分析，检测图片中的人体，车辆目标，并将分析结果回传平台；图片流性能：4张/s；单颗AI引擎分析能力：2张/s</t>
  </si>
  <si>
    <t>iDS-6716NX/S-ZD</t>
  </si>
  <si>
    <t xml:space="preserve">1盘位1.5U嵌入式边缘计算主机，采用存算一体架构，内置高性能AI处理器
【硬件规格】
存储接口：1个SATA接口，内置1TB硬盘
视频接口：1×HDMI，1×VGA
网络接口：2×RJ45 10/100/1000Mbps自适应以太网口
报警接口：4路报警输入，1路报警输出
串行接口：1路RS-232接口、1路RS-485接口
USB接口：1×USB 2.0，1×USB 3.0
【智能应用】
整机搭载2颗高性能AI引擎，支持周界防范引擎模式
一、周界防范应用：
支持对平台下发图片进行二次分析，检测图片中的人体，车辆目标，并将分析结果回传平台；
图片流性能：4张/s
单颗AI引擎分析能力：2张/s </t>
  </si>
  <si>
    <t>振动光纤接入管理软件</t>
  </si>
  <si>
    <t>一、设备管理
1、支持以海康ISAPI协议接入，实现振动光纤单元采集的事件接收；
2、支持根据单元号、振动光纤主机名称查询振动光纤单元报警信息；
3、支持在地图上展示振动光纤实际部署位置、有效长度；
4、支持以列表方式展示振动设备信息，包含设备名称、IP等信息；
5、支持对振动光纤主机设备添加、删除、修改；
6、支持对振动光纤主机设备进行手动校时；
7、支持筛选出从未被平台连接成功的振动光纤主机设备。
二、光纤标定
1、支持通过振动曲线方式查询振动单元号，并支持与监控点位进行绑定；
2、支持通过导入导出的方式对单元号、监控点、经纬度进行绑定；
三、光纤上图
1、支持振动光纤主机上图，地图上可以查看主机的部署位置；
2、支持光纤上图，地图上可以查看光纤的铺设情况；
3、支持在地图上控制振动光纤的显示与隐藏；
4、支持查看振动光纤的主机数量、光纤长度（在线长度、离线长度）；
5、支持在地图上查看在线光纤分布及离线光纤分布情况；
6、支持在地图上查看光纤每个单元号与视频设备关联关系；
7、振动光纤报警时，支持在地图上高亮报警的光纤位置及关联球机高亮显示。</t>
  </si>
  <si>
    <t>周界监测预警软件</t>
  </si>
  <si>
    <t>一、光纤报警定位及处置
1、提供报警实时信息的展示及处置能力，；
2、支持实时报警信息展示，以及历史报警信息的查询和回看；
3、支持报警发生时报警信息弹窗，显示当前的报警信息以及报警联动信息，包括：视频、录像、抓图、报警位置。
二 、雷达轨迹
1、提供布防区域目标物的轨迹跟踪显示以及视频跟踪能力；
2、支持对布防区域内报警目标物体的轨迹跟踪和实时视频接力跟踪（仅雷达设备支持轨迹跟踪）；
3、支持目标物跟踪时，显示目标物的位置、速度、方向信息；
4、支持布防区域内单目标和多目标跟踪；
三、重点视频点位管理
1、提供地图上重点点位视频的布局配置、实时视频播放及广播能力；
2、支持显示重点点位实时视频，可以任意拖放具体位置。
四、预警策略编排
1、支持振动光纤联动、雷达联动、区域入侵等不同事件组合产生新组合预警。
2、支持组合预警发生的时间间隔配置。
3、支持事件的发生先后顺序进行配置。
4、支持配置组合策略生效的资源、时间。
五、图上数据展示
1、支持数据统计展示，可以自由拖放布局，包括：图上资源统计数据、报警统计数据、资源在线状态统计。
六、图上资源控制
1、支持地图上资源显示控制，包括：虚拟防区、监控点、岗亭、雷达、报警器、自定义资源等。
七、报警研判复核管理
1、从空间维度对报警进行处理，以虚拟防区为单位，对关联的物联设备的报警事件进行合并；
2、从时间维度对报警进行处理，提供周计划配置、有效期配置、临时失效时间配置等功能；
3、从报警的业务属性维度进行处理，例如温度报警的温度属性、雷达轨迹时间的速度属性。
八、预警事件管理
1、提供历史报警检索、报警统计报表。</t>
  </si>
  <si>
    <t>土方开完及回填</t>
  </si>
  <si>
    <t>现场开挖回填</t>
  </si>
  <si>
    <t>绿化破坏恢复</t>
  </si>
  <si>
    <t>平方米</t>
  </si>
  <si>
    <t>2.5、红外对射报警</t>
  </si>
  <si>
    <t>四光束红外对射</t>
  </si>
  <si>
    <t>1.探测方式：主动红外
2.警戒距离：100米
3.光源类型：红外数字脉冲
4.光源波长：940nm
5.光束频率：750Hz
6.光轴角度：水平180°(±90°)；垂直 20°(±10°)
7.感应速度：50-700ms 
8.防拆输出：NC  触点容量  DC30V0.5A max 
9.光束数量：4光束
10.报警输出接口：NC/NO  触点容量 DC30V0.5A max 
11.防护等级：IP55
12.工作温度及湿度：-25℃~+55℃；≤95%（无凝结）
13.产品重量：2265g（毛重）
14.产品尺寸：370mm*96mm*95mm
15.外壳材质：PC(外罩)+ABS(本体)
16.工作电压：DC12-24V / AC12-18V
17.工作电流：投光器+受光器≤130mA
18.最大功率：≤5W 
19.含配套支架</t>
  </si>
  <si>
    <t>DS-PB401-4100</t>
  </si>
  <si>
    <t xml:space="preserve">四光束红外对射
采用抗白光凸透镜、抗太阳光外罩和滤光接收管，提升抗外光及恶劣环境干扰能力。
采用优质红外发射管和光学双凸透镜设计，提高发射功率和光束聚焦能力，增强信号强度、发射距离更远。
支持5种响应模式调整，防宠、防树叶遮挡误报能力更优。
宽电压设计，支持DC12-24V和AC12-18V，兼容集中供电，有效解决线路降压。
报警输出支持NO/NC两种干节点模式，系统融合更便捷。
内置防拆开关（常闭型），当外壳被拆开时触发警报。
光轴支持水平大角度、垂直多角度调整，方便对光，施工便捷高效。
双数码管实时呈现对光信号强度，施工便捷高效。
探测方式：主动红外
警戒距离：100米
光源类型：红外数字脉冲
光源波长：940nm
光束频率：750Hz
光轴角度：水平180°(±90°)；垂直 20°(±10°)
感应速度：50-700ms 
防拆输出：NC  触点容量  DC30V0.5A max 
光束数量：4光束
报警输出接口：NC/NO  触点容量 DC30V0.5A max 
防护等级：IP55
工作温度及湿度：-25℃~+55℃；≤95%（无凝结）
产品重量：2265g（毛重）
产品尺寸：370mm*96mm*95mm
外壳材质：PC(外罩)+ABS(本体)
工作电压：DC12-24V / AC12-18V
工作电流：投光器+受光器≤130mA
最大功率：≤5W </t>
  </si>
  <si>
    <t>工控箱</t>
  </si>
  <si>
    <t>配套工控箱</t>
  </si>
  <si>
    <t>DS-PB-WPB01S</t>
  </si>
  <si>
    <t xml:space="preserve">红外对射工控箱（不锈钢）
周界报警对射类产品户外弱电施工工控箱，工业级防护。
内置工业级漏电保护模块，施工、检修安全保障。
内置工业级浪涌防护模块，有效降低感应雷、浪涌电流对内接弱电设备的损害，保障其稳定运行。
内置工业级开关电源模块，为红外对射发射、接收端以及其他配套外设提供直流供电。
总供电输出规格：DC12V   2路；DC24V   4路
输出电流：1.5A Max
输出功率：30W Max
总供电输出保护：漏电防护：额定电压(V)：230/400 AC
                 额定电流(A)：16A
                 额定频率(Hz)：50/60
                 数        量：1个 （2P）
浪涌防护：额定电压：230V（相电压）
                 最大放电电流：20KA
                 响应时间：＜ 25ns
                 数        量：1个（2P） 
Ancillary Control Equipment (ACE)：接线端子：进线范围：10-35平方
                 出线范围：2.5-16平方
                 适用电流：100A
                 导件材质：黄铜镀锡
                 端口数量：1进2出 
工作湿度：10%~90% （相对湿度，无冷凝）
工作温度：-20℃~+55℃ 
IP等级：IP55
安装方式：支持壁挂、抱箍、落地等三种安装方式
外壳材质：304不锈钢，壁厚 0.8mm±0.15mm
尺寸（宽 × 高 × 深）：含有帽沿（高*宽*深）：300mm*248mm*180mm
不含帽沿（高*宽*深）：300mm*248mm*160mm
重量：3.9Kg±0.2Kg </t>
  </si>
  <si>
    <t>总线报警主机</t>
  </si>
  <si>
    <t>1.具有规定权限的用户应能对控制指示设备进行全部和/或部分设防操作。设防成功后，控制指示设备应有相应的指示。设防失败时，控制指示设备应能立即给出指示和/或报警信号和/或信息。
2.当控制指示设备的多个探测回路依次或同时被触发时，不应产生漏报警。
3.告警装置安装在机内时，报警声压应不小于80dB(A)，告警装置安装在机外时，报警声压应不小于100dB(A)。
4.控制指示设备在开机后，应能进行自检，并给出自检结果指示。
5.控制指示设备应具有主电源和备用电源，应能在主电源和备用电源之间转换，电源转换时，工作应正常，不应出现漏报警及误报警:当主电源断电时，应能自动转换至备用电源供电;当主电源恢复时，可自动转换至主电源供电，并对备用电源自动充电:在给备用电源充电的同时，工作应正常。
6.主机支持 MAC、IP 绑定或限制访问
7.主机防拆报警不额外占用主机防区
8.主机上报支持至少4个中心组</t>
  </si>
  <si>
    <t>DS-19A08-01BN</t>
  </si>
  <si>
    <t xml:space="preserve">总线报警主机
报警管理：支持探测器/紧急报警装置触发信号的接收，进行入侵/紧急报警事件管理
防区特性：支持即时防区、延时防区、紧急防区、超时防区等场景化防区类型设置，满足细致化管理需求
分区管理：支持子系统分区，对探测器进行分区管理，支持布防、撤防、消警、旁路等功能
报警指示：支持报警键盘、警号、继电器联动、中心平台上报等报警事件指示功能
操作管理：支持报警键盘、客户端软件、中心平台进行报警管理操作
联动控制：支持报警事件联动，平台控制报警输出，实现场景化联动输出，进行个性化管理
断电报警：当市电断电时，设备可通过蓄电池正常工作（需配蓄电池），并将断电事件进行通知上报
断网续传：支持断网续传功能，设备离线状态下产生事件在与平台连接后会重新上传
快速移机：支持设备配置文件导出和导入功能，实现参数备份和快速移机
配置方式：iVMS-4200、键盘编程、SADP
操作系统：Linux
日志存储：40000条
系统校时：手动校时、NTP校时 
子系统：8个
公共子系统：支持 
板载防区：8路
扩展防区：最大可扩展248路（其中无线防区上限为64个） 
板载警号输出：1路
板载继电器输出：4路
扩展输出：最大可扩展252路 
键盘：32个
总线中继器：4个，单条总线最多2个 
遥控器：32个（需搭配报警键盘支持）
卡片：32张（需搭配报警键盘支持） 
总线类型：M-BUS
总线拓扑：手拉手
总线距离：2400m，每增加一个中继器延长2400m，单条线路最多增加2个中继器
总线线型：RVV2*1.5mm² 
网络协议：SDK、NAL2300
接口协议：PSTN-CID 
主电源：AC220V
电池接口：铅酸蓄电池接口x1
辅电输出：DC12V/1A
警号接口：1路
防区输入接口：8路
报警输出接口：4路
总线接口：2路
RS-485接口：1路
网络接口：1路，支持扩展
4G模块接口：1路，模块按需选配
电话线模块接口：1路，模块出厂标配
打印机接口：1路 
使用场景：室内
安装方式：壁挂
供电方式：AC 220 V （出厂自带电源适配器转14.3V）
额定功率：5W（设备单机功率）
最大功率：60W (系统外设辅电满载)
颜色：白色
外壳材质：金属
认证等级：GA：4级
产品重量：≤3.5kg
产品尺寸：370mm（长）×320mm（宽）×86mm（厚）
工作温度及湿度：-10°C~55°C，湿度小于90%（无凝结）
存储温度及湿度：-25°C~60C，湿度小于90%（无凝结） </t>
  </si>
  <si>
    <t>控制键盘</t>
  </si>
  <si>
    <t>1.有线LCD键盘（支持遥控器&amp;刷卡）
2.操作指令接收：支持对报警系统进行布防、撤防、消警、旁路、旁路恢复、紧急求助等操作
3.操作方式管理：支持密码、遥控器、刷卡方式对报警系统进行操作指令交互
4.报警状态指示：支持对报警系统防区报警状态进行实时指示，包括指示灯变化，提示音变化，文字内容变化等
5.系统状态展示：支持对报警系统运行状态进行展示，包括主电源状态、蓄电池状态、防拆状态、子系统布撤防状态，防区状态、扩展模块状态等
6.胁迫码功能：支持通过胁迫密码进行布撤防管理，并将警情进行中心上报
7.防区名称自定义：支持防区名称自定义配置，在键盘屏幕中展示对应文字内容
8.配置管理：支持通过键盘对报警主机进行参数配置，包括密码修改、防区类型配置、上报中心参数配置等</t>
  </si>
  <si>
    <t>DS-PK-LRT</t>
  </si>
  <si>
    <t xml:space="preserve">有线LCD键盘（支持遥控器&amp;刷卡）
操作指令接收：支持对报警系统进行布防、撤防、消警、旁路、旁路恢复、紧急求助等操作
操作方式管理：支持密码、遥控器、刷卡方式对报警系统进行操作指令交互
报警状态指示：支持对报警系统防区报警状态进行实时指示，包括指示灯变化，提示音变化，文字内容变化等
系统状态展示：支持对报警系统运行状态进行展示，包括主电源状态、蓄电池状态、防拆状态、子系统布撤防状态，防区状态、扩展模块状态等
胁迫码功能：支持通过胁迫密码进行布撤防管理，并将警情进行中心上报
防区名称自定义：支持防区名称自定义配置，在键盘屏幕中展示对应文字内容
配置管理：支持通过键盘对报警主机进行参数配置，包括密码修改、防区类型配置、上报中心参数配置等
操作系统：Linux
显示屏：LCD（尺寸80X25mm）
指示灯：5个
按键数量：20个 
蜂鸣器：支持 
遥控器：支持
卡片：支持 
无线频率：RF433Mhz
双向无线通讯：支持
跳频技术：支持
无线加密：AES128 
总线类型：RS485
总线距离：800米
总线线型：RVV4*1.0mm² 
主电源：DC 12 V
RS-485接口：1路 
使用场景：室内
安装方式：壁挂
供电方式：DC 12 V
额定功率：1.2W
最大功率：1.8W
颜色：白色
外壳材质：塑料
产品重量：≤0.28 kg
产品尺寸：164 mm（宽）× 124 mm（深）× 31 mm（高）
工作温度及湿度：-10°C~55°C，湿度小于90%（无凝结）
存储温度及湿度：-20°C~60C，湿度小于90%（无凝结） </t>
  </si>
  <si>
    <t>报警主机蓄电池</t>
  </si>
  <si>
    <t>1.电池类型：阀控密封式铅酸蓄电池
2.电池规格：DC12V7AH
3.停止供电电压：10.5V
4.电池放电温度及湿度：-20°C~50°C，湿度小于95%（无凝结）
5.电池充电温度及湿度：-20°C~50°C，湿度小于95%（无凝结） 
6.安装方式：立式
7.颜色：黑色
8.外壳材质：ABS阻燃（V-1）
9.产品重量：2.0±3%Kg
10.产品尺寸：151mm*65mm*100mm
11.工作温度及湿度：-20°C~50°C，湿度小于95%（无凝结）</t>
  </si>
  <si>
    <t>DS-PZ101VB-1207</t>
  </si>
  <si>
    <t xml:space="preserve">电池类型：阀控密封式铅酸蓄电池
电池规格：DC12V7AH
停止供电电压：10.5V
电池放电温度及湿度：-20°C~50°C，湿度小于95%（无凝结）
电池充电温度及湿度：-20°C~50°C，湿度小于95%（无凝结） 
安装方式：立式
颜色：黑色
外壳材质：ABS阻燃（V-1）
产品重量：2.0±3%Kg
产品尺寸：151mm*65mm*100mm
工作温度及湿度：-20°C~50°C，湿度小于95%（无凝结） " </t>
  </si>
  <si>
    <t>警灯警号</t>
  </si>
  <si>
    <t>1.设备类型：声光警号（声光报警器）
2.警灯颜色：红色
3.报警音量：105dB
4.硬件接口：红/黑线
5.使用环境：室内/外（IP54室外防水）
6.外壳材质：PC+ABS
7.安装方式：壁挂
8.工作电源：DC12V/220mA（宽压8-16V DC）
9.工作温度：-20 °C 至 60 °C
10.工作湿度：10% 至 90%
11.产品尺寸：140*134*33mm</t>
  </si>
  <si>
    <t>DS-PS1-R</t>
  </si>
  <si>
    <t>【技术参数】
1、设备类型：声光警号（声光报警器）
2、警灯颜色：红色
3、报警音量：105dB
4、硬件接口：红/黑线
5、使用环境：室内/外（IP54室外防水）
6、外壳材质：PC+ABS
7、安装方式：壁挂
8、工作电源：DC12V/220mA（宽压8-16V DC）
9、工作温度：-20 °C 至 60 °C
10、工作湿度：10% 至 90%
11、产品尺寸：140*134*33mm
【产品功能】
1、声光报警：提供警灯闪烁和报警音频输出，用于提示警情处置
2、模式切换：支持关闭报警音频输出，仅提供警灯闪烁模式输出
3、内置水平仪：可通过内置水平仪调节安装角度，方便调试安装" "</t>
  </si>
  <si>
    <t>总线2防区扩展模块</t>
  </si>
  <si>
    <t>1.设备类型：总线2防区扩展模块
2.防区数量：2个
3.通讯接口：M-BUS
4.通讯线材：RVV2*1.5
5.通讯协议：M-BUS协议
6.外壳材质：塑料
7.使用环境：室内
8.工作电源：DC36V/20mA Max（主机总线供电）
9.工作温度：-10 °C 至 55 °C
10.工作湿度：10% 至 90%
11.产品尺寸：49.4*32*14.3mm</t>
  </si>
  <si>
    <t>DS-19M02-ZS</t>
  </si>
  <si>
    <t>【技术参数】
1、设备类型：总线2防区扩展模块
2、防区数量：2个
3、通讯接口：M-BUS
4、通讯线材：RVV2*1.5
5、通讯协议：M-BUS协议
6、外壳材质：塑料
7、使用环境：室内
8、工作电源：DC36V/20mA Max（主机总线供电）
9、工作温度：-10 °C 至 55 °C
10、工作湿度：10% 至 90%
11、产品尺寸：49.4*32*14.3mm
【产品功能】
1、防区扩展：通过RVV线方式接入报警主机，扩展2路有线防区
2、总线无极性：总线接口不区分极性，方便施工安装
3、地址设置：通过拨码方式设置模块地址，拨码地址不能重复</t>
  </si>
  <si>
    <t>入侵报警软件</t>
  </si>
  <si>
    <t>1、支持报警子系统管理能力，包含布防、撤防、消警控制操作；
2、支持防区管理能力，包含旁路、旁路恢复操作；
3、支持实时入侵报警能力；
4、支持历史入侵报警事件查询及导出能力；</t>
  </si>
  <si>
    <t>isc</t>
  </si>
  <si>
    <t>国标，RVV2*1.5</t>
  </si>
  <si>
    <t>RVV2*1.5</t>
  </si>
  <si>
    <t>国标，RVV4*0.75</t>
  </si>
  <si>
    <t>RVV4*0.75</t>
  </si>
  <si>
    <t>2.6、其它硬件</t>
  </si>
  <si>
    <t>1.名称：全局网络控制器 
2.参数：单核 A8@1GHz，1GB DDR3 / 4GB microSD，2× 百兆，2×RS-485，可扩展4 个 I/O/ 现场总线模块。协议：BACnet IP/MS/TP + Modbus TCP/RTU + LonWorks + KNX + SNMP + oBIX，编程：Niagara 图形化编程，功能极强，适合复杂联锁 / 算法。满足现场现场功能所需的点位授权费</t>
  </si>
  <si>
    <t>边缘网络控制器，3条RS485总线；支持编程数据管理等功能</t>
  </si>
  <si>
    <r>
      <rPr>
        <sz val="11"/>
        <color rgb="FF000000"/>
        <rFont val="Calibri"/>
        <charset val="134"/>
      </rPr>
      <t>1</t>
    </r>
    <r>
      <rPr>
        <sz val="11"/>
        <color rgb="FF000000"/>
        <rFont val="宋体"/>
        <charset val="134"/>
      </rPr>
      <t>、包含、空开、导轨及接线端子</t>
    </r>
    <r>
      <rPr>
        <sz val="11"/>
        <color rgb="FF000000"/>
        <rFont val="Calibri"/>
        <charset val="134"/>
      </rPr>
      <t xml:space="preserve">
2</t>
    </r>
    <r>
      <rPr>
        <sz val="11"/>
        <color rgb="FF000000"/>
        <rFont val="宋体"/>
        <charset val="134"/>
      </rPr>
      <t>、国产优质箱体，根据实际安装设备测量后成套定制</t>
    </r>
  </si>
  <si>
    <t>水浸变送器</t>
  </si>
  <si>
    <t>漏水探测器;固定电极式;可设置 5 级灵敏度;继电器：1×SPST(3A-30VDC 或 250VAC) 
工作环境：-10~50°C，5~95%RH，非凝露</t>
  </si>
  <si>
    <t>RS-48</t>
  </si>
  <si>
    <t>噪声监测传感器</t>
  </si>
  <si>
    <t>量程：30~120dBA（A 计权）。
精度：±0.5dB，分辨率 0.1dB。
频率：20Hz~12.5kHz。
供电：10~30VDC（建议 24V）。
防护：IP65，室外可用 输出信号为 0-10V。</t>
  </si>
  <si>
    <t>国产一线品牌</t>
  </si>
  <si>
    <t>RS-ZS-N01</t>
  </si>
  <si>
    <r>
      <rPr>
        <sz val="11"/>
        <color rgb="FF000000"/>
        <rFont val="宋体"/>
        <charset val="134"/>
      </rPr>
      <t>1.标准：不低于TIA/EIA568-C.2、ISO/IEC11801、IEC60332-1、GB 50311；</t>
    </r>
    <r>
      <rPr>
        <sz val="10"/>
        <rFont val="宋体"/>
        <charset val="134"/>
      </rPr>
      <t xml:space="preserve">
</t>
    </r>
    <r>
      <rPr>
        <sz val="11"/>
        <color rgb="FFFE0300"/>
        <rFont val="宋体"/>
        <charset val="134"/>
      </rPr>
      <t>2.导体规格：2.导体规格：多股绞合铜线，4×2×24AWG；</t>
    </r>
    <r>
      <rPr>
        <sz val="10"/>
        <rFont val="宋体"/>
        <charset val="134"/>
      </rPr>
      <t xml:space="preserve">
</t>
    </r>
    <r>
      <rPr>
        <sz val="11"/>
        <color rgb="FF000000"/>
        <rFont val="宋体"/>
        <charset val="134"/>
      </rPr>
      <t>3.护套材料：PVC，护套外径：6.3±0.3mm；</t>
    </r>
    <r>
      <rPr>
        <sz val="10"/>
        <rFont val="宋体"/>
        <charset val="134"/>
      </rPr>
      <t xml:space="preserve">
</t>
    </r>
    <r>
      <rPr>
        <sz val="11"/>
        <color rgb="FF000000"/>
        <rFont val="宋体"/>
        <charset val="134"/>
      </rPr>
      <t>4.插头规格：RJ45，8P8C；</t>
    </r>
    <r>
      <rPr>
        <sz val="10"/>
        <rFont val="宋体"/>
        <charset val="134"/>
      </rPr>
      <t xml:space="preserve">
</t>
    </r>
    <r>
      <rPr>
        <sz val="11"/>
        <color rgb="FF000000"/>
        <rFont val="宋体"/>
        <charset val="134"/>
      </rPr>
      <t>5.插拔次数：≥1000次；</t>
    </r>
    <r>
      <rPr>
        <sz val="10"/>
        <rFont val="宋体"/>
        <charset val="134"/>
      </rPr>
      <t xml:space="preserve">
</t>
    </r>
    <r>
      <rPr>
        <sz val="11"/>
        <color rgb="FF000000"/>
        <rFont val="宋体"/>
        <charset val="134"/>
      </rPr>
      <t>6.最高传输频率：不小于250MHz；</t>
    </r>
    <r>
      <rPr>
        <sz val="10"/>
        <rFont val="宋体"/>
        <charset val="134"/>
      </rPr>
      <t xml:space="preserve">
</t>
    </r>
    <r>
      <rPr>
        <sz val="11"/>
        <color rgb="FF000000"/>
        <rFont val="宋体"/>
        <charset val="134"/>
      </rPr>
      <t>7.线缆外护套上间隔印有商标、电缆编号、电缆类别、线规、防火等级、标准；</t>
    </r>
    <r>
      <rPr>
        <sz val="10"/>
        <rFont val="宋体"/>
        <charset val="134"/>
      </rPr>
      <t xml:space="preserve">
</t>
    </r>
    <r>
      <rPr>
        <sz val="11"/>
        <color rgb="FF000000"/>
        <rFont val="宋体"/>
        <charset val="134"/>
      </rPr>
      <t>8.支持以太网供电应用（POE/POE+）；</t>
    </r>
    <r>
      <rPr>
        <sz val="10"/>
        <rFont val="宋体"/>
        <charset val="134"/>
      </rPr>
      <t xml:space="preserve">
</t>
    </r>
    <r>
      <rPr>
        <sz val="11"/>
        <color rgb="FF000000"/>
        <rFont val="宋体"/>
        <charset val="134"/>
      </rPr>
      <t>9.描述：用于办公桌桌面跳线，长度2米</t>
    </r>
    <r>
      <rPr>
        <sz val="10"/>
        <rFont val="宋体"/>
        <charset val="134"/>
      </rPr>
      <t xml:space="preserve">
</t>
    </r>
    <r>
      <rPr>
        <sz val="11"/>
        <color rgb="FF000000"/>
        <rFont val="宋体"/>
        <charset val="134"/>
      </rPr>
      <t>10.为了保证性能的匹配性和稳定性，综合布线光纤系统、铜缆系统应采用同一品牌。</t>
    </r>
  </si>
  <si>
    <t>48口接入交换机-集成单电源</t>
  </si>
  <si>
    <t xml:space="preserve">在不插板卡情况下，单设备交换容量≥432Gbps 包转发率≥166Mpps, 提供≥48个千兆电接口、≥4个千兆SFP光接口。
1、支持堆叠技术或者虚拟化技术
2、支持 4K 802.1Q VLAN,支持Voice VLAN及Voice VLAN中可以同时识别多厂家的OUI地址，支持端口VLAN、MAC VLAN
3、支持标准IP ACL（基于IP地址的硬件ACL）支持扩展IP ACL（基于IP地址、TCP/UDP端口号的硬件ACL）
4、支持QOS
5、支持一对一、多对一、一对多的镜像
6、支持DHCP Server、DHCP Client、DHCP Snooping、DHCP Relay、DHCP Option82
7、支持广播风暴抑制
8、支持设备登陆管理的AAA安全认证、radius认证、支持802.1x、支持ssh2.0
9、支持STP/RSTP/MSTP协议
10、支持链路聚合（支持静态、动态链路聚合、千兆口聚合、万兆口聚合）
11、有标准的或私有的邻居发现协议
12、支持VLAN虚接口
13、支持 IPv4 /ipv6静态路由
14、支持OSPFv2、OSPFv3
15、支持SNMPv1/v2/v3，WEB网管，支持命令行接口配置，Telnet，SSH，Console口配置，支持系统日志，分级告警，调试信息输出，NTP/SNTP
★16、提供真实有效的工信部入网证复印件；
★17、原厂质保≥3年 </t>
  </si>
  <si>
    <t>RG-S2910-48GT4SFP-L</t>
  </si>
  <si>
    <t>48个10/100/1000Base-T自适应以太网接口，4个1GE SFP接口；
交换容量:598Gbps/5.98Tbps;包转发率:166Mpps;
支持4K 802.1Q VLAN，支持Port based VLAN，支持MAC based VLAN，支持Voice VLAN，支持GVRP；
支持STP、RSTP、MSTP；
支持DHCP Server ，支持DHCP Client ，支持DHCP Snooping，支持DHCP Relay；
支持VSU虚拟化技术，支持本地堆叠和远程堆叠，支持通过标准业务口实现虚拟化；
支持IPv4/IPv6静态路由、可扩展支持RIP、RIPng、OSPF、OSPFv3协议;
支持端口流量识别，支持端口流量限速，支持802.1p/DSCP/TOS流量分类，支持SP、WRR、DRR、SP+WFQ、 SP+WRR、SP+DRR、RED/WRED队列调度；
支持过滤非法的MAC地址，支持广播风暴抑制，支持BPDU Guard，支持CPP、NFPP，支持端口保护；
支持SNMP、CLI(Telnet/Console)、RMON、SSH、Syslog/Debug、NTP/SNTP、FTP、TFTP、Web、WIS公有云平台管理;</t>
  </si>
  <si>
    <t>国标，RVV4*1.0</t>
  </si>
  <si>
    <t>RVV4*1.0</t>
  </si>
  <si>
    <t>线缆</t>
  </si>
  <si>
    <t>三、等保测评</t>
  </si>
  <si>
    <t>二级等保测评</t>
  </si>
  <si>
    <t>定制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</si>
</sst>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2"/>
      <color theme="1"/>
      <name val="宋体"/>
      <charset val="134"/>
      <scheme val="minor"/>
    </font>
    <font>
      <sz val="11"/>
      <color rgb="FF000000"/>
      <name val="宋体"/>
      <charset val="134"/>
    </font>
    <font>
      <sz val="12"/>
      <color rgb="FF000000"/>
      <name val="等线"/>
      <charset val="134"/>
    </font>
    <font>
      <b/>
      <sz val="10"/>
      <color rgb="FF000000"/>
      <name val="宋体"/>
      <charset val="134"/>
    </font>
    <font>
      <b/>
      <sz val="10"/>
      <color rgb="FF000000"/>
      <name val="等线"/>
      <charset val="134"/>
    </font>
    <font>
      <b/>
      <sz val="11"/>
      <color rgb="FF000000"/>
      <name val="宋体"/>
      <charset val="134"/>
    </font>
    <font>
      <sz val="11"/>
      <color rgb="FFFE0300"/>
      <name val="宋体"/>
      <charset val="134"/>
    </font>
    <font>
      <sz val="10"/>
      <color rgb="FF000000"/>
      <name val="宋体"/>
      <charset val="134"/>
    </font>
    <font>
      <sz val="10"/>
      <color rgb="FF000000"/>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
      <sz val="11"/>
      <color rgb="FF000000"/>
      <name val="Calibri"/>
      <charset val="161"/>
    </font>
    <font>
      <sz val="11"/>
      <color rgb="FF000000"/>
      <name val="Calibri"/>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3" borderId="8"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9" applyNumberFormat="0" applyFill="0" applyAlignment="0" applyProtection="0">
      <alignment vertical="center"/>
    </xf>
    <xf numFmtId="0" fontId="16" fillId="0" borderId="9" applyNumberFormat="0" applyFill="0" applyAlignment="0" applyProtection="0">
      <alignment vertical="center"/>
    </xf>
    <xf numFmtId="0" fontId="17" fillId="0" borderId="10" applyNumberFormat="0" applyFill="0" applyAlignment="0" applyProtection="0">
      <alignment vertical="center"/>
    </xf>
    <xf numFmtId="0" fontId="17" fillId="0" borderId="0" applyNumberFormat="0" applyFill="0" applyBorder="0" applyAlignment="0" applyProtection="0">
      <alignment vertical="center"/>
    </xf>
    <xf numFmtId="0" fontId="18" fillId="4" borderId="11" applyNumberFormat="0" applyAlignment="0" applyProtection="0">
      <alignment vertical="center"/>
    </xf>
    <xf numFmtId="0" fontId="19" fillId="5" borderId="12" applyNumberFormat="0" applyAlignment="0" applyProtection="0">
      <alignment vertical="center"/>
    </xf>
    <xf numFmtId="0" fontId="20" fillId="5" borderId="11" applyNumberFormat="0" applyAlignment="0" applyProtection="0">
      <alignment vertical="center"/>
    </xf>
    <xf numFmtId="0" fontId="21" fillId="6" borderId="13" applyNumberFormat="0" applyAlignment="0" applyProtection="0">
      <alignment vertical="center"/>
    </xf>
    <xf numFmtId="0" fontId="22" fillId="0" borderId="14" applyNumberFormat="0" applyFill="0" applyAlignment="0" applyProtection="0">
      <alignment vertical="center"/>
    </xf>
    <xf numFmtId="0" fontId="23" fillId="0" borderId="15"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55">
    <xf numFmtId="0" fontId="0" fillId="0" borderId="0" xfId="0">
      <alignment vertical="center"/>
    </xf>
    <xf numFmtId="0" fontId="1" fillId="0" borderId="0" xfId="0" applyFont="1" applyAlignment="1">
      <alignment horizontal="center" vertical="center"/>
    </xf>
    <xf numFmtId="0" fontId="1" fillId="0" borderId="0" xfId="0" applyFont="1" applyAlignment="1">
      <alignment horizontal="left" vertical="center"/>
    </xf>
    <xf numFmtId="0" fontId="1" fillId="0" borderId="0" xfId="0" applyFont="1" applyAlignment="1">
      <alignment vertical="center" wrapText="1"/>
    </xf>
    <xf numFmtId="0" fontId="1" fillId="0" borderId="0" xfId="0" applyFont="1" applyAlignment="1">
      <alignment horizontal="center" vertical="center" wrapText="1"/>
    </xf>
    <xf numFmtId="0" fontId="2" fillId="0" borderId="0" xfId="0" applyFont="1">
      <alignment vertical="center"/>
    </xf>
    <xf numFmtId="0" fontId="1" fillId="0" borderId="0" xfId="0" applyFont="1">
      <alignment vertical="center"/>
    </xf>
    <xf numFmtId="0" fontId="2" fillId="0" borderId="0" xfId="0" applyFont="1" applyAlignment="1">
      <alignment horizontal="center" vertical="center"/>
    </xf>
    <xf numFmtId="0" fontId="2" fillId="0" borderId="0" xfId="0" applyFont="1" applyAlignment="1">
      <alignment vertical="center"/>
    </xf>
    <xf numFmtId="0" fontId="1" fillId="0" borderId="0" xfId="0" applyFont="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left" vertical="center"/>
    </xf>
    <xf numFmtId="0" fontId="3" fillId="0" borderId="1" xfId="0" applyFont="1" applyBorder="1" applyAlignment="1">
      <alignment horizontal="center" vertical="center" wrapText="1"/>
    </xf>
    <xf numFmtId="43" fontId="3" fillId="0" borderId="1" xfId="0" applyNumberFormat="1"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vertical="center"/>
    </xf>
    <xf numFmtId="0" fontId="1" fillId="0" borderId="1" xfId="0" applyFont="1" applyBorder="1" applyAlignment="1">
      <alignment horizontal="center" vertical="center"/>
    </xf>
    <xf numFmtId="0" fontId="5" fillId="0" borderId="0" xfId="0" applyFont="1" applyAlignment="1">
      <alignment horizontal="left"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lignment vertical="center"/>
    </xf>
    <xf numFmtId="0" fontId="1" fillId="0" borderId="1" xfId="0" applyFont="1" applyBorder="1" applyAlignment="1">
      <alignment horizontal="center" vertical="center"/>
    </xf>
    <xf numFmtId="0" fontId="1" fillId="0" borderId="1" xfId="0" applyFont="1" applyBorder="1" applyAlignment="1">
      <alignment vertical="center"/>
    </xf>
    <xf numFmtId="0" fontId="1" fillId="0" borderId="1" xfId="0" applyFont="1" applyBorder="1" applyAlignment="1">
      <alignment horizontal="left" vertical="center"/>
    </xf>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1" fillId="0" borderId="1" xfId="0" applyFont="1" applyBorder="1" applyAlignment="1">
      <alignment horizontal="left" vertical="center" wrapText="1"/>
    </xf>
    <xf numFmtId="0" fontId="1" fillId="2" borderId="1" xfId="0" applyFont="1" applyFill="1" applyBorder="1" applyAlignment="1">
      <alignment horizontal="center" vertical="center"/>
    </xf>
    <xf numFmtId="0" fontId="1" fillId="2" borderId="1" xfId="0" applyFont="1" applyFill="1" applyBorder="1" applyAlignment="1">
      <alignment vertical="center"/>
    </xf>
    <xf numFmtId="0" fontId="1" fillId="0" borderId="3" xfId="0" applyFont="1" applyBorder="1" applyAlignment="1">
      <alignment horizontal="lef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xf numFmtId="0" fontId="7" fillId="0" borderId="1" xfId="0" applyFont="1" applyFill="1" applyBorder="1" applyAlignment="1">
      <alignment vertical="center" wrapText="1"/>
    </xf>
    <xf numFmtId="0" fontId="7" fillId="0" borderId="1" xfId="0" applyFont="1" applyFill="1" applyBorder="1" applyAlignment="1">
      <alignment horizontal="left" vertical="center"/>
    </xf>
    <xf numFmtId="0" fontId="8" fillId="0" borderId="0" xfId="0" applyFont="1">
      <alignment vertical="center"/>
    </xf>
    <xf numFmtId="0" fontId="4" fillId="0" borderId="1" xfId="0" applyFont="1" applyBorder="1" applyAlignment="1">
      <alignment horizontal="center" vertical="center" wrapText="1"/>
    </xf>
    <xf numFmtId="49" fontId="1" fillId="0" borderId="1" xfId="0" applyNumberFormat="1" applyFont="1" applyBorder="1" applyAlignment="1">
      <alignment horizontal="center" vertical="center" wrapText="1"/>
    </xf>
    <xf numFmtId="0" fontId="1" fillId="0" borderId="1" xfId="0" applyFont="1" applyBorder="1" applyAlignment="1">
      <alignment vertical="center" wrapText="1"/>
    </xf>
    <xf numFmtId="0" fontId="1" fillId="0" borderId="5" xfId="0" applyFont="1" applyBorder="1" applyAlignment="1">
      <alignment horizontal="center" vertical="center" wrapText="1"/>
    </xf>
    <xf numFmtId="0" fontId="1" fillId="0" borderId="5" xfId="0" applyFont="1" applyBorder="1" applyAlignment="1">
      <alignment horizontal="left" vertical="center" wrapText="1"/>
    </xf>
    <xf numFmtId="0" fontId="1" fillId="0" borderId="1" xfId="0" applyFont="1" applyBorder="1" applyAlignment="1">
      <alignment vertical="center"/>
    </xf>
    <xf numFmtId="0" fontId="1" fillId="0" borderId="3" xfId="0" applyFont="1" applyBorder="1" applyAlignment="1">
      <alignment vertical="center" wrapText="1"/>
    </xf>
    <xf numFmtId="0" fontId="1" fillId="0" borderId="3" xfId="0" applyFont="1" applyBorder="1" applyAlignment="1">
      <alignment horizontal="center" vertical="center" wrapText="1"/>
    </xf>
    <xf numFmtId="0" fontId="1" fillId="0" borderId="3" xfId="0" applyFont="1" applyBorder="1">
      <alignment vertical="center"/>
    </xf>
    <xf numFmtId="0" fontId="1" fillId="0" borderId="3" xfId="0" applyFont="1" applyBorder="1" applyAlignment="1">
      <alignment horizontal="center" vertical="center"/>
    </xf>
    <xf numFmtId="0" fontId="1" fillId="2" borderId="1" xfId="0" applyFont="1" applyFill="1" applyBorder="1" applyAlignment="1">
      <alignment horizontal="center" vertical="center" wrapText="1"/>
    </xf>
    <xf numFmtId="0" fontId="1" fillId="0" borderId="6"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vertical="center"/>
    </xf>
    <xf numFmtId="0" fontId="1" fillId="0" borderId="7" xfId="0" applyFont="1" applyBorder="1" applyAlignment="1">
      <alignment horizontal="center" vertical="center" wrapText="1"/>
    </xf>
    <xf numFmtId="0" fontId="5" fillId="0" borderId="1" xfId="0" applyFont="1" applyBorder="1" applyAlignment="1">
      <alignment horizontal="left" vertical="center"/>
    </xf>
    <xf numFmtId="0" fontId="2" fillId="0" borderId="1" xfId="0" applyFont="1" applyBorder="1">
      <alignment vertical="center"/>
    </xf>
    <xf numFmtId="0" fontId="1" fillId="0" borderId="6"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numFmt numFmtId="176" formatCode="&quot;-&quo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outlinePr summaryBelow="0" summaryRight="0"/>
  </sheetPr>
  <dimension ref="A1:K110"/>
  <sheetViews>
    <sheetView tabSelected="1" zoomScale="115" zoomScaleNormal="115" workbookViewId="0">
      <pane ySplit="1" topLeftCell="A51" activePane="bottomLeft" state="frozen"/>
      <selection/>
      <selection pane="bottomLeft" activeCell="C54" sqref="C54"/>
    </sheetView>
  </sheetViews>
  <sheetFormatPr defaultColWidth="9" defaultRowHeight="13.5" customHeight="1"/>
  <cols>
    <col min="1" max="1" width="9" style="1"/>
    <col min="2" max="2" width="23.2666666666667" style="2" customWidth="1"/>
    <col min="3" max="3" width="30.25" style="3" customWidth="1"/>
    <col min="4" max="4" width="23.75" style="4" customWidth="1"/>
    <col min="5" max="5" width="9" style="5"/>
    <col min="6" max="6" width="11" style="6" customWidth="1"/>
    <col min="7" max="7" width="9" style="7"/>
    <col min="8" max="8" width="26" style="8" customWidth="1"/>
    <col min="9" max="9" width="29.4583333333333" style="5" customWidth="1"/>
    <col min="10" max="10" width="18.725" style="6" customWidth="1"/>
    <col min="11" max="11" width="14.725" style="9" customWidth="1"/>
  </cols>
  <sheetData>
    <row r="1" ht="21" customHeight="1" spans="1:11">
      <c r="A1" s="10" t="s">
        <v>0</v>
      </c>
      <c r="B1" s="11" t="s">
        <v>1</v>
      </c>
      <c r="C1" s="12" t="s">
        <v>2</v>
      </c>
      <c r="D1" s="12" t="s">
        <v>3</v>
      </c>
      <c r="E1" s="13" t="s">
        <v>4</v>
      </c>
      <c r="F1" s="10" t="s">
        <v>5</v>
      </c>
      <c r="G1" s="14" t="s">
        <v>6</v>
      </c>
      <c r="H1" s="15" t="s">
        <v>7</v>
      </c>
      <c r="I1" s="14" t="s">
        <v>8</v>
      </c>
      <c r="J1" s="37" t="s">
        <v>9</v>
      </c>
      <c r="K1" s="37" t="s">
        <v>10</v>
      </c>
    </row>
    <row r="2" ht="21" customHeight="1" spans="1:11">
      <c r="A2" s="16"/>
      <c r="B2" s="17" t="s">
        <v>11</v>
      </c>
      <c r="C2" s="18"/>
      <c r="D2" s="19"/>
      <c r="E2" s="20"/>
      <c r="F2" s="20"/>
      <c r="G2" s="21"/>
      <c r="H2" s="22"/>
      <c r="I2" s="20"/>
      <c r="J2" s="20"/>
      <c r="K2" s="21"/>
    </row>
    <row r="3" s="3" customFormat="1" ht="21" customHeight="1" spans="1:11">
      <c r="A3" s="19">
        <v>1</v>
      </c>
      <c r="B3" s="23" t="s">
        <v>12</v>
      </c>
      <c r="C3" s="24" t="s">
        <v>13</v>
      </c>
      <c r="D3" s="25" t="s">
        <v>14</v>
      </c>
      <c r="E3" s="16">
        <v>24</v>
      </c>
      <c r="F3" s="19" t="s">
        <v>15</v>
      </c>
      <c r="G3" s="26" t="s">
        <v>16</v>
      </c>
      <c r="H3" s="27" t="s">
        <v>17</v>
      </c>
      <c r="I3" s="18" t="s">
        <v>18</v>
      </c>
      <c r="J3" s="18" t="s">
        <v>19</v>
      </c>
      <c r="K3" s="38" t="s">
        <v>20</v>
      </c>
    </row>
    <row r="4" ht="21" customHeight="1" spans="1:11">
      <c r="A4" s="19">
        <v>2</v>
      </c>
      <c r="B4" s="23" t="s">
        <v>21</v>
      </c>
      <c r="C4" s="28" t="s">
        <v>22</v>
      </c>
      <c r="D4" s="19" t="s">
        <v>23</v>
      </c>
      <c r="E4" s="16">
        <v>9</v>
      </c>
      <c r="F4" s="19" t="s">
        <v>15</v>
      </c>
      <c r="G4" s="19" t="s">
        <v>24</v>
      </c>
      <c r="H4" s="18" t="s">
        <v>25</v>
      </c>
      <c r="I4" s="18" t="s">
        <v>26</v>
      </c>
      <c r="J4" s="18" t="s">
        <v>19</v>
      </c>
      <c r="K4" s="38" t="s">
        <v>20</v>
      </c>
    </row>
    <row r="5" ht="21" customHeight="1" spans="1:11">
      <c r="A5" s="19">
        <v>3</v>
      </c>
      <c r="B5" s="23" t="s">
        <v>27</v>
      </c>
      <c r="C5" s="28" t="s">
        <v>28</v>
      </c>
      <c r="D5" s="19" t="s">
        <v>23</v>
      </c>
      <c r="E5" s="16">
        <v>129</v>
      </c>
      <c r="F5" s="19" t="s">
        <v>15</v>
      </c>
      <c r="G5" s="19" t="s">
        <v>24</v>
      </c>
      <c r="H5" s="18" t="s">
        <v>29</v>
      </c>
      <c r="I5" s="18" t="s">
        <v>30</v>
      </c>
      <c r="J5" s="18" t="s">
        <v>19</v>
      </c>
      <c r="K5" s="38" t="s">
        <v>20</v>
      </c>
    </row>
    <row r="6" ht="21" customHeight="1" spans="1:11">
      <c r="A6" s="19">
        <v>4</v>
      </c>
      <c r="B6" s="23" t="s">
        <v>31</v>
      </c>
      <c r="C6" s="28" t="s">
        <v>32</v>
      </c>
      <c r="D6" s="25" t="s">
        <v>33</v>
      </c>
      <c r="E6" s="16">
        <v>129</v>
      </c>
      <c r="F6" s="19" t="s">
        <v>15</v>
      </c>
      <c r="G6" s="21" t="s">
        <v>34</v>
      </c>
      <c r="H6" s="22" t="s">
        <v>35</v>
      </c>
      <c r="I6" s="18" t="s">
        <v>36</v>
      </c>
      <c r="J6" s="18" t="s">
        <v>19</v>
      </c>
      <c r="K6" s="38" t="s">
        <v>20</v>
      </c>
    </row>
    <row r="7" ht="21" customHeight="1" spans="1:11">
      <c r="A7" s="19">
        <v>5</v>
      </c>
      <c r="B7" s="23" t="s">
        <v>37</v>
      </c>
      <c r="C7" s="24" t="s">
        <v>38</v>
      </c>
      <c r="D7" s="19" t="s">
        <v>39</v>
      </c>
      <c r="E7" s="16">
        <v>129</v>
      </c>
      <c r="F7" s="19" t="s">
        <v>15</v>
      </c>
      <c r="G7" s="29" t="s">
        <v>24</v>
      </c>
      <c r="H7" s="30" t="s">
        <v>40</v>
      </c>
      <c r="I7" s="18" t="s">
        <v>38</v>
      </c>
      <c r="J7" s="18" t="s">
        <v>19</v>
      </c>
      <c r="K7" s="38" t="s">
        <v>20</v>
      </c>
    </row>
    <row r="8" ht="21" customHeight="1" spans="1:11">
      <c r="A8" s="19">
        <v>6</v>
      </c>
      <c r="B8" s="23" t="s">
        <v>41</v>
      </c>
      <c r="C8" s="31" t="s">
        <v>42</v>
      </c>
      <c r="D8" s="19" t="s">
        <v>39</v>
      </c>
      <c r="E8" s="16">
        <v>13</v>
      </c>
      <c r="F8" s="19" t="s">
        <v>15</v>
      </c>
      <c r="G8" s="21" t="s">
        <v>24</v>
      </c>
      <c r="H8" s="22" t="s">
        <v>43</v>
      </c>
      <c r="I8" s="18" t="s">
        <v>44</v>
      </c>
      <c r="J8" s="18" t="s">
        <v>19</v>
      </c>
      <c r="K8" s="38" t="s">
        <v>20</v>
      </c>
    </row>
    <row r="9" ht="21" customHeight="1" spans="1:11">
      <c r="A9" s="19">
        <v>7</v>
      </c>
      <c r="B9" s="23" t="s">
        <v>45</v>
      </c>
      <c r="C9" s="28" t="s">
        <v>46</v>
      </c>
      <c r="D9" s="19" t="s">
        <v>23</v>
      </c>
      <c r="E9" s="16">
        <v>362</v>
      </c>
      <c r="F9" s="19" t="s">
        <v>15</v>
      </c>
      <c r="G9" s="21" t="s">
        <v>24</v>
      </c>
      <c r="H9" s="22" t="s">
        <v>47</v>
      </c>
      <c r="I9" s="18" t="s">
        <v>46</v>
      </c>
      <c r="J9" s="18" t="s">
        <v>19</v>
      </c>
      <c r="K9" s="38" t="s">
        <v>20</v>
      </c>
    </row>
    <row r="10" ht="21" customHeight="1" spans="1:11">
      <c r="A10" s="19">
        <v>8</v>
      </c>
      <c r="B10" s="23" t="s">
        <v>48</v>
      </c>
      <c r="C10" s="28" t="s">
        <v>49</v>
      </c>
      <c r="D10" s="19" t="s">
        <v>23</v>
      </c>
      <c r="E10" s="16">
        <v>75</v>
      </c>
      <c r="F10" s="19" t="s">
        <v>15</v>
      </c>
      <c r="G10" s="21" t="s">
        <v>24</v>
      </c>
      <c r="H10" s="22" t="s">
        <v>50</v>
      </c>
      <c r="I10" s="18" t="s">
        <v>51</v>
      </c>
      <c r="J10" s="18" t="s">
        <v>19</v>
      </c>
      <c r="K10" s="38" t="s">
        <v>20</v>
      </c>
    </row>
    <row r="11" ht="21" customHeight="1" spans="1:11">
      <c r="A11" s="19">
        <v>9</v>
      </c>
      <c r="B11" s="23" t="s">
        <v>52</v>
      </c>
      <c r="C11" s="24" t="s">
        <v>53</v>
      </c>
      <c r="D11" s="19" t="s">
        <v>23</v>
      </c>
      <c r="E11" s="16">
        <v>26</v>
      </c>
      <c r="F11" s="19" t="s">
        <v>15</v>
      </c>
      <c r="G11" s="29" t="s">
        <v>24</v>
      </c>
      <c r="H11" s="30" t="s">
        <v>54</v>
      </c>
      <c r="I11" s="18" t="s">
        <v>53</v>
      </c>
      <c r="J11" s="18" t="s">
        <v>19</v>
      </c>
      <c r="K11" s="38" t="s">
        <v>20</v>
      </c>
    </row>
    <row r="12" ht="21" customHeight="1" spans="1:11">
      <c r="A12" s="19">
        <v>10</v>
      </c>
      <c r="B12" s="23" t="s">
        <v>55</v>
      </c>
      <c r="C12" s="28" t="s">
        <v>56</v>
      </c>
      <c r="D12" s="19" t="s">
        <v>57</v>
      </c>
      <c r="E12" s="16">
        <v>2</v>
      </c>
      <c r="F12" s="19" t="s">
        <v>15</v>
      </c>
      <c r="G12" s="21" t="s">
        <v>24</v>
      </c>
      <c r="H12" s="22" t="s">
        <v>58</v>
      </c>
      <c r="I12" s="18" t="s">
        <v>59</v>
      </c>
      <c r="J12" s="18" t="s">
        <v>19</v>
      </c>
      <c r="K12" s="38" t="s">
        <v>20</v>
      </c>
    </row>
    <row r="13" ht="21" customHeight="1" spans="1:11">
      <c r="A13" s="19">
        <v>11</v>
      </c>
      <c r="B13" s="23" t="s">
        <v>60</v>
      </c>
      <c r="C13" s="24" t="s">
        <v>61</v>
      </c>
      <c r="D13" s="19" t="s">
        <v>57</v>
      </c>
      <c r="E13" s="16">
        <v>89</v>
      </c>
      <c r="F13" s="19" t="s">
        <v>15</v>
      </c>
      <c r="G13" s="29" t="s">
        <v>24</v>
      </c>
      <c r="H13" s="27" t="s">
        <v>62</v>
      </c>
      <c r="I13" s="18" t="s">
        <v>63</v>
      </c>
      <c r="J13" s="18" t="s">
        <v>19</v>
      </c>
      <c r="K13" s="38" t="s">
        <v>20</v>
      </c>
    </row>
    <row r="14" ht="21" customHeight="1" spans="1:11">
      <c r="A14" s="19">
        <v>12</v>
      </c>
      <c r="B14" s="23" t="s">
        <v>64</v>
      </c>
      <c r="C14" s="28" t="s">
        <v>65</v>
      </c>
      <c r="D14" s="19" t="s">
        <v>57</v>
      </c>
      <c r="E14" s="16">
        <v>100</v>
      </c>
      <c r="F14" s="19" t="s">
        <v>66</v>
      </c>
      <c r="G14" s="29" t="s">
        <v>24</v>
      </c>
      <c r="H14" s="27" t="s">
        <v>67</v>
      </c>
      <c r="I14" s="20" t="s">
        <v>68</v>
      </c>
      <c r="J14" s="18" t="s">
        <v>19</v>
      </c>
      <c r="K14" s="38" t="s">
        <v>20</v>
      </c>
    </row>
    <row r="15" ht="21" customHeight="1" spans="1:11">
      <c r="A15" s="19">
        <v>13</v>
      </c>
      <c r="B15" s="23" t="s">
        <v>69</v>
      </c>
      <c r="C15" s="28" t="s">
        <v>70</v>
      </c>
      <c r="D15" s="19" t="s">
        <v>57</v>
      </c>
      <c r="E15" s="16">
        <v>168</v>
      </c>
      <c r="F15" s="19" t="s">
        <v>66</v>
      </c>
      <c r="G15" s="21" t="s">
        <v>71</v>
      </c>
      <c r="H15" s="22" t="s">
        <v>72</v>
      </c>
      <c r="I15" s="20" t="s">
        <v>70</v>
      </c>
      <c r="J15" s="18" t="s">
        <v>19</v>
      </c>
      <c r="K15" s="38" t="s">
        <v>20</v>
      </c>
    </row>
    <row r="16" ht="21" customHeight="1" spans="1:11">
      <c r="A16" s="19">
        <v>14</v>
      </c>
      <c r="B16" s="32" t="s">
        <v>73</v>
      </c>
      <c r="C16" s="28" t="s">
        <v>74</v>
      </c>
      <c r="D16" s="19" t="s">
        <v>75</v>
      </c>
      <c r="E16" s="16">
        <v>129</v>
      </c>
      <c r="F16" s="19" t="s">
        <v>66</v>
      </c>
      <c r="G16" s="21" t="s">
        <v>76</v>
      </c>
      <c r="H16" s="18" t="s">
        <v>77</v>
      </c>
      <c r="I16" s="20" t="s">
        <v>78</v>
      </c>
      <c r="J16" s="18" t="s">
        <v>19</v>
      </c>
      <c r="K16" s="38" t="s">
        <v>20</v>
      </c>
    </row>
    <row r="17" ht="21" customHeight="1" spans="1:11">
      <c r="A17" s="19">
        <v>15</v>
      </c>
      <c r="B17" s="32" t="s">
        <v>79</v>
      </c>
      <c r="C17" s="28" t="s">
        <v>80</v>
      </c>
      <c r="D17" s="19" t="s">
        <v>81</v>
      </c>
      <c r="E17" s="16">
        <v>129</v>
      </c>
      <c r="F17" s="19" t="s">
        <v>82</v>
      </c>
      <c r="G17" s="21" t="s">
        <v>83</v>
      </c>
      <c r="H17" s="22" t="s">
        <v>84</v>
      </c>
      <c r="I17" s="20" t="s">
        <v>85</v>
      </c>
      <c r="J17" s="18" t="s">
        <v>19</v>
      </c>
      <c r="K17" s="38" t="s">
        <v>20</v>
      </c>
    </row>
    <row r="18" ht="21" customHeight="1" spans="1:11">
      <c r="A18" s="19">
        <v>16</v>
      </c>
      <c r="B18" s="32" t="s">
        <v>86</v>
      </c>
      <c r="C18" s="28" t="s">
        <v>87</v>
      </c>
      <c r="D18" s="19" t="s">
        <v>81</v>
      </c>
      <c r="E18" s="16">
        <v>34</v>
      </c>
      <c r="F18" s="19" t="s">
        <v>66</v>
      </c>
      <c r="G18" s="21" t="s">
        <v>83</v>
      </c>
      <c r="H18" s="22" t="s">
        <v>88</v>
      </c>
      <c r="I18" s="20" t="s">
        <v>89</v>
      </c>
      <c r="J18" s="18" t="s">
        <v>19</v>
      </c>
      <c r="K18" s="38" t="s">
        <v>20</v>
      </c>
    </row>
    <row r="19" ht="21" customHeight="1" spans="1:11">
      <c r="A19" s="19">
        <v>17</v>
      </c>
      <c r="B19" s="32" t="s">
        <v>90</v>
      </c>
      <c r="C19" s="28" t="s">
        <v>91</v>
      </c>
      <c r="D19" s="19" t="s">
        <v>75</v>
      </c>
      <c r="E19" s="19">
        <v>130000</v>
      </c>
      <c r="F19" s="19" t="s">
        <v>92</v>
      </c>
      <c r="G19" s="29" t="s">
        <v>76</v>
      </c>
      <c r="H19" s="27" t="s">
        <v>93</v>
      </c>
      <c r="I19" s="18" t="s">
        <v>91</v>
      </c>
      <c r="J19" s="18" t="s">
        <v>19</v>
      </c>
      <c r="K19" s="38" t="s">
        <v>20</v>
      </c>
    </row>
    <row r="20" ht="21" customHeight="1" spans="1:11">
      <c r="A20" s="19">
        <v>18</v>
      </c>
      <c r="B20" s="32" t="s">
        <v>94</v>
      </c>
      <c r="C20" s="28" t="s">
        <v>95</v>
      </c>
      <c r="D20" s="19" t="s">
        <v>75</v>
      </c>
      <c r="E20" s="19">
        <v>24</v>
      </c>
      <c r="F20" s="19" t="s">
        <v>66</v>
      </c>
      <c r="G20" s="21" t="s">
        <v>76</v>
      </c>
      <c r="H20" s="18" t="s">
        <v>96</v>
      </c>
      <c r="I20" s="18" t="s">
        <v>95</v>
      </c>
      <c r="J20" s="18" t="s">
        <v>19</v>
      </c>
      <c r="K20" s="38" t="s">
        <v>20</v>
      </c>
    </row>
    <row r="21" ht="21" customHeight="1" spans="1:11">
      <c r="A21" s="19">
        <v>19</v>
      </c>
      <c r="B21" s="32" t="s">
        <v>97</v>
      </c>
      <c r="C21" s="28" t="s">
        <v>98</v>
      </c>
      <c r="D21" s="19" t="s">
        <v>75</v>
      </c>
      <c r="E21" s="19">
        <f>E17</f>
        <v>129</v>
      </c>
      <c r="F21" s="19" t="s">
        <v>66</v>
      </c>
      <c r="G21" s="21" t="s">
        <v>76</v>
      </c>
      <c r="H21" s="22" t="s">
        <v>99</v>
      </c>
      <c r="I21" s="20" t="s">
        <v>98</v>
      </c>
      <c r="J21" s="18" t="s">
        <v>19</v>
      </c>
      <c r="K21" s="38" t="s">
        <v>20</v>
      </c>
    </row>
    <row r="22" ht="21" customHeight="1" spans="1:11">
      <c r="A22" s="19">
        <v>20</v>
      </c>
      <c r="B22" s="32" t="s">
        <v>100</v>
      </c>
      <c r="C22" s="28" t="s">
        <v>101</v>
      </c>
      <c r="D22" s="19" t="s">
        <v>75</v>
      </c>
      <c r="E22" s="19">
        <f>E17*2</f>
        <v>258</v>
      </c>
      <c r="F22" s="19" t="s">
        <v>66</v>
      </c>
      <c r="G22" s="21" t="s">
        <v>76</v>
      </c>
      <c r="H22" s="22" t="s">
        <v>102</v>
      </c>
      <c r="I22" s="20" t="s">
        <v>103</v>
      </c>
      <c r="J22" s="18" t="s">
        <v>19</v>
      </c>
      <c r="K22" s="38" t="s">
        <v>20</v>
      </c>
    </row>
    <row r="23" ht="21" customHeight="1" spans="1:11">
      <c r="A23" s="19">
        <v>21</v>
      </c>
      <c r="B23" s="32" t="s">
        <v>104</v>
      </c>
      <c r="C23" s="28" t="s">
        <v>105</v>
      </c>
      <c r="D23" s="19" t="s">
        <v>106</v>
      </c>
      <c r="E23" s="16">
        <v>12</v>
      </c>
      <c r="F23" s="19" t="s">
        <v>15</v>
      </c>
      <c r="G23" s="29" t="s">
        <v>107</v>
      </c>
      <c r="H23" s="27" t="s">
        <v>108</v>
      </c>
      <c r="I23" s="39" t="s">
        <v>109</v>
      </c>
      <c r="J23" s="18" t="s">
        <v>19</v>
      </c>
      <c r="K23" s="38" t="s">
        <v>20</v>
      </c>
    </row>
    <row r="24" ht="21" customHeight="1" spans="1:11">
      <c r="A24" s="19">
        <v>22</v>
      </c>
      <c r="B24" s="32" t="s">
        <v>110</v>
      </c>
      <c r="C24" s="28" t="s">
        <v>111</v>
      </c>
      <c r="D24" s="19" t="s">
        <v>106</v>
      </c>
      <c r="E24" s="19">
        <v>24</v>
      </c>
      <c r="F24" s="19" t="s">
        <v>66</v>
      </c>
      <c r="G24" s="29" t="s">
        <v>107</v>
      </c>
      <c r="H24" s="27" t="s">
        <v>112</v>
      </c>
      <c r="I24" s="18" t="s">
        <v>113</v>
      </c>
      <c r="J24" s="18" t="s">
        <v>19</v>
      </c>
      <c r="K24" s="38" t="s">
        <v>20</v>
      </c>
    </row>
    <row r="25" ht="21" customHeight="1" spans="1:11">
      <c r="A25" s="19">
        <v>23</v>
      </c>
      <c r="B25" s="32" t="s">
        <v>114</v>
      </c>
      <c r="C25" s="28" t="s">
        <v>115</v>
      </c>
      <c r="D25" s="19" t="s">
        <v>75</v>
      </c>
      <c r="E25" s="19">
        <v>3800</v>
      </c>
      <c r="F25" s="19" t="s">
        <v>92</v>
      </c>
      <c r="G25" s="21" t="s">
        <v>76</v>
      </c>
      <c r="H25" s="22" t="s">
        <v>116</v>
      </c>
      <c r="I25" s="20" t="s">
        <v>115</v>
      </c>
      <c r="J25" s="18" t="s">
        <v>19</v>
      </c>
      <c r="K25" s="38" t="s">
        <v>20</v>
      </c>
    </row>
    <row r="26" ht="21" customHeight="1" spans="1:11">
      <c r="A26" s="19">
        <v>24</v>
      </c>
      <c r="B26" s="32" t="s">
        <v>114</v>
      </c>
      <c r="C26" s="28" t="s">
        <v>117</v>
      </c>
      <c r="D26" s="19" t="s">
        <v>75</v>
      </c>
      <c r="E26" s="19">
        <v>7200</v>
      </c>
      <c r="F26" s="19" t="s">
        <v>92</v>
      </c>
      <c r="G26" s="21" t="s">
        <v>76</v>
      </c>
      <c r="H26" s="22" t="s">
        <v>118</v>
      </c>
      <c r="I26" s="20" t="s">
        <v>117</v>
      </c>
      <c r="J26" s="18" t="s">
        <v>19</v>
      </c>
      <c r="K26" s="38" t="s">
        <v>20</v>
      </c>
    </row>
    <row r="27" ht="21" customHeight="1" spans="1:11">
      <c r="A27" s="19">
        <v>25</v>
      </c>
      <c r="B27" s="32" t="s">
        <v>114</v>
      </c>
      <c r="C27" s="28" t="s">
        <v>119</v>
      </c>
      <c r="D27" s="19" t="s">
        <v>75</v>
      </c>
      <c r="E27" s="19">
        <v>5000</v>
      </c>
      <c r="F27" s="19" t="s">
        <v>92</v>
      </c>
      <c r="G27" s="21" t="s">
        <v>76</v>
      </c>
      <c r="H27" s="22" t="s">
        <v>120</v>
      </c>
      <c r="I27" s="20" t="s">
        <v>119</v>
      </c>
      <c r="J27" s="18" t="s">
        <v>19</v>
      </c>
      <c r="K27" s="38" t="s">
        <v>20</v>
      </c>
    </row>
    <row r="28" ht="21" customHeight="1" spans="1:11">
      <c r="A28" s="19">
        <v>26</v>
      </c>
      <c r="B28" s="32" t="s">
        <v>114</v>
      </c>
      <c r="C28" s="28" t="s">
        <v>121</v>
      </c>
      <c r="D28" s="19" t="s">
        <v>75</v>
      </c>
      <c r="E28" s="19">
        <v>154</v>
      </c>
      <c r="F28" s="19" t="s">
        <v>92</v>
      </c>
      <c r="G28" s="21" t="s">
        <v>76</v>
      </c>
      <c r="H28" s="22" t="s">
        <v>122</v>
      </c>
      <c r="I28" s="20" t="s">
        <v>121</v>
      </c>
      <c r="J28" s="18" t="s">
        <v>19</v>
      </c>
      <c r="K28" s="38" t="s">
        <v>20</v>
      </c>
    </row>
    <row r="29" ht="21" customHeight="1" spans="1:11">
      <c r="A29" s="19">
        <v>27</v>
      </c>
      <c r="B29" s="32" t="s">
        <v>123</v>
      </c>
      <c r="C29" s="28" t="s">
        <v>124</v>
      </c>
      <c r="D29" s="19" t="s">
        <v>125</v>
      </c>
      <c r="E29" s="19">
        <v>25000</v>
      </c>
      <c r="F29" s="19" t="s">
        <v>92</v>
      </c>
      <c r="G29" s="21" t="s">
        <v>125</v>
      </c>
      <c r="H29" s="22" t="s">
        <v>126</v>
      </c>
      <c r="I29" s="20" t="s">
        <v>127</v>
      </c>
      <c r="J29" s="18" t="s">
        <v>19</v>
      </c>
      <c r="K29" s="38" t="s">
        <v>20</v>
      </c>
    </row>
    <row r="30" ht="21" customHeight="1" spans="1:11">
      <c r="A30" s="19">
        <v>28</v>
      </c>
      <c r="B30" s="32" t="s">
        <v>128</v>
      </c>
      <c r="C30" s="28" t="s">
        <v>129</v>
      </c>
      <c r="D30" s="19" t="s">
        <v>125</v>
      </c>
      <c r="E30" s="19">
        <v>1</v>
      </c>
      <c r="F30" s="19" t="s">
        <v>130</v>
      </c>
      <c r="G30" s="21"/>
      <c r="H30" s="22"/>
      <c r="I30" s="20"/>
      <c r="J30" s="18" t="s">
        <v>19</v>
      </c>
      <c r="K30" s="38" t="s">
        <v>20</v>
      </c>
    </row>
    <row r="31" ht="21" customHeight="1" spans="1:11">
      <c r="A31" s="19"/>
      <c r="B31" s="33" t="s">
        <v>131</v>
      </c>
      <c r="C31" s="28"/>
      <c r="D31" s="19"/>
      <c r="E31" s="20"/>
      <c r="F31" s="20"/>
      <c r="G31" s="21"/>
      <c r="H31" s="22"/>
      <c r="I31" s="20"/>
      <c r="J31" s="18"/>
      <c r="K31" s="38"/>
    </row>
    <row r="32" ht="21" customHeight="1" spans="1:11">
      <c r="A32" s="19"/>
      <c r="B32" s="32" t="s">
        <v>132</v>
      </c>
      <c r="C32" s="28"/>
      <c r="D32" s="19"/>
      <c r="E32" s="20"/>
      <c r="F32" s="20"/>
      <c r="G32" s="21"/>
      <c r="H32" s="22"/>
      <c r="I32" s="20"/>
      <c r="J32" s="18"/>
      <c r="K32" s="38"/>
    </row>
    <row r="33" ht="21" customHeight="1" spans="1:11">
      <c r="A33" s="19">
        <v>1</v>
      </c>
      <c r="B33" s="32" t="s">
        <v>133</v>
      </c>
      <c r="C33" s="28" t="s">
        <v>134</v>
      </c>
      <c r="D33" s="19" t="s">
        <v>135</v>
      </c>
      <c r="E33" s="19">
        <v>6</v>
      </c>
      <c r="F33" s="19" t="s">
        <v>15</v>
      </c>
      <c r="G33" s="21" t="s">
        <v>135</v>
      </c>
      <c r="H33" s="22" t="s">
        <v>136</v>
      </c>
      <c r="I33" s="18" t="s">
        <v>137</v>
      </c>
      <c r="J33" s="18" t="s">
        <v>19</v>
      </c>
      <c r="K33" s="38" t="s">
        <v>20</v>
      </c>
    </row>
    <row r="34" ht="21" customHeight="1" spans="1:11">
      <c r="A34" s="19">
        <v>2</v>
      </c>
      <c r="B34" s="32" t="s">
        <v>138</v>
      </c>
      <c r="C34" s="28" t="s">
        <v>139</v>
      </c>
      <c r="D34" s="19" t="s">
        <v>135</v>
      </c>
      <c r="E34" s="19">
        <v>68</v>
      </c>
      <c r="F34" s="19" t="s">
        <v>15</v>
      </c>
      <c r="G34" s="21" t="s">
        <v>135</v>
      </c>
      <c r="H34" s="22" t="s">
        <v>140</v>
      </c>
      <c r="I34" s="18" t="s">
        <v>141</v>
      </c>
      <c r="J34" s="18" t="s">
        <v>19</v>
      </c>
      <c r="K34" s="38" t="s">
        <v>20</v>
      </c>
    </row>
    <row r="35" ht="21" customHeight="1" spans="1:11">
      <c r="A35" s="19">
        <v>3</v>
      </c>
      <c r="B35" s="32" t="s">
        <v>142</v>
      </c>
      <c r="C35" s="28" t="s">
        <v>143</v>
      </c>
      <c r="D35" s="19" t="s">
        <v>135</v>
      </c>
      <c r="E35" s="19">
        <v>199</v>
      </c>
      <c r="F35" s="19" t="s">
        <v>15</v>
      </c>
      <c r="G35" s="21" t="s">
        <v>135</v>
      </c>
      <c r="H35" s="22" t="s">
        <v>144</v>
      </c>
      <c r="I35" s="18" t="s">
        <v>145</v>
      </c>
      <c r="J35" s="18" t="s">
        <v>19</v>
      </c>
      <c r="K35" s="38" t="s">
        <v>20</v>
      </c>
    </row>
    <row r="36" ht="21" customHeight="1" spans="1:11">
      <c r="A36" s="19">
        <v>4</v>
      </c>
      <c r="B36" s="32" t="s">
        <v>146</v>
      </c>
      <c r="C36" s="28" t="s">
        <v>147</v>
      </c>
      <c r="D36" s="19" t="s">
        <v>135</v>
      </c>
      <c r="E36" s="19">
        <v>3</v>
      </c>
      <c r="F36" s="19" t="s">
        <v>15</v>
      </c>
      <c r="G36" s="21" t="s">
        <v>135</v>
      </c>
      <c r="H36" s="22" t="s">
        <v>148</v>
      </c>
      <c r="I36" s="18" t="s">
        <v>149</v>
      </c>
      <c r="J36" s="18" t="s">
        <v>19</v>
      </c>
      <c r="K36" s="38" t="s">
        <v>20</v>
      </c>
    </row>
    <row r="37" ht="21" customHeight="1" spans="1:11">
      <c r="A37" s="19">
        <v>5</v>
      </c>
      <c r="B37" s="32" t="s">
        <v>150</v>
      </c>
      <c r="C37" s="28" t="s">
        <v>151</v>
      </c>
      <c r="D37" s="19" t="s">
        <v>135</v>
      </c>
      <c r="E37" s="19">
        <v>5</v>
      </c>
      <c r="F37" s="19" t="s">
        <v>15</v>
      </c>
      <c r="G37" s="21" t="s">
        <v>135</v>
      </c>
      <c r="H37" s="22" t="s">
        <v>152</v>
      </c>
      <c r="I37" s="18" t="s">
        <v>153</v>
      </c>
      <c r="J37" s="18" t="s">
        <v>19</v>
      </c>
      <c r="K37" s="38" t="s">
        <v>20</v>
      </c>
    </row>
    <row r="38" ht="21" customHeight="1" spans="1:11">
      <c r="A38" s="19">
        <v>6</v>
      </c>
      <c r="B38" s="32" t="s">
        <v>154</v>
      </c>
      <c r="C38" s="28" t="s">
        <v>155</v>
      </c>
      <c r="D38" s="19" t="s">
        <v>135</v>
      </c>
      <c r="E38" s="19">
        <v>1</v>
      </c>
      <c r="F38" s="19" t="s">
        <v>15</v>
      </c>
      <c r="G38" s="21" t="s">
        <v>135</v>
      </c>
      <c r="H38" s="22" t="s">
        <v>156</v>
      </c>
      <c r="I38" s="18" t="s">
        <v>157</v>
      </c>
      <c r="J38" s="18" t="s">
        <v>19</v>
      </c>
      <c r="K38" s="38" t="s">
        <v>20</v>
      </c>
    </row>
    <row r="39" ht="21" customHeight="1" spans="1:11">
      <c r="A39" s="19">
        <v>7</v>
      </c>
      <c r="B39" s="32" t="s">
        <v>158</v>
      </c>
      <c r="C39" s="28" t="s">
        <v>159</v>
      </c>
      <c r="D39" s="19" t="s">
        <v>135</v>
      </c>
      <c r="E39" s="19">
        <v>4</v>
      </c>
      <c r="F39" s="19" t="s">
        <v>15</v>
      </c>
      <c r="G39" s="21" t="s">
        <v>135</v>
      </c>
      <c r="H39" s="22" t="s">
        <v>160</v>
      </c>
      <c r="I39" s="18" t="s">
        <v>161</v>
      </c>
      <c r="J39" s="18" t="s">
        <v>19</v>
      </c>
      <c r="K39" s="38" t="s">
        <v>20</v>
      </c>
    </row>
    <row r="40" ht="21" customHeight="1" spans="1:11">
      <c r="A40" s="19">
        <v>8</v>
      </c>
      <c r="B40" s="32" t="s">
        <v>162</v>
      </c>
      <c r="C40" s="28" t="s">
        <v>163</v>
      </c>
      <c r="D40" s="19" t="s">
        <v>135</v>
      </c>
      <c r="E40" s="19">
        <v>3</v>
      </c>
      <c r="F40" s="19" t="s">
        <v>15</v>
      </c>
      <c r="G40" s="21" t="s">
        <v>135</v>
      </c>
      <c r="H40" s="22" t="s">
        <v>164</v>
      </c>
      <c r="I40" s="18" t="s">
        <v>165</v>
      </c>
      <c r="J40" s="18" t="s">
        <v>19</v>
      </c>
      <c r="K40" s="38" t="s">
        <v>20</v>
      </c>
    </row>
    <row r="41" ht="21" customHeight="1" spans="1:11">
      <c r="A41" s="19">
        <v>9</v>
      </c>
      <c r="B41" s="32" t="s">
        <v>166</v>
      </c>
      <c r="C41" s="28" t="s">
        <v>167</v>
      </c>
      <c r="D41" s="19" t="s">
        <v>135</v>
      </c>
      <c r="E41" s="19">
        <v>281</v>
      </c>
      <c r="F41" s="19" t="s">
        <v>168</v>
      </c>
      <c r="G41" s="29" t="s">
        <v>135</v>
      </c>
      <c r="H41" s="30" t="s">
        <v>169</v>
      </c>
      <c r="I41" s="20"/>
      <c r="J41" s="18" t="s">
        <v>19</v>
      </c>
      <c r="K41" s="38" t="s">
        <v>20</v>
      </c>
    </row>
    <row r="42" ht="21" customHeight="1" spans="1:11">
      <c r="A42" s="19">
        <v>10</v>
      </c>
      <c r="B42" s="32" t="s">
        <v>170</v>
      </c>
      <c r="C42" s="28" t="s">
        <v>171</v>
      </c>
      <c r="D42" s="19" t="s">
        <v>106</v>
      </c>
      <c r="E42" s="19">
        <v>15</v>
      </c>
      <c r="F42" s="19" t="s">
        <v>15</v>
      </c>
      <c r="G42" s="29" t="s">
        <v>107</v>
      </c>
      <c r="H42" s="27" t="s">
        <v>172</v>
      </c>
      <c r="I42" s="18" t="s">
        <v>173</v>
      </c>
      <c r="J42" s="18" t="s">
        <v>19</v>
      </c>
      <c r="K42" s="38" t="s">
        <v>20</v>
      </c>
    </row>
    <row r="43" ht="21" customHeight="1" spans="1:11">
      <c r="A43" s="19">
        <v>11</v>
      </c>
      <c r="B43" s="32" t="s">
        <v>174</v>
      </c>
      <c r="C43" s="28" t="s">
        <v>175</v>
      </c>
      <c r="D43" s="19" t="s">
        <v>106</v>
      </c>
      <c r="E43" s="19">
        <v>17</v>
      </c>
      <c r="F43" s="19" t="s">
        <v>15</v>
      </c>
      <c r="G43" s="29" t="s">
        <v>107</v>
      </c>
      <c r="H43" s="27" t="s">
        <v>176</v>
      </c>
      <c r="I43" s="18" t="s">
        <v>177</v>
      </c>
      <c r="J43" s="18" t="s">
        <v>19</v>
      </c>
      <c r="K43" s="38" t="s">
        <v>20</v>
      </c>
    </row>
    <row r="44" ht="21" customHeight="1" spans="1:11">
      <c r="A44" s="19">
        <v>12</v>
      </c>
      <c r="B44" s="32" t="s">
        <v>110</v>
      </c>
      <c r="C44" s="28" t="s">
        <v>111</v>
      </c>
      <c r="D44" s="19" t="s">
        <v>106</v>
      </c>
      <c r="E44" s="19">
        <v>30</v>
      </c>
      <c r="F44" s="19" t="s">
        <v>66</v>
      </c>
      <c r="G44" s="29" t="s">
        <v>107</v>
      </c>
      <c r="H44" s="27" t="s">
        <v>112</v>
      </c>
      <c r="I44" s="18" t="s">
        <v>113</v>
      </c>
      <c r="J44" s="18" t="s">
        <v>19</v>
      </c>
      <c r="K44" s="38" t="s">
        <v>20</v>
      </c>
    </row>
    <row r="45" ht="21" customHeight="1" spans="1:11">
      <c r="A45" s="19">
        <v>13</v>
      </c>
      <c r="B45" s="32" t="s">
        <v>178</v>
      </c>
      <c r="C45" s="28" t="s">
        <v>179</v>
      </c>
      <c r="D45" s="19" t="s">
        <v>106</v>
      </c>
      <c r="E45" s="19">
        <v>34</v>
      </c>
      <c r="F45" s="19" t="s">
        <v>66</v>
      </c>
      <c r="G45" s="29" t="s">
        <v>107</v>
      </c>
      <c r="H45" s="27" t="s">
        <v>180</v>
      </c>
      <c r="I45" s="18" t="s">
        <v>181</v>
      </c>
      <c r="J45" s="18" t="s">
        <v>19</v>
      </c>
      <c r="K45" s="38" t="s">
        <v>20</v>
      </c>
    </row>
    <row r="46" ht="21" customHeight="1" spans="1:11">
      <c r="A46" s="19">
        <v>14</v>
      </c>
      <c r="B46" s="32" t="s">
        <v>182</v>
      </c>
      <c r="C46" s="28" t="s">
        <v>183</v>
      </c>
      <c r="D46" s="19" t="s">
        <v>75</v>
      </c>
      <c r="E46" s="19">
        <v>20000</v>
      </c>
      <c r="F46" s="19" t="s">
        <v>92</v>
      </c>
      <c r="G46" s="21" t="s">
        <v>76</v>
      </c>
      <c r="H46" s="22" t="s">
        <v>184</v>
      </c>
      <c r="I46" s="18" t="s">
        <v>183</v>
      </c>
      <c r="J46" s="18" t="s">
        <v>19</v>
      </c>
      <c r="K46" s="38" t="s">
        <v>20</v>
      </c>
    </row>
    <row r="47" ht="21" customHeight="1" spans="1:11">
      <c r="A47" s="19">
        <v>15</v>
      </c>
      <c r="B47" s="32" t="s">
        <v>185</v>
      </c>
      <c r="C47" s="28" t="s">
        <v>186</v>
      </c>
      <c r="D47" s="19" t="s">
        <v>75</v>
      </c>
      <c r="E47" s="19">
        <f>E48*70*1.1</f>
        <v>2464</v>
      </c>
      <c r="F47" s="19" t="s">
        <v>92</v>
      </c>
      <c r="G47" s="21" t="s">
        <v>76</v>
      </c>
      <c r="H47" s="22" t="s">
        <v>187</v>
      </c>
      <c r="I47" s="20" t="s">
        <v>186</v>
      </c>
      <c r="J47" s="18" t="s">
        <v>19</v>
      </c>
      <c r="K47" s="38" t="s">
        <v>20</v>
      </c>
    </row>
    <row r="48" ht="21" customHeight="1" spans="1:11">
      <c r="A48" s="19">
        <v>16</v>
      </c>
      <c r="B48" s="32" t="s">
        <v>188</v>
      </c>
      <c r="C48" s="28" t="s">
        <v>189</v>
      </c>
      <c r="D48" s="19" t="s">
        <v>125</v>
      </c>
      <c r="E48" s="19">
        <f>E42+E43</f>
        <v>32</v>
      </c>
      <c r="F48" s="19" t="s">
        <v>66</v>
      </c>
      <c r="G48" s="21" t="s">
        <v>125</v>
      </c>
      <c r="H48" s="22" t="s">
        <v>190</v>
      </c>
      <c r="I48" s="18" t="s">
        <v>189</v>
      </c>
      <c r="J48" s="18" t="s">
        <v>19</v>
      </c>
      <c r="K48" s="38" t="s">
        <v>20</v>
      </c>
    </row>
    <row r="49" ht="21" customHeight="1" spans="1:11">
      <c r="A49" s="19">
        <v>17</v>
      </c>
      <c r="B49" s="32" t="s">
        <v>191</v>
      </c>
      <c r="C49" s="28" t="s">
        <v>192</v>
      </c>
      <c r="D49" s="19" t="s">
        <v>125</v>
      </c>
      <c r="E49" s="19">
        <v>100</v>
      </c>
      <c r="F49" s="19" t="s">
        <v>66</v>
      </c>
      <c r="G49" s="21" t="s">
        <v>125</v>
      </c>
      <c r="H49" s="22" t="s">
        <v>193</v>
      </c>
      <c r="I49" s="18" t="s">
        <v>192</v>
      </c>
      <c r="J49" s="18" t="s">
        <v>19</v>
      </c>
      <c r="K49" s="38" t="s">
        <v>20</v>
      </c>
    </row>
    <row r="50" ht="21" customHeight="1" spans="1:11">
      <c r="A50" s="19">
        <v>18</v>
      </c>
      <c r="B50" s="32" t="s">
        <v>73</v>
      </c>
      <c r="C50" s="28" t="s">
        <v>194</v>
      </c>
      <c r="D50" s="19" t="s">
        <v>75</v>
      </c>
      <c r="E50" s="16">
        <f>E42+E43</f>
        <v>32</v>
      </c>
      <c r="F50" s="19" t="s">
        <v>66</v>
      </c>
      <c r="G50" s="21" t="s">
        <v>76</v>
      </c>
      <c r="H50" s="18" t="s">
        <v>77</v>
      </c>
      <c r="I50" s="20" t="s">
        <v>78</v>
      </c>
      <c r="J50" s="18" t="s">
        <v>19</v>
      </c>
      <c r="K50" s="38" t="s">
        <v>20</v>
      </c>
    </row>
    <row r="51" ht="21" customHeight="1" spans="1:11">
      <c r="A51" s="19">
        <v>19</v>
      </c>
      <c r="B51" s="32" t="s">
        <v>90</v>
      </c>
      <c r="C51" s="28" t="s">
        <v>91</v>
      </c>
      <c r="D51" s="19" t="s">
        <v>75</v>
      </c>
      <c r="E51" s="19">
        <v>10560</v>
      </c>
      <c r="F51" s="19" t="s">
        <v>92</v>
      </c>
      <c r="G51" s="29" t="s">
        <v>76</v>
      </c>
      <c r="H51" s="27" t="s">
        <v>93</v>
      </c>
      <c r="I51" s="18" t="s">
        <v>91</v>
      </c>
      <c r="J51" s="18" t="s">
        <v>19</v>
      </c>
      <c r="K51" s="38" t="s">
        <v>20</v>
      </c>
    </row>
    <row r="52" ht="21" customHeight="1" spans="1:11">
      <c r="A52" s="19">
        <v>20</v>
      </c>
      <c r="B52" s="32" t="s">
        <v>94</v>
      </c>
      <c r="C52" s="28" t="s">
        <v>95</v>
      </c>
      <c r="D52" s="19" t="s">
        <v>75</v>
      </c>
      <c r="E52" s="19">
        <v>3</v>
      </c>
      <c r="F52" s="19" t="s">
        <v>66</v>
      </c>
      <c r="G52" s="21" t="s">
        <v>76</v>
      </c>
      <c r="H52" s="18" t="s">
        <v>96</v>
      </c>
      <c r="I52" s="18" t="s">
        <v>95</v>
      </c>
      <c r="J52" s="18" t="s">
        <v>19</v>
      </c>
      <c r="K52" s="38" t="s">
        <v>20</v>
      </c>
    </row>
    <row r="53" ht="21" customHeight="1" spans="1:11">
      <c r="A53" s="19">
        <v>21</v>
      </c>
      <c r="B53" s="34" t="s">
        <v>97</v>
      </c>
      <c r="C53" s="35" t="s">
        <v>195</v>
      </c>
      <c r="D53" s="19" t="s">
        <v>75</v>
      </c>
      <c r="E53" s="19">
        <f>E50</f>
        <v>32</v>
      </c>
      <c r="F53" s="19" t="s">
        <v>66</v>
      </c>
      <c r="G53" s="21" t="s">
        <v>76</v>
      </c>
      <c r="H53" s="22" t="s">
        <v>99</v>
      </c>
      <c r="I53" s="20" t="s">
        <v>98</v>
      </c>
      <c r="J53" s="18" t="s">
        <v>19</v>
      </c>
      <c r="K53" s="38" t="s">
        <v>20</v>
      </c>
    </row>
    <row r="54" ht="21" customHeight="1" spans="1:11">
      <c r="A54" s="19">
        <v>22</v>
      </c>
      <c r="B54" s="32" t="s">
        <v>123</v>
      </c>
      <c r="C54" s="28" t="s">
        <v>124</v>
      </c>
      <c r="D54" s="19" t="s">
        <v>125</v>
      </c>
      <c r="E54" s="19">
        <v>15000</v>
      </c>
      <c r="F54" s="19" t="s">
        <v>92</v>
      </c>
      <c r="G54" s="21" t="s">
        <v>125</v>
      </c>
      <c r="H54" s="22" t="s">
        <v>126</v>
      </c>
      <c r="I54" s="20" t="s">
        <v>127</v>
      </c>
      <c r="J54" s="18" t="s">
        <v>19</v>
      </c>
      <c r="K54" s="38" t="s">
        <v>20</v>
      </c>
    </row>
    <row r="55" ht="21" customHeight="1" spans="1:11">
      <c r="A55" s="19">
        <v>23</v>
      </c>
      <c r="B55" s="32" t="s">
        <v>128</v>
      </c>
      <c r="C55" s="28" t="s">
        <v>129</v>
      </c>
      <c r="D55" s="19"/>
      <c r="E55" s="19">
        <v>1</v>
      </c>
      <c r="F55" s="19" t="s">
        <v>130</v>
      </c>
      <c r="G55" s="21"/>
      <c r="H55" s="22"/>
      <c r="I55" s="20"/>
      <c r="J55" s="18" t="s">
        <v>19</v>
      </c>
      <c r="K55" s="38" t="s">
        <v>20</v>
      </c>
    </row>
    <row r="56" ht="21" customHeight="1" spans="2:11">
      <c r="B56" s="2" t="s">
        <v>196</v>
      </c>
      <c r="C56" s="18"/>
      <c r="D56" s="19"/>
      <c r="E56" s="36"/>
      <c r="F56" s="19"/>
      <c r="G56" s="21"/>
      <c r="H56" s="22"/>
      <c r="I56" s="20"/>
      <c r="J56" s="18"/>
      <c r="K56" s="38"/>
    </row>
    <row r="57" ht="21" customHeight="1" spans="1:11">
      <c r="A57" s="19">
        <v>1</v>
      </c>
      <c r="B57" s="28" t="s">
        <v>197</v>
      </c>
      <c r="C57" s="28" t="s">
        <v>198</v>
      </c>
      <c r="D57" s="19" t="s">
        <v>199</v>
      </c>
      <c r="E57" s="19">
        <v>1</v>
      </c>
      <c r="F57" s="19" t="s">
        <v>15</v>
      </c>
      <c r="G57" s="21" t="s">
        <v>200</v>
      </c>
      <c r="H57" s="22" t="s">
        <v>201</v>
      </c>
      <c r="I57" s="28" t="s">
        <v>198</v>
      </c>
      <c r="J57" s="18" t="s">
        <v>19</v>
      </c>
      <c r="K57" s="38" t="s">
        <v>20</v>
      </c>
    </row>
    <row r="58" ht="21" customHeight="1" spans="1:11">
      <c r="A58" s="19">
        <v>2</v>
      </c>
      <c r="B58" s="28" t="s">
        <v>202</v>
      </c>
      <c r="C58" s="28" t="s">
        <v>203</v>
      </c>
      <c r="D58" s="19" t="s">
        <v>199</v>
      </c>
      <c r="E58" s="19">
        <v>1</v>
      </c>
      <c r="F58" s="19" t="s">
        <v>204</v>
      </c>
      <c r="G58" s="21" t="s">
        <v>200</v>
      </c>
      <c r="H58" s="22" t="s">
        <v>205</v>
      </c>
      <c r="I58" s="28" t="s">
        <v>203</v>
      </c>
      <c r="J58" s="18" t="s">
        <v>19</v>
      </c>
      <c r="K58" s="38" t="s">
        <v>20</v>
      </c>
    </row>
    <row r="59" ht="21" customHeight="1" spans="1:11">
      <c r="A59" s="19">
        <v>3</v>
      </c>
      <c r="B59" s="28" t="s">
        <v>206</v>
      </c>
      <c r="C59" s="28" t="s">
        <v>207</v>
      </c>
      <c r="D59" s="19" t="s">
        <v>199</v>
      </c>
      <c r="E59" s="19">
        <v>1</v>
      </c>
      <c r="F59" s="19" t="s">
        <v>204</v>
      </c>
      <c r="G59" s="21" t="s">
        <v>200</v>
      </c>
      <c r="H59" s="22" t="s">
        <v>208</v>
      </c>
      <c r="I59" s="28" t="s">
        <v>207</v>
      </c>
      <c r="J59" s="18" t="s">
        <v>19</v>
      </c>
      <c r="K59" s="38" t="s">
        <v>20</v>
      </c>
    </row>
    <row r="60" ht="21" customHeight="1" spans="2:11">
      <c r="B60" s="2" t="s">
        <v>209</v>
      </c>
      <c r="C60" s="18"/>
      <c r="D60" s="19"/>
      <c r="E60" s="20"/>
      <c r="F60" s="16"/>
      <c r="G60" s="21"/>
      <c r="H60" s="22"/>
      <c r="I60" s="28"/>
      <c r="J60" s="18"/>
      <c r="K60" s="38"/>
    </row>
    <row r="61" ht="21" customHeight="1" spans="1:11">
      <c r="A61" s="19">
        <v>1</v>
      </c>
      <c r="B61" s="28" t="s">
        <v>210</v>
      </c>
      <c r="C61" s="28" t="s">
        <v>211</v>
      </c>
      <c r="D61" s="19" t="s">
        <v>212</v>
      </c>
      <c r="E61" s="19">
        <v>15</v>
      </c>
      <c r="F61" s="19" t="s">
        <v>15</v>
      </c>
      <c r="G61" s="21" t="s">
        <v>135</v>
      </c>
      <c r="H61" s="22" t="s">
        <v>213</v>
      </c>
      <c r="I61" s="18" t="s">
        <v>214</v>
      </c>
      <c r="J61" s="18" t="s">
        <v>19</v>
      </c>
      <c r="K61" s="38" t="s">
        <v>20</v>
      </c>
    </row>
    <row r="62" ht="21" customHeight="1" spans="1:11">
      <c r="A62" s="19">
        <v>2</v>
      </c>
      <c r="B62" s="28" t="s">
        <v>215</v>
      </c>
      <c r="C62" s="28" t="s">
        <v>216</v>
      </c>
      <c r="D62" s="19" t="s">
        <v>212</v>
      </c>
      <c r="E62" s="19">
        <v>50</v>
      </c>
      <c r="F62" s="19" t="s">
        <v>15</v>
      </c>
      <c r="G62" s="21" t="s">
        <v>135</v>
      </c>
      <c r="H62" s="22" t="s">
        <v>217</v>
      </c>
      <c r="I62" s="18" t="s">
        <v>218</v>
      </c>
      <c r="J62" s="18" t="s">
        <v>19</v>
      </c>
      <c r="K62" s="38" t="s">
        <v>20</v>
      </c>
    </row>
    <row r="63" ht="21" customHeight="1" spans="1:11">
      <c r="A63" s="19">
        <v>3</v>
      </c>
      <c r="B63" s="28" t="s">
        <v>219</v>
      </c>
      <c r="C63" s="28" t="s">
        <v>220</v>
      </c>
      <c r="D63" s="19" t="s">
        <v>212</v>
      </c>
      <c r="E63" s="19">
        <v>1</v>
      </c>
      <c r="F63" s="19" t="s">
        <v>15</v>
      </c>
      <c r="G63" s="21" t="s">
        <v>135</v>
      </c>
      <c r="H63" s="22" t="s">
        <v>221</v>
      </c>
      <c r="I63" s="18" t="s">
        <v>222</v>
      </c>
      <c r="J63" s="18" t="s">
        <v>19</v>
      </c>
      <c r="K63" s="38" t="s">
        <v>20</v>
      </c>
    </row>
    <row r="64" ht="21" customHeight="1" spans="1:11">
      <c r="A64" s="19">
        <v>4</v>
      </c>
      <c r="B64" s="28" t="s">
        <v>223</v>
      </c>
      <c r="C64" s="28" t="s">
        <v>224</v>
      </c>
      <c r="D64" s="19" t="s">
        <v>212</v>
      </c>
      <c r="E64" s="19">
        <v>1</v>
      </c>
      <c r="F64" s="19" t="s">
        <v>204</v>
      </c>
      <c r="G64" s="21" t="s">
        <v>135</v>
      </c>
      <c r="H64" s="22" t="s">
        <v>223</v>
      </c>
      <c r="I64" s="18" t="s">
        <v>224</v>
      </c>
      <c r="J64" s="18" t="s">
        <v>19</v>
      </c>
      <c r="K64" s="38" t="s">
        <v>20</v>
      </c>
    </row>
    <row r="65" ht="21" customHeight="1" spans="2:11">
      <c r="B65" s="2" t="s">
        <v>225</v>
      </c>
      <c r="C65" s="18"/>
      <c r="D65" s="19"/>
      <c r="E65" s="20"/>
      <c r="F65" s="16"/>
      <c r="G65" s="21"/>
      <c r="H65" s="22"/>
      <c r="I65" s="18"/>
      <c r="J65" s="18"/>
      <c r="K65" s="38"/>
    </row>
    <row r="66" ht="21" customHeight="1" spans="1:11">
      <c r="A66" s="19">
        <v>1</v>
      </c>
      <c r="B66" s="28" t="s">
        <v>226</v>
      </c>
      <c r="C66" s="28" t="s">
        <v>227</v>
      </c>
      <c r="D66" s="19" t="s">
        <v>228</v>
      </c>
      <c r="E66" s="19">
        <v>22000</v>
      </c>
      <c r="F66" s="19" t="s">
        <v>92</v>
      </c>
      <c r="G66" s="21" t="s">
        <v>135</v>
      </c>
      <c r="H66" s="22" t="s">
        <v>229</v>
      </c>
      <c r="I66" s="18" t="s">
        <v>230</v>
      </c>
      <c r="J66" s="18" t="s">
        <v>19</v>
      </c>
      <c r="K66" s="38" t="s">
        <v>20</v>
      </c>
    </row>
    <row r="67" ht="21" customHeight="1" spans="1:11">
      <c r="A67" s="19">
        <v>2</v>
      </c>
      <c r="B67" s="28" t="s">
        <v>231</v>
      </c>
      <c r="C67" s="28" t="s">
        <v>232</v>
      </c>
      <c r="D67" s="19" t="s">
        <v>228</v>
      </c>
      <c r="E67" s="19">
        <v>1</v>
      </c>
      <c r="F67" s="19" t="s">
        <v>15</v>
      </c>
      <c r="G67" s="21" t="s">
        <v>135</v>
      </c>
      <c r="H67" s="22" t="s">
        <v>233</v>
      </c>
      <c r="I67" s="18" t="s">
        <v>234</v>
      </c>
      <c r="J67" s="18" t="s">
        <v>19</v>
      </c>
      <c r="K67" s="38" t="s">
        <v>20</v>
      </c>
    </row>
    <row r="68" ht="21" customHeight="1" spans="1:11">
      <c r="A68" s="19">
        <v>3</v>
      </c>
      <c r="B68" s="28" t="s">
        <v>235</v>
      </c>
      <c r="C68" s="28" t="s">
        <v>236</v>
      </c>
      <c r="D68" s="19" t="s">
        <v>228</v>
      </c>
      <c r="E68" s="19">
        <v>323</v>
      </c>
      <c r="F68" s="19" t="s">
        <v>237</v>
      </c>
      <c r="G68" s="21" t="s">
        <v>135</v>
      </c>
      <c r="H68" s="22" t="s">
        <v>238</v>
      </c>
      <c r="I68" s="18" t="s">
        <v>239</v>
      </c>
      <c r="J68" s="18" t="s">
        <v>19</v>
      </c>
      <c r="K68" s="38" t="s">
        <v>20</v>
      </c>
    </row>
    <row r="69" ht="21" customHeight="1" spans="1:11">
      <c r="A69" s="19">
        <v>4</v>
      </c>
      <c r="B69" s="28" t="s">
        <v>240</v>
      </c>
      <c r="C69" s="28" t="s">
        <v>241</v>
      </c>
      <c r="D69" s="19" t="s">
        <v>228</v>
      </c>
      <c r="E69" s="19">
        <v>9</v>
      </c>
      <c r="F69" s="19" t="s">
        <v>242</v>
      </c>
      <c r="G69" s="21" t="s">
        <v>135</v>
      </c>
      <c r="H69" s="18" t="s">
        <v>243</v>
      </c>
      <c r="I69" s="18" t="s">
        <v>244</v>
      </c>
      <c r="J69" s="18" t="s">
        <v>19</v>
      </c>
      <c r="K69" s="38" t="s">
        <v>20</v>
      </c>
    </row>
    <row r="70" ht="21" customHeight="1" spans="1:11">
      <c r="A70" s="19">
        <v>5</v>
      </c>
      <c r="B70" s="28" t="s">
        <v>245</v>
      </c>
      <c r="C70" s="28" t="s">
        <v>246</v>
      </c>
      <c r="D70" s="19" t="s">
        <v>228</v>
      </c>
      <c r="E70" s="19">
        <v>8800</v>
      </c>
      <c r="F70" s="19" t="s">
        <v>247</v>
      </c>
      <c r="G70" s="21" t="s">
        <v>135</v>
      </c>
      <c r="H70" s="22" t="s">
        <v>248</v>
      </c>
      <c r="I70" s="18" t="s">
        <v>246</v>
      </c>
      <c r="J70" s="18" t="s">
        <v>19</v>
      </c>
      <c r="K70" s="38" t="s">
        <v>20</v>
      </c>
    </row>
    <row r="71" ht="21" customHeight="1" spans="1:11">
      <c r="A71" s="40">
        <v>6</v>
      </c>
      <c r="B71" s="41" t="s">
        <v>249</v>
      </c>
      <c r="C71" s="41" t="s">
        <v>250</v>
      </c>
      <c r="D71" s="40" t="s">
        <v>228</v>
      </c>
      <c r="E71" s="40">
        <v>1</v>
      </c>
      <c r="F71" s="40" t="s">
        <v>15</v>
      </c>
      <c r="G71" s="21" t="s">
        <v>135</v>
      </c>
      <c r="H71" s="22" t="s">
        <v>251</v>
      </c>
      <c r="I71" s="18" t="s">
        <v>252</v>
      </c>
      <c r="J71" s="18" t="s">
        <v>19</v>
      </c>
      <c r="K71" s="38" t="s">
        <v>20</v>
      </c>
    </row>
    <row r="72" ht="21" customHeight="1" spans="1:11">
      <c r="A72" s="19">
        <v>7</v>
      </c>
      <c r="B72" s="28" t="s">
        <v>253</v>
      </c>
      <c r="C72" s="28" t="s">
        <v>254</v>
      </c>
      <c r="D72" s="19" t="s">
        <v>228</v>
      </c>
      <c r="E72" s="40">
        <v>1</v>
      </c>
      <c r="F72" s="40" t="s">
        <v>204</v>
      </c>
      <c r="G72" s="21" t="s">
        <v>135</v>
      </c>
      <c r="H72" s="22" t="s">
        <v>253</v>
      </c>
      <c r="I72" s="18" t="s">
        <v>254</v>
      </c>
      <c r="J72" s="18" t="s">
        <v>19</v>
      </c>
      <c r="K72" s="38" t="s">
        <v>20</v>
      </c>
    </row>
    <row r="73" ht="21" customHeight="1" spans="1:11">
      <c r="A73" s="19">
        <v>8</v>
      </c>
      <c r="B73" s="28" t="s">
        <v>255</v>
      </c>
      <c r="C73" s="28" t="s">
        <v>256</v>
      </c>
      <c r="D73" s="40" t="s">
        <v>228</v>
      </c>
      <c r="E73" s="40">
        <v>1</v>
      </c>
      <c r="F73" s="40" t="s">
        <v>204</v>
      </c>
      <c r="G73" s="21" t="s">
        <v>135</v>
      </c>
      <c r="H73" s="22" t="s">
        <v>255</v>
      </c>
      <c r="I73" s="18" t="s">
        <v>256</v>
      </c>
      <c r="J73" s="18" t="s">
        <v>19</v>
      </c>
      <c r="K73" s="38" t="s">
        <v>20</v>
      </c>
    </row>
    <row r="74" ht="21" customHeight="1" spans="1:11">
      <c r="A74" s="19">
        <v>7</v>
      </c>
      <c r="B74" s="28" t="s">
        <v>257</v>
      </c>
      <c r="C74" s="28" t="s">
        <v>258</v>
      </c>
      <c r="D74" s="19"/>
      <c r="E74" s="19">
        <v>3500</v>
      </c>
      <c r="F74" s="19" t="s">
        <v>92</v>
      </c>
      <c r="G74" s="21"/>
      <c r="H74" s="18" t="s">
        <v>257</v>
      </c>
      <c r="I74" s="28" t="s">
        <v>258</v>
      </c>
      <c r="J74" s="18" t="s">
        <v>19</v>
      </c>
      <c r="K74" s="38" t="s">
        <v>20</v>
      </c>
    </row>
    <row r="75" ht="21" customHeight="1" spans="1:11">
      <c r="A75" s="19">
        <v>8</v>
      </c>
      <c r="B75" s="23" t="s">
        <v>259</v>
      </c>
      <c r="C75" s="23" t="s">
        <v>259</v>
      </c>
      <c r="D75" s="19"/>
      <c r="E75" s="19">
        <v>2000</v>
      </c>
      <c r="F75" s="19" t="s">
        <v>260</v>
      </c>
      <c r="G75" s="21"/>
      <c r="H75" s="42" t="s">
        <v>259</v>
      </c>
      <c r="I75" s="23" t="s">
        <v>259</v>
      </c>
      <c r="J75" s="18" t="s">
        <v>19</v>
      </c>
      <c r="K75" s="38" t="s">
        <v>20</v>
      </c>
    </row>
    <row r="76" ht="21" customHeight="1" spans="2:11">
      <c r="B76" s="2" t="s">
        <v>261</v>
      </c>
      <c r="C76" s="43"/>
      <c r="D76" s="44"/>
      <c r="E76" s="45"/>
      <c r="F76" s="46"/>
      <c r="G76" s="21"/>
      <c r="H76" s="22"/>
      <c r="I76" s="20"/>
      <c r="J76" s="18"/>
      <c r="K76" s="38"/>
    </row>
    <row r="77" ht="21" customHeight="1" spans="1:11">
      <c r="A77" s="19">
        <v>1</v>
      </c>
      <c r="B77" s="28" t="s">
        <v>262</v>
      </c>
      <c r="C77" s="28" t="s">
        <v>263</v>
      </c>
      <c r="D77" s="19" t="s">
        <v>228</v>
      </c>
      <c r="E77" s="19">
        <v>11</v>
      </c>
      <c r="F77" s="19" t="s">
        <v>82</v>
      </c>
      <c r="G77" s="21" t="s">
        <v>135</v>
      </c>
      <c r="H77" s="22" t="s">
        <v>264</v>
      </c>
      <c r="I77" s="18" t="s">
        <v>265</v>
      </c>
      <c r="J77" s="18" t="s">
        <v>19</v>
      </c>
      <c r="K77" s="38" t="s">
        <v>20</v>
      </c>
    </row>
    <row r="78" ht="21" customHeight="1" spans="1:11">
      <c r="A78" s="19">
        <v>2</v>
      </c>
      <c r="B78" s="28" t="s">
        <v>266</v>
      </c>
      <c r="C78" s="28" t="s">
        <v>267</v>
      </c>
      <c r="D78" s="19" t="s">
        <v>228</v>
      </c>
      <c r="E78" s="19">
        <v>6</v>
      </c>
      <c r="F78" s="19" t="s">
        <v>15</v>
      </c>
      <c r="G78" s="21" t="s">
        <v>135</v>
      </c>
      <c r="H78" s="22" t="s">
        <v>268</v>
      </c>
      <c r="I78" s="18" t="s">
        <v>269</v>
      </c>
      <c r="J78" s="18" t="s">
        <v>19</v>
      </c>
      <c r="K78" s="38" t="s">
        <v>20</v>
      </c>
    </row>
    <row r="79" ht="21" customHeight="1" spans="1:11">
      <c r="A79" s="19">
        <v>3</v>
      </c>
      <c r="B79" s="28" t="s">
        <v>270</v>
      </c>
      <c r="C79" s="28" t="s">
        <v>271</v>
      </c>
      <c r="D79" s="19" t="s">
        <v>228</v>
      </c>
      <c r="E79" s="19">
        <v>1</v>
      </c>
      <c r="F79" s="19" t="s">
        <v>15</v>
      </c>
      <c r="G79" s="21" t="s">
        <v>135</v>
      </c>
      <c r="H79" s="22" t="s">
        <v>272</v>
      </c>
      <c r="I79" s="18" t="s">
        <v>273</v>
      </c>
      <c r="J79" s="18" t="s">
        <v>19</v>
      </c>
      <c r="K79" s="38" t="s">
        <v>20</v>
      </c>
    </row>
    <row r="80" ht="21" customHeight="1" spans="1:11">
      <c r="A80" s="19">
        <v>4</v>
      </c>
      <c r="B80" s="28" t="s">
        <v>274</v>
      </c>
      <c r="C80" s="28" t="s">
        <v>275</v>
      </c>
      <c r="D80" s="19" t="s">
        <v>228</v>
      </c>
      <c r="E80" s="19">
        <v>1</v>
      </c>
      <c r="F80" s="19" t="s">
        <v>15</v>
      </c>
      <c r="G80" s="21" t="s">
        <v>135</v>
      </c>
      <c r="H80" s="22" t="s">
        <v>276</v>
      </c>
      <c r="I80" s="18" t="s">
        <v>277</v>
      </c>
      <c r="J80" s="18" t="s">
        <v>19</v>
      </c>
      <c r="K80" s="38" t="s">
        <v>20</v>
      </c>
    </row>
    <row r="81" ht="21" customHeight="1" spans="1:11">
      <c r="A81" s="19">
        <v>5</v>
      </c>
      <c r="B81" s="28" t="s">
        <v>278</v>
      </c>
      <c r="C81" s="28" t="s">
        <v>279</v>
      </c>
      <c r="D81" s="19" t="s">
        <v>228</v>
      </c>
      <c r="E81" s="19">
        <v>1</v>
      </c>
      <c r="F81" s="19" t="s">
        <v>15</v>
      </c>
      <c r="G81" s="21" t="s">
        <v>135</v>
      </c>
      <c r="H81" s="22" t="s">
        <v>280</v>
      </c>
      <c r="I81" s="18" t="s">
        <v>281</v>
      </c>
      <c r="J81" s="18" t="s">
        <v>19</v>
      </c>
      <c r="K81" s="38" t="s">
        <v>20</v>
      </c>
    </row>
    <row r="82" ht="21" customHeight="1" spans="1:11">
      <c r="A82" s="19">
        <v>6</v>
      </c>
      <c r="B82" s="28" t="s">
        <v>282</v>
      </c>
      <c r="C82" s="28" t="s">
        <v>283</v>
      </c>
      <c r="D82" s="19" t="s">
        <v>228</v>
      </c>
      <c r="E82" s="19">
        <v>1</v>
      </c>
      <c r="F82" s="19" t="s">
        <v>66</v>
      </c>
      <c r="G82" s="21" t="s">
        <v>135</v>
      </c>
      <c r="H82" s="22" t="s">
        <v>284</v>
      </c>
      <c r="I82" s="18" t="s">
        <v>285</v>
      </c>
      <c r="J82" s="18" t="s">
        <v>19</v>
      </c>
      <c r="K82" s="38" t="s">
        <v>20</v>
      </c>
    </row>
    <row r="83" ht="21" customHeight="1" spans="1:11">
      <c r="A83" s="19">
        <v>7</v>
      </c>
      <c r="B83" s="28" t="s">
        <v>286</v>
      </c>
      <c r="C83" s="28" t="s">
        <v>287</v>
      </c>
      <c r="D83" s="19" t="s">
        <v>228</v>
      </c>
      <c r="E83" s="19">
        <v>11</v>
      </c>
      <c r="F83" s="19" t="s">
        <v>15</v>
      </c>
      <c r="G83" s="21" t="s">
        <v>135</v>
      </c>
      <c r="H83" s="22" t="s">
        <v>288</v>
      </c>
      <c r="I83" s="18" t="s">
        <v>289</v>
      </c>
      <c r="J83" s="18" t="s">
        <v>19</v>
      </c>
      <c r="K83" s="38" t="s">
        <v>20</v>
      </c>
    </row>
    <row r="84" ht="21" customHeight="1" spans="1:11">
      <c r="A84" s="19">
        <v>8</v>
      </c>
      <c r="B84" s="28" t="s">
        <v>290</v>
      </c>
      <c r="C84" s="28" t="s">
        <v>291</v>
      </c>
      <c r="D84" s="19" t="s">
        <v>228</v>
      </c>
      <c r="E84" s="19">
        <v>1</v>
      </c>
      <c r="F84" s="19" t="s">
        <v>15</v>
      </c>
      <c r="G84" s="21" t="s">
        <v>135</v>
      </c>
      <c r="H84" s="22" t="s">
        <v>292</v>
      </c>
      <c r="I84" s="20"/>
      <c r="J84" s="18" t="s">
        <v>19</v>
      </c>
      <c r="K84" s="38" t="s">
        <v>20</v>
      </c>
    </row>
    <row r="85" ht="21" customHeight="1" spans="1:11">
      <c r="A85" s="19">
        <v>9</v>
      </c>
      <c r="B85" s="28" t="s">
        <v>114</v>
      </c>
      <c r="C85" s="28" t="s">
        <v>293</v>
      </c>
      <c r="D85" s="19" t="s">
        <v>75</v>
      </c>
      <c r="E85" s="19">
        <v>2400</v>
      </c>
      <c r="F85" s="19" t="s">
        <v>92</v>
      </c>
      <c r="G85" s="21" t="s">
        <v>76</v>
      </c>
      <c r="H85" s="22" t="s">
        <v>294</v>
      </c>
      <c r="I85" s="28" t="s">
        <v>293</v>
      </c>
      <c r="J85" s="18" t="s">
        <v>19</v>
      </c>
      <c r="K85" s="38" t="s">
        <v>20</v>
      </c>
    </row>
    <row r="86" ht="21" customHeight="1" spans="1:11">
      <c r="A86" s="19">
        <v>10</v>
      </c>
      <c r="B86" s="28" t="s">
        <v>114</v>
      </c>
      <c r="C86" s="28" t="s">
        <v>295</v>
      </c>
      <c r="D86" s="19" t="s">
        <v>75</v>
      </c>
      <c r="E86" s="19">
        <v>200</v>
      </c>
      <c r="F86" s="19" t="s">
        <v>92</v>
      </c>
      <c r="G86" s="21" t="s">
        <v>76</v>
      </c>
      <c r="H86" s="22" t="s">
        <v>296</v>
      </c>
      <c r="I86" s="28" t="s">
        <v>295</v>
      </c>
      <c r="J86" s="18" t="s">
        <v>19</v>
      </c>
      <c r="K86" s="38" t="s">
        <v>20</v>
      </c>
    </row>
    <row r="87" ht="21" customHeight="1" spans="1:11">
      <c r="A87" s="19">
        <v>11</v>
      </c>
      <c r="B87" s="32" t="s">
        <v>123</v>
      </c>
      <c r="C87" s="28" t="s">
        <v>124</v>
      </c>
      <c r="D87" s="19" t="s">
        <v>125</v>
      </c>
      <c r="E87" s="19">
        <v>1000</v>
      </c>
      <c r="F87" s="19" t="s">
        <v>92</v>
      </c>
      <c r="G87" s="21" t="s">
        <v>125</v>
      </c>
      <c r="H87" s="22" t="s">
        <v>126</v>
      </c>
      <c r="I87" s="18" t="s">
        <v>127</v>
      </c>
      <c r="J87" s="18" t="s">
        <v>19</v>
      </c>
      <c r="K87" s="38" t="s">
        <v>20</v>
      </c>
    </row>
    <row r="88" ht="21" customHeight="1" spans="2:11">
      <c r="B88" s="2" t="s">
        <v>297</v>
      </c>
      <c r="C88" s="18"/>
      <c r="D88" s="19"/>
      <c r="E88" s="20"/>
      <c r="F88" s="16"/>
      <c r="G88" s="21"/>
      <c r="H88" s="22"/>
      <c r="I88" s="18"/>
      <c r="J88" s="18"/>
      <c r="K88" s="38" t="s">
        <v>20</v>
      </c>
    </row>
    <row r="89" ht="21" customHeight="1" spans="1:11">
      <c r="A89" s="19">
        <v>1</v>
      </c>
      <c r="B89" s="28" t="s">
        <v>21</v>
      </c>
      <c r="C89" s="24" t="s">
        <v>298</v>
      </c>
      <c r="D89" s="19" t="s">
        <v>23</v>
      </c>
      <c r="E89" s="19">
        <v>1</v>
      </c>
      <c r="F89" s="19" t="s">
        <v>15</v>
      </c>
      <c r="G89" s="19" t="s">
        <v>24</v>
      </c>
      <c r="H89" s="18" t="s">
        <v>25</v>
      </c>
      <c r="I89" s="18" t="s">
        <v>299</v>
      </c>
      <c r="J89" s="18" t="s">
        <v>19</v>
      </c>
      <c r="K89" s="38" t="s">
        <v>20</v>
      </c>
    </row>
    <row r="90" ht="21" customHeight="1" spans="1:11">
      <c r="A90" s="19">
        <v>2</v>
      </c>
      <c r="B90" s="28" t="s">
        <v>27</v>
      </c>
      <c r="C90" s="28" t="s">
        <v>28</v>
      </c>
      <c r="D90" s="19" t="s">
        <v>23</v>
      </c>
      <c r="E90" s="19">
        <v>9</v>
      </c>
      <c r="F90" s="19" t="s">
        <v>15</v>
      </c>
      <c r="G90" s="19" t="s">
        <v>24</v>
      </c>
      <c r="H90" s="18" t="s">
        <v>29</v>
      </c>
      <c r="I90" s="18" t="s">
        <v>30</v>
      </c>
      <c r="J90" s="18" t="s">
        <v>19</v>
      </c>
      <c r="K90" s="38" t="s">
        <v>20</v>
      </c>
    </row>
    <row r="91" ht="21" customHeight="1" spans="1:11">
      <c r="A91" s="19">
        <v>3</v>
      </c>
      <c r="B91" s="28" t="s">
        <v>31</v>
      </c>
      <c r="C91" s="28" t="s">
        <v>300</v>
      </c>
      <c r="D91" s="19" t="s">
        <v>23</v>
      </c>
      <c r="E91" s="19">
        <v>9</v>
      </c>
      <c r="F91" s="19" t="s">
        <v>15</v>
      </c>
      <c r="G91" s="19" t="s">
        <v>34</v>
      </c>
      <c r="H91" s="18" t="s">
        <v>35</v>
      </c>
      <c r="I91" s="18" t="s">
        <v>36</v>
      </c>
      <c r="J91" s="18" t="s">
        <v>19</v>
      </c>
      <c r="K91" s="38" t="s">
        <v>20</v>
      </c>
    </row>
    <row r="92" ht="21" customHeight="1" spans="1:11">
      <c r="A92" s="19">
        <v>4</v>
      </c>
      <c r="B92" s="28" t="s">
        <v>37</v>
      </c>
      <c r="C92" s="24" t="s">
        <v>38</v>
      </c>
      <c r="D92" s="19" t="s">
        <v>57</v>
      </c>
      <c r="E92" s="19">
        <v>9</v>
      </c>
      <c r="F92" s="19" t="s">
        <v>15</v>
      </c>
      <c r="G92" s="29" t="s">
        <v>24</v>
      </c>
      <c r="H92" s="30" t="s">
        <v>40</v>
      </c>
      <c r="I92" s="18" t="s">
        <v>38</v>
      </c>
      <c r="J92" s="18" t="s">
        <v>19</v>
      </c>
      <c r="K92" s="38" t="s">
        <v>20</v>
      </c>
    </row>
    <row r="93" ht="21" customHeight="1" spans="1:11">
      <c r="A93" s="19">
        <v>5</v>
      </c>
      <c r="B93" s="28" t="s">
        <v>301</v>
      </c>
      <c r="C93" s="28" t="s">
        <v>302</v>
      </c>
      <c r="D93" s="19" t="s">
        <v>23</v>
      </c>
      <c r="E93" s="19">
        <v>39</v>
      </c>
      <c r="F93" s="19" t="s">
        <v>15</v>
      </c>
      <c r="G93" s="21" t="s">
        <v>24</v>
      </c>
      <c r="H93" s="22" t="s">
        <v>303</v>
      </c>
      <c r="I93" s="18" t="s">
        <v>302</v>
      </c>
      <c r="J93" s="18" t="s">
        <v>19</v>
      </c>
      <c r="K93" s="38" t="s">
        <v>20</v>
      </c>
    </row>
    <row r="94" ht="21" customHeight="1" spans="1:11">
      <c r="A94" s="19">
        <v>6</v>
      </c>
      <c r="B94" s="28" t="s">
        <v>304</v>
      </c>
      <c r="C94" s="28" t="s">
        <v>305</v>
      </c>
      <c r="D94" s="25" t="s">
        <v>306</v>
      </c>
      <c r="E94" s="19">
        <v>14</v>
      </c>
      <c r="F94" s="19" t="s">
        <v>15</v>
      </c>
      <c r="G94" s="47" t="s">
        <v>306</v>
      </c>
      <c r="H94" s="27" t="s">
        <v>307</v>
      </c>
      <c r="I94" s="18" t="s">
        <v>305</v>
      </c>
      <c r="J94" s="18" t="s">
        <v>19</v>
      </c>
      <c r="K94" s="38" t="s">
        <v>20</v>
      </c>
    </row>
    <row r="95" ht="21" customHeight="1" spans="1:11">
      <c r="A95" s="19">
        <v>7</v>
      </c>
      <c r="B95" s="32" t="s">
        <v>73</v>
      </c>
      <c r="C95" s="28" t="s">
        <v>74</v>
      </c>
      <c r="D95" s="19" t="s">
        <v>75</v>
      </c>
      <c r="E95" s="16">
        <f>E89+E90</f>
        <v>10</v>
      </c>
      <c r="F95" s="19" t="s">
        <v>66</v>
      </c>
      <c r="G95" s="21" t="s">
        <v>76</v>
      </c>
      <c r="H95" s="18" t="s">
        <v>77</v>
      </c>
      <c r="I95" s="20" t="s">
        <v>78</v>
      </c>
      <c r="J95" s="18" t="s">
        <v>19</v>
      </c>
      <c r="K95" s="38" t="s">
        <v>20</v>
      </c>
    </row>
    <row r="96" ht="21" customHeight="1" spans="1:11">
      <c r="A96" s="19">
        <v>8</v>
      </c>
      <c r="B96" s="32" t="s">
        <v>79</v>
      </c>
      <c r="C96" s="28" t="s">
        <v>80</v>
      </c>
      <c r="D96" s="19" t="s">
        <v>81</v>
      </c>
      <c r="E96" s="16">
        <f>E89+E90</f>
        <v>10</v>
      </c>
      <c r="F96" s="19" t="s">
        <v>82</v>
      </c>
      <c r="G96" s="21" t="s">
        <v>83</v>
      </c>
      <c r="H96" s="22" t="s">
        <v>84</v>
      </c>
      <c r="I96" s="20" t="s">
        <v>85</v>
      </c>
      <c r="J96" s="18" t="s">
        <v>19</v>
      </c>
      <c r="K96" s="38" t="s">
        <v>20</v>
      </c>
    </row>
    <row r="97" ht="21" customHeight="1" spans="1:11">
      <c r="A97" s="19">
        <v>9</v>
      </c>
      <c r="B97" s="32" t="s">
        <v>86</v>
      </c>
      <c r="C97" s="28" t="s">
        <v>87</v>
      </c>
      <c r="D97" s="19" t="s">
        <v>81</v>
      </c>
      <c r="E97" s="16">
        <v>1</v>
      </c>
      <c r="F97" s="19" t="s">
        <v>66</v>
      </c>
      <c r="G97" s="21" t="s">
        <v>83</v>
      </c>
      <c r="H97" s="22" t="s">
        <v>88</v>
      </c>
      <c r="I97" s="20" t="s">
        <v>89</v>
      </c>
      <c r="J97" s="18" t="s">
        <v>19</v>
      </c>
      <c r="K97" s="38" t="s">
        <v>20</v>
      </c>
    </row>
    <row r="98" ht="21" customHeight="1" spans="1:11">
      <c r="A98" s="19">
        <v>10</v>
      </c>
      <c r="B98" s="32" t="s">
        <v>90</v>
      </c>
      <c r="C98" s="28" t="s">
        <v>91</v>
      </c>
      <c r="D98" s="19" t="s">
        <v>75</v>
      </c>
      <c r="E98" s="19">
        <f>E96*300</f>
        <v>3000</v>
      </c>
      <c r="F98" s="19" t="s">
        <v>92</v>
      </c>
      <c r="G98" s="29" t="s">
        <v>76</v>
      </c>
      <c r="H98" s="27" t="s">
        <v>93</v>
      </c>
      <c r="I98" s="18" t="s">
        <v>91</v>
      </c>
      <c r="J98" s="18" t="s">
        <v>19</v>
      </c>
      <c r="K98" s="38" t="s">
        <v>20</v>
      </c>
    </row>
    <row r="99" ht="21" customHeight="1" spans="1:11">
      <c r="A99" s="19">
        <v>11</v>
      </c>
      <c r="B99" s="32" t="s">
        <v>94</v>
      </c>
      <c r="C99" s="28" t="s">
        <v>95</v>
      </c>
      <c r="D99" s="19" t="s">
        <v>75</v>
      </c>
      <c r="E99" s="19">
        <v>1</v>
      </c>
      <c r="F99" s="19" t="s">
        <v>66</v>
      </c>
      <c r="G99" s="21" t="s">
        <v>76</v>
      </c>
      <c r="H99" s="18" t="s">
        <v>96</v>
      </c>
      <c r="I99" s="18" t="s">
        <v>95</v>
      </c>
      <c r="J99" s="18" t="s">
        <v>19</v>
      </c>
      <c r="K99" s="38" t="s">
        <v>20</v>
      </c>
    </row>
    <row r="100" ht="21" customHeight="1" spans="1:11">
      <c r="A100" s="19">
        <v>12</v>
      </c>
      <c r="B100" s="32" t="s">
        <v>97</v>
      </c>
      <c r="C100" s="28" t="s">
        <v>98</v>
      </c>
      <c r="D100" s="19" t="s">
        <v>75</v>
      </c>
      <c r="E100" s="19">
        <f>E96</f>
        <v>10</v>
      </c>
      <c r="F100" s="19" t="s">
        <v>66</v>
      </c>
      <c r="G100" s="21" t="s">
        <v>76</v>
      </c>
      <c r="H100" s="22" t="s">
        <v>99</v>
      </c>
      <c r="I100" s="20" t="s">
        <v>98</v>
      </c>
      <c r="J100" s="18" t="s">
        <v>19</v>
      </c>
      <c r="K100" s="38" t="s">
        <v>20</v>
      </c>
    </row>
    <row r="101" ht="21" customHeight="1" spans="1:11">
      <c r="A101" s="19">
        <v>13</v>
      </c>
      <c r="B101" s="32" t="s">
        <v>100</v>
      </c>
      <c r="C101" s="28" t="s">
        <v>308</v>
      </c>
      <c r="D101" s="19" t="s">
        <v>75</v>
      </c>
      <c r="E101" s="19">
        <f>E96*2</f>
        <v>20</v>
      </c>
      <c r="F101" s="19" t="s">
        <v>66</v>
      </c>
      <c r="G101" s="21" t="s">
        <v>76</v>
      </c>
      <c r="H101" s="22" t="s">
        <v>102</v>
      </c>
      <c r="I101" s="39" t="s">
        <v>103</v>
      </c>
      <c r="J101" s="18" t="s">
        <v>19</v>
      </c>
      <c r="K101" s="38" t="s">
        <v>20</v>
      </c>
    </row>
    <row r="102" ht="21" customHeight="1" spans="1:11">
      <c r="A102" s="19">
        <v>14</v>
      </c>
      <c r="B102" s="32" t="s">
        <v>309</v>
      </c>
      <c r="C102" s="28" t="s">
        <v>310</v>
      </c>
      <c r="D102" s="19" t="s">
        <v>106</v>
      </c>
      <c r="E102" s="16">
        <v>1</v>
      </c>
      <c r="F102" s="19" t="s">
        <v>15</v>
      </c>
      <c r="G102" s="29" t="s">
        <v>107</v>
      </c>
      <c r="H102" s="27" t="s">
        <v>311</v>
      </c>
      <c r="I102" s="18" t="s">
        <v>312</v>
      </c>
      <c r="J102" s="18" t="s">
        <v>19</v>
      </c>
      <c r="K102" s="38" t="s">
        <v>20</v>
      </c>
    </row>
    <row r="103" ht="21" customHeight="1" spans="1:11">
      <c r="A103" s="19">
        <v>15</v>
      </c>
      <c r="B103" s="32" t="s">
        <v>110</v>
      </c>
      <c r="C103" s="28" t="s">
        <v>111</v>
      </c>
      <c r="D103" s="19" t="s">
        <v>106</v>
      </c>
      <c r="E103" s="19">
        <f>(E102)*2</f>
        <v>2</v>
      </c>
      <c r="F103" s="19" t="s">
        <v>66</v>
      </c>
      <c r="G103" s="29" t="s">
        <v>107</v>
      </c>
      <c r="H103" s="27" t="s">
        <v>112</v>
      </c>
      <c r="I103" s="18" t="s">
        <v>113</v>
      </c>
      <c r="J103" s="18" t="s">
        <v>19</v>
      </c>
      <c r="K103" s="38" t="s">
        <v>20</v>
      </c>
    </row>
    <row r="104" ht="21" customHeight="1" spans="1:11">
      <c r="A104" s="19">
        <v>16</v>
      </c>
      <c r="B104" s="28" t="s">
        <v>114</v>
      </c>
      <c r="C104" s="28" t="s">
        <v>313</v>
      </c>
      <c r="D104" s="19" t="s">
        <v>75</v>
      </c>
      <c r="E104" s="19">
        <f>E93*70*1.1</f>
        <v>3003</v>
      </c>
      <c r="F104" s="48" t="s">
        <v>92</v>
      </c>
      <c r="G104" s="49" t="s">
        <v>76</v>
      </c>
      <c r="H104" s="50" t="s">
        <v>314</v>
      </c>
      <c r="I104" s="28" t="s">
        <v>313</v>
      </c>
      <c r="J104" s="18" t="s">
        <v>19</v>
      </c>
      <c r="K104" s="38" t="s">
        <v>20</v>
      </c>
    </row>
    <row r="105" ht="21" customHeight="1" spans="1:11">
      <c r="A105" s="19">
        <v>17</v>
      </c>
      <c r="B105" s="28" t="s">
        <v>315</v>
      </c>
      <c r="C105" s="28" t="s">
        <v>119</v>
      </c>
      <c r="D105" s="19" t="s">
        <v>75</v>
      </c>
      <c r="E105" s="19">
        <f>E94*70*1.1</f>
        <v>1078</v>
      </c>
      <c r="F105" s="48" t="s">
        <v>92</v>
      </c>
      <c r="G105" s="21" t="s">
        <v>76</v>
      </c>
      <c r="H105" s="50" t="s">
        <v>120</v>
      </c>
      <c r="I105" s="53" t="s">
        <v>119</v>
      </c>
      <c r="J105" s="18" t="s">
        <v>19</v>
      </c>
      <c r="K105" s="38" t="s">
        <v>20</v>
      </c>
    </row>
    <row r="106" ht="21" customHeight="1" spans="1:11">
      <c r="A106" s="19">
        <v>18</v>
      </c>
      <c r="B106" s="32" t="s">
        <v>123</v>
      </c>
      <c r="C106" s="28" t="s">
        <v>124</v>
      </c>
      <c r="D106" s="19" t="s">
        <v>125</v>
      </c>
      <c r="E106" s="19">
        <f>E104+E105</f>
        <v>4081</v>
      </c>
      <c r="F106" s="48" t="s">
        <v>92</v>
      </c>
      <c r="G106" s="21" t="s">
        <v>125</v>
      </c>
      <c r="H106" s="22" t="s">
        <v>126</v>
      </c>
      <c r="I106" s="20" t="s">
        <v>127</v>
      </c>
      <c r="J106" s="18" t="s">
        <v>19</v>
      </c>
      <c r="K106" s="38" t="s">
        <v>20</v>
      </c>
    </row>
    <row r="107" ht="21" customHeight="1" spans="1:11">
      <c r="A107" s="40">
        <v>19</v>
      </c>
      <c r="B107" s="41" t="s">
        <v>128</v>
      </c>
      <c r="C107" s="41" t="s">
        <v>129</v>
      </c>
      <c r="D107" s="40"/>
      <c r="E107" s="40">
        <v>1</v>
      </c>
      <c r="F107" s="51" t="s">
        <v>130</v>
      </c>
      <c r="G107" s="21"/>
      <c r="H107" s="50"/>
      <c r="I107" s="53"/>
      <c r="J107" s="18" t="s">
        <v>19</v>
      </c>
      <c r="K107" s="38" t="s">
        <v>20</v>
      </c>
    </row>
    <row r="108" ht="21" customHeight="1" spans="1:11">
      <c r="A108" s="16"/>
      <c r="B108" s="52" t="s">
        <v>316</v>
      </c>
      <c r="C108" s="18"/>
      <c r="D108" s="19"/>
      <c r="E108" s="19"/>
      <c r="F108" s="48"/>
      <c r="G108" s="21"/>
      <c r="H108" s="50"/>
      <c r="I108" s="53"/>
      <c r="J108" s="18"/>
      <c r="K108" s="38"/>
    </row>
    <row r="109" ht="21" customHeight="1" spans="1:11">
      <c r="A109" s="16">
        <v>1</v>
      </c>
      <c r="B109" s="28" t="s">
        <v>317</v>
      </c>
      <c r="C109" s="18"/>
      <c r="D109" s="19"/>
      <c r="E109" s="19">
        <v>1</v>
      </c>
      <c r="F109" s="48" t="s">
        <v>130</v>
      </c>
      <c r="G109" s="21" t="s">
        <v>318</v>
      </c>
      <c r="H109" s="50"/>
      <c r="I109" s="53"/>
      <c r="J109" s="18" t="s">
        <v>19</v>
      </c>
      <c r="K109" s="38" t="s">
        <v>20</v>
      </c>
    </row>
    <row r="110" ht="21" customHeight="1" spans="1:11">
      <c r="A110" s="16"/>
      <c r="B110" s="23"/>
      <c r="C110" s="18"/>
      <c r="D110" s="19"/>
      <c r="E110" s="53"/>
      <c r="F110" s="54"/>
      <c r="G110" s="21"/>
      <c r="H110" s="50"/>
      <c r="I110" s="53"/>
      <c r="J110" s="20"/>
      <c r="K110" s="21"/>
    </row>
  </sheetData>
  <conditionalFormatting sqref="K3:K109">
    <cfRule type="expression" dxfId="0" priority="1">
      <formula>ISBLANK(K3)</formula>
    </cfRule>
  </conditionalFormatting>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硬件-报价明细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游侠</cp:lastModifiedBy>
  <dcterms:created xsi:type="dcterms:W3CDTF">2026-09-07T17:03:37Z</dcterms:created>
  <dcterms:modified xsi:type="dcterms:W3CDTF">2026-09-07T18:49:34Z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AEDEC1D378594DC6A936F067F91FC9AB_11</vt:lpwstr>
  </property>
  <property fmtid="{D5CDD505-2E9C-101B-9397-08002B2CF9AE}" pid="3" name="KSOProductBuildVer">
    <vt:lpwstr>2052-12.1.0.22529</vt:lpwstr>
  </property>
</Properties>
</file>