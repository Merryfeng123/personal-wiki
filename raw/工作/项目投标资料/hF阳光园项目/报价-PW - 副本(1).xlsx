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work\鹏网\26年\阳光电源\IOC平台\联想\123\"/>
    </mc:Choice>
  </mc:AlternateContent>
  <xr:revisionPtr revIDLastSave="0" documentId="13_ncr:1_{822C69A7-698C-4FD5-A56D-4DDB38E5BF7A}" xr6:coauthVersionLast="47" xr6:coauthVersionMax="47" xr10:uidLastSave="{00000000-0000-0000-0000-000000000000}"/>
  <bookViews>
    <workbookView xWindow="-28920" yWindow="-120" windowWidth="29040" windowHeight="15840" activeTab="3" xr2:uid="{00000000-000D-0000-FFFF-FFFF00000000}"/>
  </bookViews>
  <sheets>
    <sheet name="总价汇总表" sheetId="1" r:id="rId1"/>
    <sheet name="硬件-报价汇总表" sheetId="2" r:id="rId2"/>
    <sheet name="硬件-报价说明" sheetId="3" r:id="rId3"/>
    <sheet name="硬件-报价明细" sheetId="4" r:id="rId4"/>
    <sheet name="附录五硬件场景需求表" sheetId="8" r:id="rId5"/>
  </sheets>
  <externalReferences>
    <externalReference r:id="rId6"/>
  </externalReferences>
  <definedNames>
    <definedName name="_xlnm._FilterDatabase" localSheetId="3" hidden="1">'硬件-报价明细'!$2:$1048576</definedName>
  </definedNames>
  <calcPr calcId="191029" iterateDelta="1E-4"/>
</workbook>
</file>

<file path=xl/calcChain.xml><?xml version="1.0" encoding="utf-8"?>
<calcChain xmlns="http://schemas.openxmlformats.org/spreadsheetml/2006/main">
  <c r="Q6" i="4" l="1"/>
  <c r="P6" i="4"/>
  <c r="N6" i="4"/>
  <c r="Q5" i="4"/>
  <c r="P5" i="4"/>
  <c r="N5" i="4"/>
  <c r="Q4" i="4"/>
  <c r="P4" i="4"/>
  <c r="N4" i="4"/>
  <c r="Q110" i="4"/>
  <c r="P117" i="4"/>
  <c r="N117" i="4"/>
  <c r="Q112" i="4"/>
  <c r="D6" i="2" s="1"/>
  <c r="P112" i="4"/>
  <c r="N112" i="4"/>
  <c r="P111" i="4"/>
  <c r="N111" i="4"/>
  <c r="P110" i="4"/>
  <c r="N110" i="4"/>
  <c r="E108" i="4"/>
  <c r="E107" i="4"/>
  <c r="Q107" i="4" s="1"/>
  <c r="E106" i="4"/>
  <c r="Q105" i="4"/>
  <c r="P105" i="4"/>
  <c r="N105" i="4"/>
  <c r="Q102" i="4"/>
  <c r="P102" i="4"/>
  <c r="N102" i="4"/>
  <c r="Q100" i="4"/>
  <c r="P100" i="4"/>
  <c r="N100" i="4"/>
  <c r="E99" i="4"/>
  <c r="E103" i="4" s="1"/>
  <c r="E98" i="4"/>
  <c r="Q97" i="4"/>
  <c r="P97" i="4"/>
  <c r="N97" i="4"/>
  <c r="Q96" i="4"/>
  <c r="P96" i="4"/>
  <c r="N96" i="4"/>
  <c r="Q95" i="4"/>
  <c r="P95" i="4"/>
  <c r="N95" i="4"/>
  <c r="Q94" i="4"/>
  <c r="P94" i="4"/>
  <c r="N94" i="4"/>
  <c r="Q93" i="4"/>
  <c r="P93" i="4"/>
  <c r="N93" i="4"/>
  <c r="Q92" i="4"/>
  <c r="P92" i="4"/>
  <c r="N92" i="4"/>
  <c r="P91" i="4"/>
  <c r="N91" i="4"/>
  <c r="Q90" i="4"/>
  <c r="P90" i="4"/>
  <c r="N90" i="4"/>
  <c r="Q89" i="4"/>
  <c r="P89" i="4"/>
  <c r="N89" i="4"/>
  <c r="Q88" i="4"/>
  <c r="P88" i="4"/>
  <c r="N88" i="4"/>
  <c r="Q87" i="4"/>
  <c r="P87" i="4"/>
  <c r="N87" i="4"/>
  <c r="Q86" i="4"/>
  <c r="P86" i="4"/>
  <c r="N86" i="4"/>
  <c r="Q85" i="4"/>
  <c r="P85" i="4"/>
  <c r="N85" i="4"/>
  <c r="Q84" i="4"/>
  <c r="P84" i="4"/>
  <c r="N84" i="4"/>
  <c r="Q83" i="4"/>
  <c r="P83" i="4"/>
  <c r="N83" i="4"/>
  <c r="Q82" i="4"/>
  <c r="P82" i="4"/>
  <c r="N82" i="4"/>
  <c r="Q81" i="4"/>
  <c r="P81" i="4"/>
  <c r="N81" i="4"/>
  <c r="Q80" i="4"/>
  <c r="P80" i="4"/>
  <c r="N80" i="4"/>
  <c r="P79" i="4"/>
  <c r="N79" i="4"/>
  <c r="Q78" i="4"/>
  <c r="P78" i="4"/>
  <c r="N78" i="4"/>
  <c r="Q77" i="4"/>
  <c r="P77" i="4"/>
  <c r="N77" i="4"/>
  <c r="Q76" i="4"/>
  <c r="P76" i="4"/>
  <c r="N76" i="4"/>
  <c r="Q75" i="4"/>
  <c r="P75" i="4"/>
  <c r="N75" i="4"/>
  <c r="Q74" i="4"/>
  <c r="P74" i="4"/>
  <c r="N74" i="4"/>
  <c r="Q73" i="4"/>
  <c r="P73" i="4"/>
  <c r="N73" i="4"/>
  <c r="Q72" i="4"/>
  <c r="P72" i="4"/>
  <c r="N72" i="4"/>
  <c r="Q71" i="4"/>
  <c r="P71" i="4"/>
  <c r="N71" i="4"/>
  <c r="Q70" i="4"/>
  <c r="P70" i="4"/>
  <c r="N70" i="4"/>
  <c r="Q69" i="4"/>
  <c r="P69" i="4"/>
  <c r="N69" i="4"/>
  <c r="P68" i="4"/>
  <c r="N68" i="4"/>
  <c r="Q67" i="4"/>
  <c r="P67" i="4"/>
  <c r="N67" i="4"/>
  <c r="Q66" i="4"/>
  <c r="P66" i="4"/>
  <c r="N66" i="4"/>
  <c r="Q65" i="4"/>
  <c r="P65" i="4"/>
  <c r="N65" i="4"/>
  <c r="Q64" i="4"/>
  <c r="P64" i="4"/>
  <c r="N64" i="4"/>
  <c r="P63" i="4"/>
  <c r="N63" i="4"/>
  <c r="Q62" i="4"/>
  <c r="P62" i="4"/>
  <c r="N62" i="4"/>
  <c r="Q61" i="4"/>
  <c r="P61" i="4"/>
  <c r="N61" i="4"/>
  <c r="Q60" i="4"/>
  <c r="P60" i="4"/>
  <c r="N60" i="4"/>
  <c r="P59" i="4"/>
  <c r="N59" i="4"/>
  <c r="Q58" i="4"/>
  <c r="P58" i="4"/>
  <c r="N58" i="4"/>
  <c r="Q57" i="4"/>
  <c r="P57" i="4"/>
  <c r="N57" i="4"/>
  <c r="Q55" i="4"/>
  <c r="P55" i="4"/>
  <c r="N55" i="4"/>
  <c r="Q54" i="4"/>
  <c r="P54" i="4"/>
  <c r="N54" i="4"/>
  <c r="E53" i="4"/>
  <c r="Q53" i="4" s="1"/>
  <c r="Q52" i="4"/>
  <c r="P52" i="4"/>
  <c r="N52" i="4"/>
  <c r="E51" i="4"/>
  <c r="Q49" i="4"/>
  <c r="P49" i="4"/>
  <c r="N49" i="4"/>
  <c r="Q48" i="4"/>
  <c r="P48" i="4"/>
  <c r="N48" i="4"/>
  <c r="Q47" i="4"/>
  <c r="P47" i="4"/>
  <c r="N47" i="4"/>
  <c r="Q46" i="4"/>
  <c r="P46" i="4"/>
  <c r="N46" i="4"/>
  <c r="Q45" i="4"/>
  <c r="P45" i="4"/>
  <c r="N45" i="4"/>
  <c r="Q44" i="4"/>
  <c r="P44" i="4"/>
  <c r="N44" i="4"/>
  <c r="Q43" i="4"/>
  <c r="P43" i="4"/>
  <c r="N43" i="4"/>
  <c r="Q42" i="4"/>
  <c r="P42" i="4"/>
  <c r="N42" i="4"/>
  <c r="Q41" i="4"/>
  <c r="P41" i="4"/>
  <c r="N41" i="4"/>
  <c r="Q40" i="4"/>
  <c r="P40" i="4"/>
  <c r="N40" i="4"/>
  <c r="Q39" i="4"/>
  <c r="P39" i="4"/>
  <c r="N39" i="4"/>
  <c r="Q38" i="4"/>
  <c r="P38" i="4"/>
  <c r="N38" i="4"/>
  <c r="Q37" i="4"/>
  <c r="P37" i="4"/>
  <c r="N37" i="4"/>
  <c r="Q36" i="4"/>
  <c r="P36" i="4"/>
  <c r="N36" i="4"/>
  <c r="P35" i="4"/>
  <c r="N35" i="4"/>
  <c r="P34" i="4"/>
  <c r="N34" i="4"/>
  <c r="Q33" i="4"/>
  <c r="P33" i="4"/>
  <c r="N33" i="4"/>
  <c r="Q32" i="4"/>
  <c r="P32" i="4"/>
  <c r="N32" i="4"/>
  <c r="Q31" i="4"/>
  <c r="P31" i="4"/>
  <c r="N31" i="4"/>
  <c r="Q30" i="4"/>
  <c r="P30" i="4"/>
  <c r="N30" i="4"/>
  <c r="Q29" i="4"/>
  <c r="P29" i="4"/>
  <c r="N29" i="4"/>
  <c r="Q28" i="4"/>
  <c r="P28" i="4"/>
  <c r="N28" i="4"/>
  <c r="Q27" i="4"/>
  <c r="P27" i="4"/>
  <c r="N27" i="4"/>
  <c r="Q26" i="4"/>
  <c r="P26" i="4"/>
  <c r="N26" i="4"/>
  <c r="E25" i="4"/>
  <c r="E24" i="4"/>
  <c r="P24" i="4" s="1"/>
  <c r="Q23" i="4"/>
  <c r="P23" i="4"/>
  <c r="N23" i="4"/>
  <c r="Q22" i="4"/>
  <c r="P22" i="4"/>
  <c r="N22" i="4"/>
  <c r="Q21" i="4"/>
  <c r="P21" i="4"/>
  <c r="N21" i="4"/>
  <c r="Q20" i="4"/>
  <c r="P20" i="4"/>
  <c r="N20" i="4"/>
  <c r="Q19" i="4"/>
  <c r="P19" i="4"/>
  <c r="N19" i="4"/>
  <c r="Q18" i="4"/>
  <c r="P18" i="4"/>
  <c r="N18" i="4"/>
  <c r="Q17" i="4"/>
  <c r="P17" i="4"/>
  <c r="N17" i="4"/>
  <c r="Q16" i="4"/>
  <c r="P16" i="4"/>
  <c r="N16" i="4"/>
  <c r="Q15" i="4"/>
  <c r="P15" i="4"/>
  <c r="N15" i="4"/>
  <c r="Q14" i="4"/>
  <c r="P14" i="4"/>
  <c r="N14" i="4"/>
  <c r="Q13" i="4"/>
  <c r="P13" i="4"/>
  <c r="N13" i="4"/>
  <c r="Q12" i="4"/>
  <c r="P12" i="4"/>
  <c r="N12" i="4"/>
  <c r="Q11" i="4"/>
  <c r="P11" i="4"/>
  <c r="N11" i="4"/>
  <c r="Q10" i="4"/>
  <c r="P10" i="4"/>
  <c r="N10" i="4"/>
  <c r="Q9" i="4"/>
  <c r="P9" i="4"/>
  <c r="N9" i="4"/>
  <c r="Q8" i="4"/>
  <c r="P8" i="4"/>
  <c r="N8" i="4"/>
  <c r="Q7" i="4"/>
  <c r="P7" i="4"/>
  <c r="N7" i="4"/>
  <c r="D16" i="1"/>
  <c r="E5" i="1"/>
  <c r="Q117" i="4" l="1"/>
  <c r="P107" i="4"/>
  <c r="E101" i="4"/>
  <c r="Q24" i="4"/>
  <c r="D4" i="2" s="1"/>
  <c r="Q25" i="4"/>
  <c r="Q99" i="4"/>
  <c r="N107" i="4"/>
  <c r="N24" i="4"/>
  <c r="P99" i="4"/>
  <c r="N25" i="4"/>
  <c r="P25" i="4"/>
  <c r="E50" i="4"/>
  <c r="N108" i="4"/>
  <c r="P108" i="4"/>
  <c r="N51" i="4"/>
  <c r="Q108" i="4"/>
  <c r="P51" i="4"/>
  <c r="Q51" i="4"/>
  <c r="E109" i="4"/>
  <c r="N109" i="4" s="1"/>
  <c r="N103" i="4"/>
  <c r="Q103" i="4"/>
  <c r="P103" i="4"/>
  <c r="N98" i="4"/>
  <c r="P98" i="4"/>
  <c r="N106" i="4"/>
  <c r="Q98" i="4"/>
  <c r="N101" i="4"/>
  <c r="P106" i="4"/>
  <c r="N53" i="4"/>
  <c r="E56" i="4"/>
  <c r="E104" i="4"/>
  <c r="Q106" i="4"/>
  <c r="P53" i="4"/>
  <c r="N99" i="4"/>
  <c r="Q101" i="4" l="1"/>
  <c r="P101" i="4"/>
  <c r="P109" i="4"/>
  <c r="P50" i="4"/>
  <c r="Q50" i="4"/>
  <c r="N50" i="4"/>
  <c r="Q109" i="4"/>
  <c r="P56" i="4"/>
  <c r="N56" i="4"/>
  <c r="Q56" i="4"/>
  <c r="Q104" i="4"/>
  <c r="P104" i="4"/>
  <c r="N104" i="4"/>
  <c r="P115" i="4" l="1"/>
  <c r="P119" i="4" s="1"/>
  <c r="D5" i="2"/>
  <c r="D7" i="2" s="1"/>
  <c r="D4" i="1" s="1"/>
  <c r="D6" i="1" s="1"/>
  <c r="N115" i="4"/>
  <c r="C10" i="1" s="1"/>
  <c r="D10" i="1"/>
  <c r="D12" i="1" s="1"/>
  <c r="E4" i="1" l="1"/>
  <c r="E6" i="1" s="1"/>
  <c r="N119" i="4"/>
  <c r="Q115" i="4"/>
  <c r="Q119" i="4" s="1"/>
  <c r="C12" i="1"/>
  <c r="E12" i="1" s="1"/>
  <c r="E10" i="1"/>
</calcChain>
</file>

<file path=xl/sharedStrings.xml><?xml version="1.0" encoding="utf-8"?>
<sst xmlns="http://schemas.openxmlformats.org/spreadsheetml/2006/main" count="1230" uniqueCount="617">
  <si>
    <t>密级：公开</t>
  </si>
  <si>
    <t>XX智慧园区一期建设清单报价清单-汇总表</t>
  </si>
  <si>
    <t>序号</t>
  </si>
  <si>
    <t>系统名称</t>
  </si>
  <si>
    <t>税率</t>
  </si>
  <si>
    <t>不含税总价</t>
  </si>
  <si>
    <t>含税总价</t>
  </si>
  <si>
    <t>备注</t>
  </si>
  <si>
    <t>硬件部分</t>
  </si>
  <si>
    <t>软件部分</t>
  </si>
  <si>
    <t>总计（元）</t>
  </si>
  <si>
    <t>按此未税金额投标</t>
  </si>
  <si>
    <t>施工合计未税</t>
  </si>
  <si>
    <t>材料合计未税</t>
  </si>
  <si>
    <t>XX智慧园区一期建设清单（硬件）报价清单</t>
  </si>
  <si>
    <t>智慧消防及物联系统</t>
  </si>
  <si>
    <t>智慧安防系统</t>
  </si>
  <si>
    <t>等保测评</t>
  </si>
  <si>
    <t>不含税总计（元）</t>
  </si>
  <si>
    <r>
      <rPr>
        <sz val="11"/>
        <color rgb="FF000000"/>
        <rFont val="等线"/>
        <family val="3"/>
        <charset val="134"/>
      </rPr>
      <t>报价须知：
1、报价前请仔细阅读《硬件-报价说明》。
2、付款方式：</t>
    </r>
    <r>
      <rPr>
        <sz val="11"/>
        <color rgb="FFFF0000"/>
        <rFont val="等线"/>
        <family val="3"/>
        <charset val="134"/>
      </rPr>
      <t>电汇，初验完成后支付合同对应金额的70%（且累积支付不超实际产值70%），终验决算完成支付至决算对应金额的90%，剩余10%作为质保金，自竣工验收通过满1年后如无质量问题、无发生甲方代扣代付维修费用，甲方无息支付质保金。详见SOW内约定。</t>
    </r>
  </si>
  <si>
    <t>XX智慧园区一期建设清单（硬件） 投标报价说明</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</si>
  <si>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</si>
  <si>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</si>
  <si>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</si>
  <si>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</si>
  <si>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</si>
  <si>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t>2、投标总价含设备、线缆、柜、箱体等的机打标签、整理等工作，达到《XX弱电施工工艺参考图册》、《XX厂区及办公区弱电标识标签规则》要求。</t>
  </si>
  <si>
    <r>
      <rPr>
        <sz val="12"/>
        <color rgb="FF000000"/>
        <rFont val="宋体"/>
        <family val="3"/>
        <charset val="134"/>
      </rPr>
      <t>3、投标总价含施工、技术支持、操作人员培训等，含3年原厂质保运维服务等，</t>
    </r>
    <r>
      <rPr>
        <sz val="12"/>
        <color rgb="FFFE0300"/>
        <rFont val="宋体"/>
        <family val="3"/>
        <charset val="134"/>
      </rPr>
      <t>故障1小时响应，故障处理6小时内完成。</t>
    </r>
  </si>
  <si>
    <r>
      <rPr>
        <sz val="12"/>
        <color rgb="FF000000"/>
        <rFont val="宋体"/>
        <family val="3"/>
        <charset val="134"/>
      </rPr>
      <t>4、投标总价含材料费、施工费、调试费、措施费、安全文明施工费、税金、总包管理服务费、施工用水电费用、辅材、</t>
    </r>
    <r>
      <rPr>
        <sz val="12"/>
        <color rgb="FFFE0300"/>
        <rFont val="宋体"/>
        <family val="3"/>
        <charset val="134"/>
      </rPr>
      <t>实现平台功能前端设备调整（角度、位置等）</t>
    </r>
    <r>
      <rPr>
        <sz val="12"/>
        <color rgb="FF000000"/>
        <rFont val="宋体"/>
        <family val="3"/>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family val="3"/>
        <charset val="134"/>
      </rPr>
      <t>墙面开孔及开槽及修复、地面开挖及绿化恢复、</t>
    </r>
    <r>
      <rPr>
        <sz val="12"/>
        <color rgb="FF000000"/>
        <rFont val="宋体"/>
        <family val="3"/>
        <charset val="134"/>
      </rPr>
      <t>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</si>
  <si>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</si>
  <si>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</si>
  <si>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</si>
  <si>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</si>
  <si>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</si>
  <si>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</si>
  <si>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施工须符合《XX弱电施工工艺参考图册》、《XX厂区及办公区弱电标识标签规则》，含设备、线缆、柜体等机打标签及整理。</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</si>
  <si>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</si>
  <si>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</si>
  <si>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</si>
  <si>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</si>
  <si>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</si>
  <si>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</si>
  <si>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</si>
  <si>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</si>
  <si>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</si>
  <si>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</si>
  <si>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</si>
  <si>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</si>
  <si>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</si>
  <si>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</si>
  <si>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</si>
  <si>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</si>
  <si>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</si>
  <si>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</si>
  <si>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</si>
  <si>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</si>
  <si>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</si>
  <si>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</si>
  <si>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</si>
  <si>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</si>
  <si>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</si>
  <si>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</si>
  <si>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</si>
  <si>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</si>
  <si>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</si>
  <si>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</si>
  <si>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</si>
  <si>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</si>
  <si>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</si>
  <si>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</si>
  <si>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</si>
  <si>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</si>
  <si>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施工合价未税</t>
  </si>
  <si>
    <t>材料未税单价</t>
  </si>
  <si>
    <t>材料合价未税</t>
  </si>
  <si>
    <t>未税小计</t>
  </si>
  <si>
    <t>一、智慧消防及物联系统</t>
  </si>
  <si>
    <t>用户信息传输装置</t>
  </si>
  <si>
    <t>台</t>
  </si>
  <si>
    <t>青鸟</t>
  </si>
  <si>
    <t>JBF5891</t>
  </si>
  <si>
    <t>响应</t>
  </si>
  <si>
    <t>全局网络控制器</t>
  </si>
  <si>
    <t>霍尼韦尔、江森、西门子</t>
  </si>
  <si>
    <t>霍尼韦尔</t>
  </si>
  <si>
    <t>ECC200-PE</t>
  </si>
  <si>
    <t>边缘网络控制器，3条RS485总线；支持编程数据管理等功能</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</si>
  <si>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</si>
  <si>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</si>
  <si>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WEBs系列控制器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</si>
  <si>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</si>
  <si>
    <t>可编程控制盘</t>
  </si>
  <si>
    <t>1、包含：空开、导轨及接线端子
2、国产优质箱体，根据实际安装设备测量后成套定制</t>
  </si>
  <si>
    <t>国产一线品牌，空开品牌为良信、正泰、公牛</t>
  </si>
  <si>
    <t>定制</t>
  </si>
  <si>
    <t>DDC-Panel-XL</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</si>
  <si>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</si>
  <si>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</si>
  <si>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同方泰德</t>
  </si>
  <si>
    <t>24VDC</t>
  </si>
  <si>
    <t>液位开关</t>
  </si>
  <si>
    <t>电缆长度：3M；电缆类型：PVC（聚氯乙烯）；包装形式：纸箱批量简易包装；</t>
  </si>
  <si>
    <t>电缆长度：5M；电缆类型：PVC（聚氯乙烯）；包装形式：纸箱批量简易包装；</t>
  </si>
  <si>
    <t>压力变送器</t>
  </si>
  <si>
    <t>输出信号：4-20MA；量程范围：0-25 bar；过程连接：1/4 NPT；电气连接：1M；</t>
  </si>
  <si>
    <t>流量传感器</t>
  </si>
  <si>
    <r>
      <rPr>
        <sz val="10"/>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0"/>
        <color rgb="FFFE0300"/>
        <rFont val="宋体"/>
        <family val="3"/>
        <charset val="134"/>
      </rPr>
      <t>管径满足现场环境</t>
    </r>
  </si>
  <si>
    <t>HMF-EM16F100N4MY</t>
  </si>
  <si>
    <t>口径100，通讯协议和接口：Modbus RTU， RS485，输出信号：4-20mA脉冲输，供电：24VDC100VAC 至 240VAC</t>
  </si>
  <si>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</si>
  <si>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</si>
  <si>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</si>
  <si>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</si>
  <si>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HSH-RV2B</t>
  </si>
  <si>
    <t>精度：±2%RH；湿度输出：0-10V；温度输出：NTC20K，±0.3°C @25°C；温度量程：-10 ℃ ~ 60 ℃℃；</t>
  </si>
  <si>
    <t>管道风速监测传感器</t>
  </si>
  <si>
    <r>
      <rPr>
        <sz val="10"/>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0"/>
        <color rgb="FF000000"/>
        <rFont val="宋体"/>
        <family val="3"/>
        <charset val="134"/>
      </rPr>
      <t>材质 / 防护：ABS 外壳，探杆 304 不锈钢；IP65</t>
    </r>
    <r>
      <rPr>
        <sz val="10"/>
        <rFont val="宋体"/>
        <family val="3"/>
        <charset val="134"/>
      </rPr>
      <t xml:space="preserve">
</t>
    </r>
    <r>
      <rPr>
        <sz val="10"/>
        <color rgb="FF000000"/>
        <rFont val="宋体"/>
        <family val="3"/>
        <charset val="134"/>
      </rPr>
      <t>温度：-10℃~+50℃（耐高温款可达 80℃）</t>
    </r>
    <r>
      <rPr>
        <sz val="10"/>
        <rFont val="宋体"/>
        <family val="3"/>
        <charset val="134"/>
      </rPr>
      <t xml:space="preserve">
</t>
    </r>
    <r>
      <rPr>
        <sz val="10"/>
        <color rgb="FF000000"/>
        <rFont val="宋体"/>
        <family val="3"/>
        <charset val="134"/>
      </rPr>
      <t>安装：法兰开孔插入式，带密封圈，漏风小</t>
    </r>
  </si>
  <si>
    <t>HSV-ADH30U</t>
  </si>
  <si>
    <t>风速传感器，一体式，最大量程30m/s,0-10V/4-20mA输出，不带显示</t>
  </si>
  <si>
    <t>继电器</t>
  </si>
  <si>
    <t>适配电磁阀信号选配</t>
  </si>
  <si>
    <t>个</t>
  </si>
  <si>
    <t>交流电流变送器</t>
  </si>
  <si>
    <t>输出4-20mA三相模块RS485信号</t>
  </si>
  <si>
    <t>AC0-5A4-20mA10V</t>
  </si>
  <si>
    <t>光纤熔接盒（含光纤熔纤）</t>
  </si>
  <si>
    <t>SC4芯单模满配含熔接尾纤、法兰、SC光跳线</t>
  </si>
  <si>
    <t>一舟、普天天纪、罗格朗</t>
  </si>
  <si>
    <t>一舟</t>
  </si>
  <si>
    <t>S953-4X+
4*S905-3+
4*S812+
2*S922</t>
  </si>
  <si>
    <t>含4个SC单工耦合器，4条SC单芯单模尾纤，2条SC-SC双芯单模跳纤</t>
  </si>
  <si>
    <t>光纤收发器</t>
  </si>
  <si>
    <t>1个10/100M/1000M网口，1个1000Mbps光口（SC），工作波长：1550nm（发送）、1310nm（接收），20km。</t>
  </si>
  <si>
    <t>TP-LINK、山泽、烽火</t>
  </si>
  <si>
    <t>对</t>
  </si>
  <si>
    <t>普联</t>
  </si>
  <si>
    <t>TL-FC311A-3</t>
  </si>
  <si>
    <t>普联（TP-LINK）TL-FC311A-3千兆单模单纤光纤收发器 光电转换器SC单芯3km（单只装）</t>
  </si>
  <si>
    <t>光纤收发器架</t>
  </si>
  <si>
    <t>14槽光纤收发器机架；标准机柜安装；</t>
  </si>
  <si>
    <t>TL-FC1400</t>
  </si>
  <si>
    <t>普联（TP-LINK） TL-FC1400单模多模光纤收发器14槽机架单纤双纤光电转换器整理箱机柜2U机箱</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</si>
  <si>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</si>
  <si>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</si>
  <si>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</si>
  <si>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</si>
  <si>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</si>
  <si>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S952-24X+
24*S905-7-1+
48*S813</t>
  </si>
  <si>
    <t>光纤跳线</t>
  </si>
  <si>
    <t>单模双芯SC-LC优质2米光纤跳线；</t>
  </si>
  <si>
    <t>S928</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</si>
  <si>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</si>
  <si>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</si>
  <si>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S0200-GY</t>
  </si>
  <si>
    <t>华三、锐捷（非睿易）</t>
  </si>
  <si>
    <t>锐捷</t>
  </si>
  <si>
    <t>千兆单模光模块</t>
  </si>
  <si>
    <t>LC接口，单模千兆光纤（和交换机同品牌）</t>
  </si>
  <si>
    <t>信号线</t>
  </si>
  <si>
    <t>国标，RVV2*1.0</t>
  </si>
  <si>
    <t>RVV2*1.0</t>
  </si>
  <si>
    <t>国标，RVVP2*1.0</t>
  </si>
  <si>
    <t>RVVP2*1.0</t>
  </si>
  <si>
    <t>国标，RVVP4*1.0</t>
  </si>
  <si>
    <t>RVVP4*1.0</t>
  </si>
  <si>
    <t>国标，RVVP6*1.0</t>
  </si>
  <si>
    <t>RVVP6*1.0</t>
  </si>
  <si>
    <t>JDG20管</t>
  </si>
  <si>
    <t>JDG管，壁厚不小于1.0MM,φ20；含主材、接头、固定扣件（含钢结构扣件）等辅材</t>
  </si>
  <si>
    <t>国产</t>
  </si>
  <si>
    <t>JDG20</t>
  </si>
  <si>
    <r>
      <rPr>
        <sz val="10"/>
        <color rgb="FF000000"/>
        <rFont val="宋体"/>
        <family val="3"/>
        <charset val="134"/>
      </rPr>
      <t>JDG管，壁厚不小于1.0MM,</t>
    </r>
    <r>
      <rPr>
        <sz val="10"/>
        <color rgb="FF000000"/>
        <rFont val="Calibri"/>
        <family val="2"/>
      </rPr>
      <t>φ</t>
    </r>
    <r>
      <rPr>
        <sz val="10"/>
        <color rgb="FF000000"/>
        <rFont val="宋体"/>
        <family val="3"/>
        <charset val="134"/>
      </rPr>
      <t>20；含主材、接头、固定扣件（含钢结构扣件）等辅材</t>
    </r>
  </si>
  <si>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</si>
  <si>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</si>
  <si>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</si>
  <si>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</si>
  <si>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</si>
  <si>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</si>
  <si>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</si>
  <si>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</si>
  <si>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DS-2XC7245/KZ</t>
  </si>
  <si>
    <t xml:space="preserve">400万抗振防抖摄像机
产品具备抗振动及图像防抖能力，支持起重机械场景使用
内置大模型移动周界功能，支持AI开放平台及HEOP功能，支持自定义算法训练及三方算法集成
最高分辨率可达2560 × 1440，并在此分辨率下可输出最大60 fps实时图像
支持低延时，相机解码延时低至100 ms
采用双光阵列灯，低功耗，红外照射距离最远达80 m（2.8~12 mm红外支持50 m），白光照射距离最远达50 m（2.8~12 mm白光支持30 m）
支持DC9 V~36 V宽压和PoE at供电
支持除雾，防止设备内部起雾
支持雨刷
支持加热
彩色：0.0005 Lux @（F1.2，AGC ON）；黑白：0.0001 Lux @（F1.2，AGC ON）；0 Lux with IR
支持宽动态范围达120 dB，适合逆光环境监控
支持三码流技术，每路码流可独立配置分辨率及帧率
支持1路音频输入和1路音频输出、1路报警输入和1路报警输出、1路RS-485 、1路模拟视频输出
千兆自适应以太网口，M12航空头（8芯），标配防水对插头
支持防雷、防浪涌、防静电，IP68防护等级
C5-M、NEMA 4X、WF2防腐蚀标准，有效避免酸性、中性盐雾腐蚀
传感器类型：1/1.8" Progressive Scan CMOS
最低照度：彩色：0.0005 Lux @（F1.2, AGC ON），0 Lux with Light
黑白：0.0001 Lux @（F1.2, AGC ON），0 Lux with IR
调节角度：水平: -15°~15°；垂直: -120°~45° 
焦距&amp;视场角：2.8~12 mm：水平视场角：99.6°~39.8°，垂直视场角：52.3°~22.4°，对角视场角：119.9°~45.7°
8~32 mm：水平视场角：40.3°~14.5°，垂直视场角：22.1°~8.2°，对角视场角：46.9°~16.5° 
补光灯类型：红外模式：红外灯
白光模式：白光灯
补光距离：2.8~12 mm：红外50米，白光30米
8~32 mm：红外80米，白光50米 
最大分辨率：2560 × 1440
视频压缩标准：主码流：H.265/H.264 
子码流：H.265/H.264/MJPEG 
第三码流：H.265/H.264  
宽动态：120dB 
视频输出：1 Vp-p复合输出（75 Ω/CVBS）
网络：千兆自适应以太网口，M12航空头（8芯），标配防水对插头
SD卡扩展：内置MicroSD插槽，最大支持512 GB
音频：1路输入（Line in）（terminal block）（最大输入幅值：3.3 Vpp，输入阻抗：1 kΩ，接口类型：非平衡） 
1路输出（Line out）（terminal block）（最大输出幅值：3.3 Vpp，输出阻抗：100 Ω，接口类型：非平衡）
报警：1路输入，1路输出（报警输出最大支持DC12 V，30mA）
RS-485：支持1个RS-485 
外壳材质：316L不锈钢
产品尺寸：199.7 × 201.9 × 209.2 mm
包装尺寸：340 × 298 × 290 mm
设备重量：5.6 kg
带包装重量：6.6 kg
启动和工作温湿度：-40 °C~60 °C，湿度小于95%（无凝结）
雨刷：支持
电流及功耗：DC：9~36 V，2.65~0.65 A，24 W Max
PoE：802.3at，42.5 V~57 V，0.56 A~0.42 A，24 W Max
供电方式：DC：9 V~36 V，支持防反接保护；PoE：802.3at，Class 4
电源接口类型：2芯绿头
安装方式：壁装，座装  
防腐蚀：WF2，C5，NEMA 4X 
恢复出厂设置：支持
在线升级：支持
文件系统双备份：支持 </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</si>
  <si>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</si>
  <si>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</si>
  <si>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DS-2CD2645V3-FD</t>
  </si>
  <si>
    <t xml:space="preserve">
最高分辨率可达400万像素（2688 × 1520），并在此分辨率下可输出30 fps实时图像
室外消防通道占用：可检测汽车是否占用区域，可根据停留时间上报信息，可支持车牌号识别
室内消防通道占道：可检测杂物堆放导致通道被长时间占用
支持smart事件，人脸抓拍，比对建模，车辆监控算法切换使用
支持室内通道占用与人脸抓拍并行运行
支持室内通道占用与smart事件并行运行
可支持AI开放平台训练模型包导入运行
支持电动变焦，方便远程调节图像，保证算法效果
内置2个内置麦克风，1个内置扬声器，支持远程对讲与智能联动语音
外部接口丰富：1路报警IO输入，1路报警IO输出；1路音频LINE IN输入，1路音频输出LINE OUT；1路485接口；1路DC12V电源反送
最大支持512GB MicroSD/MicroSDHC/MicroSDXC卡存储；
传感器类型：1/2.7" 逐行扫描 CMOS
最低照度：彩色：0.005 Lux @（F1.2，AGC ON），0 Lux with Light； 
黑白：0.001 Lux @（F1.2，AGC ON），0 Lux with IR
焦距&amp;视场角：2.7~13.5 mm：水平视场角：30.1°~99°，垂直视场角：17°~52.9°，对角视场角：34.6°~117.8°
补光灯类型：反射式补光，双光 (红外850nm+白光) 
补光距离：红外最远可达50m，暖白最远可达30m 
主码流帧率分辨率：50 Hz:25 fps(2688 × 1520,2560 × 1440,1920 × 1080,1280 × 720)
60 Hz:30 fps(2688 × 1520,2560 × 1440,1920 × 1080,1280 × 720)
视频压缩标准：主码流：H.265/H.265+/H.264/H.264
子码流：H.265/H.264/MJPEG
第三码流：H.265/H.264 
网络传输类型：有线 
宽动态：120 dB 
连接方式：甩线式接口，线缆长度约35cm；
音频：1路输入（Line in），1路输出（Line out），2个内置麦克风，1个内置扬声器
报警：1路输入，湿接点，支持3.3 V~5 V范围电位
1路输出，三极管输出，电平量，湿接点，最大支持DC 12V，30 mA    
RS-485：1路RS-485接口，采用半双工模式，支持自适应HIKVISION，PELCO-P和PELCO-D协议  
电源输出：1路DC12V输出，最大电流100mA。备注：为保证设备正常工作，电源输出外接延长线请控制在10米以内。 
尺寸：设备尺寸：180.3 × 99.2 × 93 mm
包装尺寸：315 × 137 × 141 mm
重量：设备重量：1.0kg
带包装重量：1.3kg
存储温湿度：-30 °C~60 °C，湿度小于95%（无凝结）
启动和工作温湿度：-30 °C~60 °C，湿度小于95%（无凝结）
物理防护：防水防尘：IP67 
电源：1、 电源输入类型：2芯接口
2、 电流及功耗：
DC：12 V，1.2 A，最大功耗：14.4W
PoE：PoE(IEEE 802.3at class 4)，最大功耗：16W </t>
  </si>
  <si>
    <t>热成像摄像机</t>
  </si>
  <si>
    <r>
      <rPr>
        <sz val="10"/>
        <color rgb="FF000000"/>
        <rFont val="宋体"/>
        <family val="3"/>
        <charset val="134"/>
      </rPr>
      <t>★热成像：分辨率：256×192；焦距：</t>
    </r>
    <r>
      <rPr>
        <sz val="10"/>
        <color rgb="FFFE0300"/>
        <rFont val="宋体"/>
        <family val="3"/>
        <charset val="134"/>
      </rPr>
      <t>焦距可选：3/7/10mm</t>
    </r>
    <r>
      <rPr>
        <sz val="10"/>
        <color rgb="FF000000"/>
        <rFont val="宋体"/>
        <family val="3"/>
        <charset val="134"/>
      </rPr>
      <t>；</t>
    </r>
    <r>
      <rPr>
        <sz val="10"/>
        <rFont val="宋体"/>
        <family val="3"/>
        <charset val="134"/>
      </rPr>
      <t xml:space="preserve">
</t>
    </r>
    <r>
      <rPr>
        <sz val="10"/>
        <color rgb="FF000000"/>
        <rFont val="宋体"/>
        <family val="3"/>
        <charset val="134"/>
      </rPr>
      <t>可见光：分辨率：2688*1520，400万；</t>
    </r>
    <r>
      <rPr>
        <sz val="10"/>
        <color rgb="FFFE0300"/>
        <rFont val="宋体"/>
        <family val="3"/>
        <charset val="134"/>
      </rPr>
      <t>焦距：焦距可选：4mm/8mm/12.4mm</t>
    </r>
    <r>
      <rPr>
        <sz val="10"/>
        <color rgb="FF000000"/>
        <rFont val="宋体"/>
        <family val="3"/>
        <charset val="134"/>
      </rPr>
      <t>；</t>
    </r>
    <r>
      <rPr>
        <sz val="10"/>
        <rFont val="宋体"/>
        <family val="3"/>
        <charset val="134"/>
      </rPr>
      <t xml:space="preserve">
</t>
    </r>
    <r>
      <rPr>
        <sz val="10"/>
        <color rgb="FF000000"/>
        <rFont val="宋体"/>
        <family val="3"/>
        <charset val="134"/>
      </rPr>
      <t>支持1路音频输入，1路音频输出；</t>
    </r>
    <r>
      <rPr>
        <sz val="10"/>
        <rFont val="宋体"/>
        <family val="3"/>
        <charset val="134"/>
      </rPr>
      <t xml:space="preserve">
</t>
    </r>
    <r>
      <rPr>
        <sz val="10"/>
        <color rgb="FF000000"/>
        <rFont val="宋体"/>
        <family val="3"/>
        <charset val="134"/>
      </rPr>
      <t>支持2路报警输入，2路报警输出；</t>
    </r>
    <r>
      <rPr>
        <sz val="10"/>
        <rFont val="宋体"/>
        <family val="3"/>
        <charset val="134"/>
      </rPr>
      <t xml:space="preserve">
</t>
    </r>
    <r>
      <rPr>
        <sz val="10"/>
        <color rgb="FF000000"/>
        <rFont val="宋体"/>
        <family val="3"/>
        <charset val="134"/>
      </rPr>
      <t>外壳防护等级：IP67；</t>
    </r>
    <r>
      <rPr>
        <sz val="10"/>
        <rFont val="宋体"/>
        <family val="3"/>
        <charset val="134"/>
      </rPr>
      <t xml:space="preserve">
</t>
    </r>
    <r>
      <rPr>
        <sz val="10"/>
        <color rgb="FF000000"/>
        <rFont val="宋体"/>
        <family val="3"/>
        <charset val="134"/>
      </rPr>
      <t>电源电压在DC12V±20%范围内变化时，能正常工作；</t>
    </r>
    <r>
      <rPr>
        <sz val="10"/>
        <rFont val="宋体"/>
        <family val="3"/>
        <charset val="134"/>
      </rPr>
      <t xml:space="preserve">
</t>
    </r>
    <r>
      <rPr>
        <sz val="10"/>
        <color rgb="FF000000"/>
        <rFont val="宋体"/>
        <family val="3"/>
        <charset val="134"/>
      </rPr>
      <t>可通过IE浏览器在热成像画面中设置点、线段、区域测温规则；</t>
    </r>
    <r>
      <rPr>
        <sz val="10"/>
        <rFont val="宋体"/>
        <family val="3"/>
        <charset val="134"/>
      </rPr>
      <t xml:space="preserve">
</t>
    </r>
    <r>
      <rPr>
        <sz val="10"/>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0"/>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0"/>
        <color rgb="FF000000"/>
        <rFont val="宋体"/>
        <family val="3"/>
        <charset val="134"/>
      </rPr>
      <t>★噪声等效温差为8mk，最小可分辨温差为200mk（（公京检第2401130038号第100条）</t>
    </r>
    <r>
      <rPr>
        <sz val="10"/>
        <rFont val="宋体"/>
        <family val="3"/>
        <charset val="134"/>
      </rPr>
      <t xml:space="preserve">
</t>
    </r>
    <r>
      <rPr>
        <sz val="10"/>
        <color rgb="FF000000"/>
        <rFont val="宋体"/>
        <family val="3"/>
        <charset val="134"/>
      </rPr>
      <t>热成像视频图像具有白热、黑热、融合1、融合2、彩虹1、铁红2、深褐色等42种显示模式</t>
    </r>
    <r>
      <rPr>
        <sz val="10"/>
        <rFont val="宋体"/>
        <family val="3"/>
        <charset val="134"/>
      </rPr>
      <t xml:space="preserve">
</t>
    </r>
    <r>
      <rPr>
        <sz val="10"/>
        <color rgb="FF000000"/>
        <rFont val="宋体"/>
        <family val="3"/>
        <charset val="134"/>
      </rPr>
      <t>含安装支架</t>
    </r>
  </si>
  <si>
    <t>HM-TD2628-XX/T1A</t>
  </si>
  <si>
    <t xml:space="preserve">双光谱筒型摄像机
【功能特性】
热成像像素256 × 192，像元大小12um，NETD ≤ 35 mK (25°C, F1.0)
支持区域入侵探测、越界探测、进入区域探测、离开区域探测、音频异常探测、高温物体检测等功能
支持测温功能:支持普通测温，专家测温检测；可以画最多10个点，1条线，10个区域检测。测温范围：-20 °C~300 °C，测温精度：±8 °C或者读数的±8%（取最大值）
支持吸烟检测、火点检测、烟雾检测
支持联动白光报警、支持联动声音报警，内置白光灯和扬声器
支持AI开放平台
智能功能资源配置：测温、周界功能支持同时开启。测温、火点检测、烟雾检测支持同时开启。测温、AI开放平台支持同时开启。周界功能不支持与火点、吸烟、烟雾检测两两同时开启。
支持线性、直方图、自适应等热成像AGC模式，支持DDE、3D DNR。
支持叉车去误报功能
【应用场景】
可通过外接温湿度传感器，在样机OSD界面显示传感器信息
周界防范：石油石化、电力系统、工商企业、政府大院、铁路沿线、机场、文博、学校、医院等；
烟火检测：物流仓储、博物馆、实验室、数据机房、配电房等；
吸烟检测：加油站、景区、博物馆、校园、医院、生产车间等；
热成像传感器类型：氧化钒非制冷型探测器
热成像像元尺寸：12 μm
热成像响应波段：8~14 μm
热成像分辨率：256 × 192
热成像焦距：10 mm 
热成像视场角：18°×13.5°
热成像最大光圈值：F1.0
热成像数字变倍：×2,×4
热成像帧频：50 Hz: 25 fps
热成像近摄距：3.5m
噪声等效温差NETD：≤ 35 mk(@25 °C,F#=1.0)
空间分辨率MRAD：1.24
伪彩：白热、黑热、融合1、彩虹、融合2、铁红1、铁红2、深褐色、色彩1、色彩2、冰火、雨、红热、绿热、深蓝等15种
温度异常功能：全屏测温
专家模式：10个点，10个框，1条线总计21个测温规则
测温范围：测温范围：-20 °C~300 °C
测温精度：测温精度：±8 °C或者读数的±8%（取最大值）
人员最远报警距离（以1.8米*0.5米为准）：100m
车辆最远报警距离（以4米*1.4米为准）：300m
吸烟检测最远报警距离：15m
防火最远报警距离（以0.05㎡高温源或0.1㎡火焰为准）：70m
最远测温距离（满足测温精度，以0.1m*0.1m目标物为准）：15m 
可见光传感器类型：400万星光级1/2.7" Progressive Scan CMOS
可见光焦距&amp;视场角：12.4mm,24.6°×14°
烟雾最远报警距离（以1㎡烟雾为准）：70m
可见光分辨率：2688 × 1520
最低照度：0.0089Lux @(F1.6,AGC ON) ,0 Lux with IR
可见光补光功能：补光最远可达30米
可见光光圈值：F1.6 
报警联动：内置混合补光灯（支持红外和白光补光）、内置扬声器，支持联动白光报警、支持联动声音报警
周界防范检测：热成像通道（默认）：越界侦探测,区域入侵探测,进入/离开区域探测
可见光通道：越界探测,区域入侵探测,进入/离开区域探测
防火应用检测：支持火点检测、烟雾检测、吸烟检测 
最大预览路数：20路
视频压缩标准：H.265/H.264/MJPEG 
音频压缩标准：G.711/G.722.1/G.726/MP2L2/PCM 
客户端：iVMS-4200/萤石/HIK-CONNCET
浏览器：IE10+,Chrome 57+,Mozilla Firefox 52+,Mac Safari 12 
报警输入：支持2路DC 0~5 V报警输入
报警输出：支持2路常开型继电器输出，报警类型可设置
音频输入：1路3.5 mm Mic in/Line in interface. Line input: 2-2.4 V[p-p]
音频输出：1路3.5mm Impedance: 600Ω 
复位键：1个复位键
RS485控制接口：1路
网口：1路RJ45接口10/100 M自适应以太网口
SD卡存储：1个内置SD卡卡槽,最大支持内存256G 
尺寸：312.1 mm × 105 mm × 104.9 mm
电源输入：12 VDC ± 25%，PoE (802.3at, class 4)
备注：需单独购买DC 12V电源适配器
功率：12 VDC ± 25%: 1.2A to 2A, max. 18W
PoE (802.3at, class 4): 42.5 V to 57 V, 0.32 A to 0.43A, max. 18W
工作温度和湿度：-40°C~70°C，＜95% RH
测温环境温度：-20°C~50°C
防护等级：IP67
重量：1.53 kg
藏线盒：需单独购买 </t>
  </si>
  <si>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</si>
  <si>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</si>
  <si>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DS-2DP1618XS-LD</t>
  </si>
  <si>
    <t xml:space="preserve">1600万180°AR鹰眼_800万45倍_雨刷_卫星定位_5G
1600万180° 无盲区球型5G AR鹰眼，全景采用4个F1.0大光圈全彩镜头拼接而成，可输出180°大场景拼接画面
全景画面可支持关注区域畸变矫正，细节内置45倍变焦光学防抖镜头
支持基于行业平台实现AR立体防控，可添加500个标签，结合前端多维感知设备和业务系统数据，将高点范围内的人、车、地、事、物叠加到实时视频画面中进行展示和联动，通过多维联动、全景回溯、移动标签、标记标绘等应用，为用户掌握重点区域的实时动向、及时响应指挥调度提供新方式
全景智能：Smart事件、人员密度、车辆拥堵；细节智能：全结构化、Smart事件；更好助力平安城市公共安全管理
适用于城市高点、机场车站、城管市政、水利枢纽、企业园区、景区、校园等重点场所
全景摄像机
4个1/1.8＂ 4MP Progressive Scan CMOS，最高分辨率及帧率可达6072x2640@30fps
视场角：水平180°，垂直110°
细节摄像机
1/1.2＂ 8MP Progressive Scan CMOS，最高分辨率及帧率可达3840x2160@30fps
45倍光学变倍，16倍数字变倍
【全景】支持区域入侵侦测、越界侦测、进入区域、离开区域事件侦测功能
【全景】支持人员密度检测功能，检测覆盖范围半径100米
【全景】支持车辆拥堵检测功能，检测覆盖范围半径150米，推荐：在封闭式道路中可以做拥堵事件检测，推荐在高速、环线、快速路或者主干线
【细节】支持区域入侵侦测、越界侦测、进入区域、离开区域事件侦测功能
【细节】支持全结构化：支持细节路混合目标检测，对检测区域内的人、非机动车、车进行同时抓拍上传，人脸人体关联输出，并实现对人脸、人体、车辆结构化属性特征信息提取
支持GB35114A级安全加密
AI-ISP：细节球机采用去噪卷积神经网络将深度结构、学习算法用于图像去噪，最终使画面成像更新清晰，噪点更小图像更干净
支持北斗卫星定位
支持光学防抖、光学透雾
支持雨刷，环动式双雨刷设计，可对全景4个镜头、细节球机镜头进行清洁
移动通信类型： 5G/4G/3G
传感器类型：【全景】1/1.8＂ progressive scan CMOS,【细节】1/1.2＂ progressive scan CMOS
最低照度：【全景】0.0005Lux/F1.0（彩色），0.0001Lux/F1.0（黑白）；【细节】星光级超低照度，0.0005Lux/F1.5（彩色），0.0001Lux/F1.5（黑白），0 Lux with IR
宽动态：全景不支持，细节支持120dB超宽动态
光学变倍：45倍 
焦距：【全景】2 mm；【细节】7.2~320 mm
视场角：水平视场角61.0~1.8度（广角~望远）
垂直视场角35.9~1.1度（广角~望远）
对角线视场角68.5~2.1度（广角~望远）   
红外照射距离：500m 
防补光过曝：支持 
水平范围：360°
垂直范围：-15°-90°(自动翻转)
水平速度：水平键控速度：0.1°-500°/s,速度可设;水平预置点速度：500°/s
垂直速度：垂直键控速度：0.1°-350°/s,速度可设;垂直预置点速度：350°/s  
主码流帧率分辨率：全景：50Hz: 25fps (6072x2640,5520×2400, 4096×1800,3840×1680, 2784×1200) 60Hz: 30fps (6072x2640，5520×2400,  4096×1800，3840×1680, 2784×1200)
细节：50Hz:25fps (3840×2160,2560×1440,1920×1080,1280×960,1280×720)
60Hz:30fps(3840×2160,2560×1440,1920×1080,1280×960,1280×720)
视频压缩标准：主码流：H.264/H.265+/H.265/H.264+ 子码流：H.264/H.265/MJPEG 第三码流：H.264/H.265/MJPEG 
移动通信类型：同时支持5G/4G/3G
无线频段：5G NR/LTE-FDD/LTE-TDD/WCDMA
无线制式：5G NR：n1/n5/n8/n28/n41/n78/n79
LTE-FDD：B1/B3/B5/B8
LTE-TDD：B34/B38/39/B40/B41
WCDMA：B1/B5/B8
无线传输速率：NR(SA)：DL 2 Gbps；UL 766 Mbps
EN-DC：DL 2.2 Gbps；UL 458 Mbps
LTE：DL 487 Mbps; UL 150 Mbps
WCDMA：DL 42 Mbps; UL 11 Mbps
SIM卡：nano SIM 
卫星定位：支持北斗卫星定位
陀螺仪：支持
电子罗盘：支持 
网络接口：RJ45网口;自适应10M/100M/1000M网络数据
光纤接口：FC接口;内置光纤模块;波长TX1310/RX1550nm;20km传输距离;单模单纤;1000M网络数据
SD卡扩展：内置Micro SD卡插槽，支持Micro SD/Micro SDHC/Micro SDXC卡（最大支持512G）
报警：7路报警输入，2路报警输出
音频：1路音频输入，1路音频输出
RS485接口：采用半双工模式，支持自适应HIKVISION，PELCO-P和PELCO-D(可添加)协议 
供电方式：DC36V；  整机平均功耗85w.最大功耗 120w
工作温湿度：-40℃-70℃;湿度小于90%
恢复出厂设置：支持
雨刷：支持
除雾：支持
尺寸：Φ427.6x425.9mm
重量：净重 14.6kg 
防护：IP67; 6000V 防雷、防浪涌、防突波，符合GB/T17626.2/3/4/5/6四级标准 </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</si>
  <si>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</si>
  <si>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</si>
  <si>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iDS-MCD402-MF/40X+TF-P1/1T/TAY</t>
  </si>
  <si>
    <t xml:space="preserve">5G双摄便携球套装
支持双摄：40倍光学变倍机芯，最大分辨率2560*1440，图像清晰、细腻，低照度，彩色0.0001Lux；全景镜头8M，分辨率2160×3840；
支持自动彩转黑功能，实现昼夜监控
支持人脸比对，可存储30W张人脸名单（需配TF卡）
支持车辆检测及抓拍
支持抽烟、佩戴安全帽、玩手机、未穿工作服检测
支持3D-DNR
支持双TF卡存储
支持5G模块（天线内置），可额外扩展1个4G模块
配置可拆卸电池，单电池可支持8-9小时连续工作
支持双MIC、双扬声器，可选配支持LINE IN\LINE OUT
支持自定义语音导入，可关联智能分析报警
自带2.4寸LCD显示屏，可支持视频预览，云台控制等，可显示当前电池电量、GPS状态、3G/4G/5G状态、录像状态、存储容量、蓝牙状态、平台连接状态、Wi-Fi状态、智能算法模式等
底部配置高吸力磁铁，安装便捷
传感器类型：变焦机芯：1/1.8" Progressive Scan CMOS
全景相机8M：1/1.8" Progressive Scan CMOS
彩色最低照度：变焦机芯：0.0001Lux @ (F1.6，AGC ON)
黑白最低照度：变焦机芯：0.00005Lux @(F1.6，AGC ON) 
屏幕尺寸：2.4英寸
分辨率：240*320
材质：TFT
触摸屏：电容屏 
镜头焦距：5.8-232mm
镜头光圈：F1.3-F4.6
光学变倍：40倍 
水平视场角：59-2度(广角-望远) 
子码流压缩码率：2Mbps
视频压缩标准：H.264;H.265;MJPEG
码率控制：定码率;变码率
录像格式：MP4
录像分辨率：变焦机芯：2560×1440
全景相机8M：3840×2160
图片分辨率：1920*1080;2560*1440
图片格式：JPEG 
音频压缩标准：G.722.1;G.711alaw;G.711ulaw 
人脸比对：支持
车辆抓拍：支持
车牌识别：支持
车辆特征识别：支持车牌、车身颜色、车型、车辆品牌、车辆子品牌识别
车辆黑名单：支持车辆黑名单
安全帽佩戴检测：支持未佩戴安全帽检测
目标抓拍：支持
支持人脸库个数：10个(需配置TF卡)
支持的人脸数量：300000张(需配置TF卡)
支持屏蔽区域设置 
拨号：GSM/GPRS/EDGE：900/1800MHz
WCDMA：B1/5/8
LTE：B1/3/5/8/34/38/39/40/41
5G：N1/5/8/28/41/77/78/79
定位：北斗
蓝牙：4.0
语音对讲：支持 
指示灯：充电指示灯,工作指示灯
系统功耗：10W~30W
产品重量：带电池4.35kg~4.5kg
产品尺寸：高262mm，直径175mm
防护等级：IP66
供电方式：电池供电;外接电源
工作温度：-10℃~55℃
工作湿度：湿度小于95%
材质：镁合金 
水平旋转角度：360°
垂直旋转角度：-20°~90° 
预置点：256个
巡航扫描：8条
花样扫描：4条
断电记忆：支持 
红外：支持
红外补光距离：100m看清人体轮廓 
扩展存储个数：2
扩展存储介质：TF
扩展存储容量：默认不含TF卡，最大支持1TB存储卡 
充电接口：6芯航空头
外部接口：电源输出接口;RJ45;RS-232;RS-485;line-in;line-out;Alarm-in;Alarm-out
扬声器：支持
MIC：支持
存储卡卡槽：2
电源输出接口：5V 
电池可拆卸：支持
电池容量：13400mAh
待机时间：8-9小时
关机充电时间：＜4小时
电池类型：锂离子电池 </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</si>
  <si>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</si>
  <si>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</si>
  <si>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DS-IX2512-U/SF</t>
  </si>
  <si>
    <t xml:space="preserve">【智能应用】
整机最大支持512路普通视频流(2MP)接入或768路文搜相机(2MP/4MP)接入，实现智能目标抓拍、大模型以文搜图算法、人脸算法、结构化算法并行分析。
整机共搭载8张智能卡，其中4张抓拍卡，用于视频全目标抓拍；4张计算卡，共6个虚拟引擎，可自定义配置以文搜图算法、人脸算法、结构化算法；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处理器：64位多核处理器
智能卡：8张
系统内存：160GB DDR4，共32个内存槽位
系统盘：2×240GB SSD
数据盘：1×1.92TB SSD（U.2 NVMe），1× 4TB SATA盘，8× 8TB SATA盘
网络接口：2×千兆电口 + 2×万兆光口
阵列卡：1张
其它接口：2×VGA接口，4×USB接口
整机电源：1200W ，1+1冗余电源
系统风扇：4个可插拔风扇，支持PID调速
机箱尺寸：87.5 mm(高) × 446.6 mm（宽） × 835 mm（深） </t>
  </si>
  <si>
    <t>AI服务器</t>
  </si>
  <si>
    <r>
      <rPr>
        <sz val="10"/>
        <color rgb="FF000000"/>
        <rFont val="宋体"/>
        <family val="3"/>
        <charset val="134"/>
      </rPr>
      <t>主处理器：配置2颗KP920处理器，核数≥24核，主频≥2.5GHz；</t>
    </r>
    <r>
      <rPr>
        <sz val="10"/>
        <rFont val="宋体"/>
        <family val="3"/>
        <charset val="134"/>
      </rPr>
      <t xml:space="preserve">
</t>
    </r>
    <r>
      <rPr>
        <sz val="10"/>
        <color rgb="FF000000"/>
        <rFont val="宋体"/>
        <family val="3"/>
        <charset val="134"/>
      </rPr>
      <t>操作系统：openEuler-22.03-LTS-aarch64</t>
    </r>
    <r>
      <rPr>
        <sz val="10"/>
        <rFont val="宋体"/>
        <family val="3"/>
        <charset val="134"/>
      </rPr>
      <t xml:space="preserve">
</t>
    </r>
    <r>
      <rPr>
        <sz val="10"/>
        <color rgb="FF000000"/>
        <rFont val="宋体"/>
        <family val="3"/>
        <charset val="134"/>
      </rPr>
      <t>智能卡数量：配置8张Atlas 300V 智能卡；最大可支持8个智能卡</t>
    </r>
    <r>
      <rPr>
        <sz val="10"/>
        <rFont val="宋体"/>
        <family val="3"/>
        <charset val="134"/>
      </rPr>
      <t xml:space="preserve">
</t>
    </r>
    <r>
      <rPr>
        <sz val="10"/>
        <color rgb="FFFE0300"/>
        <rFont val="宋体"/>
        <family val="3"/>
        <charset val="134"/>
      </rPr>
      <t>场景以本表格《附录五硬件场景需求表》为准</t>
    </r>
    <r>
      <rPr>
        <sz val="10"/>
        <rFont val="宋体"/>
        <family val="3"/>
        <charset val="134"/>
      </rPr>
      <t xml:space="preserve">
</t>
    </r>
    <r>
      <rPr>
        <sz val="10"/>
        <color rgb="FFFE0300"/>
        <rFont val="宋体"/>
        <family val="3"/>
        <charset val="134"/>
      </rPr>
      <t>要求算法识别准确率、设备监测准确率不低于95%</t>
    </r>
  </si>
  <si>
    <t>DS-IF2008/AI</t>
  </si>
  <si>
    <t xml:space="preserve">K系列推理服务器
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 </t>
  </si>
  <si>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</si>
  <si>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</si>
  <si>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DS-A71148R/GR</t>
  </si>
  <si>
    <t xml:space="preserve">6U机架式48盘位网络存储设备，搭载64位多核处理器，1+1冗余电源、冗余风扇，实现7×24小时稳定运行
【硬件规格】
处理器：1颗64位多核处理器
系统内存：32GB（可扩展至128GB）
系统盘：1×240GB SSD（后置）
数据盘：1×960GB SSD（数据存储）
存储接口：48个SATA接口，支持硬盘热插拔
网络接口：4个2.5G数据网口，1个千兆管理口
其他接口：1×COM，2×USB2.0（前置），2×USB3.0（后置），1×VGA（前置），1×HDMI（后置）
整机电源：1600W，1+1冗余电源
【产品性能】
以文搜图模式一：768路（文搜IPC）
或 200路2MP（普通IPC，视频流）+ 568路（文搜IPC）
以文搜图模式二：300路2MP（普通IPC，视频流）
检索数量：350W/天
视频性能：最大支持接入768路（最大接入带宽1920Mbps）
图片性能：最大支持100张/S（单张图片500KB）
回放性能：最大支持76路2Mbps
事件录像：最大支持200路2Mbps
【智能应用】
前端接入能力：支持接入智能相机、结构化相机、抓拍机，对图片中的目标进行多模态大模型建模
大模型图文建模：内置大模型算法引擎，支持对目标图像和自然语言的多模态大模型建模，建立目标图像和自然语言的对应关系
大模型以文搜图：内置图文搜索引擎，支持开放式语义检索，输入文字描述即可查找人、车、非机动车及附属物等目标
以文搜图应用展示：支持全通道录像检索，且通道和时间范围可设；支持搜索结果相似度自定义设置展示；支持自定义选择时间范围
模型微调：支持对搜索结果进行快速标定和文本微调训练，提升文本搜图
搜索结果精准定位：支持搜索结果按相似度排序展示，根据搜索结果，可一键关联录像片段及以图搜图，对目标进行二次精准检索定位，还原目标的跨通道行动轨迹
搜索结果快速筛选：以文搜图检索结果支持以相似度、时间、通道等条件对检出录像/图片进行排序或筛选
【产品功能】
支持视频流、图片直写
支持ONVIF、GB/T 28181、RTSP等标准协议
支持VRAID、RAID0、1、5、6、10等多种RAID模式
支持RAID降级可读写(VRAID)，支持全局热备
支持局部重构，原盘或其克隆盘拔出设备后再插回，未被覆盖数据可快速恢复 </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</si>
  <si>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</si>
  <si>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</si>
  <si>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</si>
  <si>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</si>
  <si>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</si>
  <si>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</si>
  <si>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</si>
  <si>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</si>
  <si>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</si>
  <si>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</si>
  <si>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D165-T-D</t>
  </si>
  <si>
    <t>电源线</t>
  </si>
  <si>
    <t>国标，RVV3*2.5</t>
  </si>
  <si>
    <t>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</si>
  <si>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</si>
  <si>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</si>
  <si>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400mmX300mmX500mm</t>
  </si>
  <si>
    <t>3.5米监控立杆</t>
  </si>
  <si>
    <t>1.3.5米监控立杆，含地笼及混凝土基础；
2.颜色和背包箱保持一致。</t>
  </si>
  <si>
    <t>3.5米立杆</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</si>
  <si>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</si>
  <si>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</si>
  <si>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</si>
  <si>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</si>
  <si>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</si>
  <si>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</si>
  <si>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大疆</t>
  </si>
  <si>
    <t>DJI Matrice 4TD（中国版）SP Plus</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</si>
  <si>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</si>
  <si>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</si>
  <si>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</si>
  <si>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大疆机场 3（中国版）SP Plus</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</si>
  <si>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</si>
  <si>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</si>
  <si>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大疆司空 2 一体机套装（中国标准版）</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</si>
  <si>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</si>
  <si>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</si>
  <si>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</si>
  <si>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</si>
  <si>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DS-MDT102/MF</t>
  </si>
  <si>
    <t xml:space="preserve">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
传感器类型：后置主相机1300万像素，前置500万相机 
屏幕尺寸：5.5英寸
分辨率：1440*720
聚焦模式：前置：定焦 后置：自动 
视频压缩标准：H.264
录像格式：3GP
图片分辨率：2M;5M;8M;13M
图片格式：JPEG 
音频采样率：8 kHz;16 kHz;44.1 kHz;48 kHz
音频压缩标准：AAC;AAC+;AMR;AWB;VORBIS
音频压缩码率：8K,16K,32kbps,64kbps,128kbps,256kbps 
拨号：TDD-LTE B38;TDD-LTE B39;TDD-LTE B40;TDD-LTE B41;FDD -LTE B1;FDD -LTE B3;FDD -LTE B5;FDD -LTE B8;WCDMA B1;WCDMA B8;TD-SCDMA B34;TD-SCDMA B39;CDMA EVDO BC0;GSM 900;GSM 1800
Wi-Fi工作模式：AP;STATION
Wi-Fi频率范围：2.412-2.472 GHz;5.15-5.25 GHz;5.25-5.35 GHz;5.47-5.725 GHz;5.725-5.875 GHz
定位：GPS;北斗;GLONASS
蓝牙：5.0
NFC：支持 
内置存储介质：Emmc
内置存储容量：64GB 
充电接口：Type-C
扬声器：支持
MIC：支持
SIM卡槽：2 个 Nano SIM，与TF卡槽三选二 
CPU：八核2.0 Ghz
操作系统：Android14
内存：4GB
闪光灯：支持
指示灯：充电指示灯;工作指示灯
震动：支持
按键：电源、音量+、音量-、自定义键、扫码键
产品重量：240g
产品尺寸：154.9*73.3*15mm
防护等级：IP68
跌落性能：1.5米跌落
供电方式：电池供电
工作温度：-20℃～+55℃
工作湿度：&lt;95% 
电池可拆卸：不支持
电池容量：5000mAh（典型容量）
关机充电时间：3小时
电池类型：锂离子电池 </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</si>
  <si>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</si>
  <si>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</si>
  <si>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DS-TRC100-8/X</t>
  </si>
  <si>
    <t xml:space="preserve">巡更标签
NFC巡更打卡，使用单兵设备可直接进行巡更打卡
3M背胶设计，可直接粘贴于墙面，也可通过中间固定孔进行螺丝固定
【一般规范】
工作温度: -20~50℃
工作湿度: 20%~60%
</t>
  </si>
  <si>
    <t>卡片录入仪</t>
  </si>
  <si>
    <t>1.支持发卡类型：ID卡、IC卡、身份证物料卡号（序列号）、普通CPU卡、国密CPU卡
2.USB2.0接口
3.具有2个Sim卡尺寸的PSAM卡座
4.工作电压：DC 5V
5.工作电流：0.2A</t>
  </si>
  <si>
    <t>DS-K1F100K</t>
  </si>
  <si>
    <t>支持发卡类型：ID卡、IC卡、身份证物理卡号（序列号）、普通CPU卡、国密CPU卡；
USB2.0接口；
具有2个Sim卡尺寸的PSAM卡座；
工作电压：DC 5V；
工作电流：0.2A；
尺寸：117*67.5*14.3mm</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</si>
  <si>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</si>
  <si>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</si>
  <si>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</si>
  <si>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</si>
  <si>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</si>
  <si>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</si>
  <si>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DS-PO2-iDFM/S4/G</t>
  </si>
  <si>
    <t xml:space="preserve">传感光缆
传感光缆防护等级高达IP68，且具有如下性能优势，探测振动响应灵敏，抗拉伸、耐磨损、抗压扁、抗冲击、抗鼠咬，可反复弯曲、扭转、曲绕、弯折、枪击等，具有很好的机械性能。
光缆信号传输快、传输距离远、传输信息完整性好、抗电磁场干扰、绝缘性好、化学稳定性好、尺寸小、重量轻、寿命长、损耗低具有很好的特性和经济效益。
环境适应性强：光纤具备柔性特点，可以随地形安装，适合地形复杂的周界
抗电磁干扰：前端全无源设计，不受取网供电条件制约，不受电磁干扰影响
耐腐蚀：抗恶劣环境，如潮湿、高低温干扰，可耐氨气、氯气、盐雾、酸雨等
【基本参数】
光纤类型: 4芯单模光纤
纤芯类型: G.652D 9/125μm 非色散位移单模光纤
光缆外径: 8.6mm(±5%)
抗压系数: 短期：1000N/10cm
长期：300N/10cm
拉伸强度: 短期：1500N
长期：600N
最小弯曲半径: 光缆外径的10倍（静态）
光缆外径的20倍（动态）
光缆传输衰减: 1310nm≤0.36dB/km
1550nm≤0.22dB/km
【一般规范】
工作温度: -40~70℃
工作湿度: 0~95%R.H
包装规格: 3000米/卷
防护等级: IP68
</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</si>
  <si>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</si>
  <si>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</si>
  <si>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DS-QFA3016DW</t>
  </si>
  <si>
    <r>
      <rPr>
        <sz val="10"/>
        <color rgb="FF000000"/>
        <rFont val="宋体"/>
        <family val="3"/>
        <charset val="134"/>
      </rPr>
      <t xml:space="preserve">定位型振动光纤处理器
处理器：
定位型振动光纤处理器是一款基于相干检测技术的分布式光纤振动探测系统，通过PDC </t>
    </r>
    <r>
      <rPr>
        <sz val="10"/>
        <color rgb="FF000000"/>
        <rFont val="Calibri"/>
        <family val="2"/>
      </rPr>
      <t>φ</t>
    </r>
    <r>
      <rPr>
        <sz val="10"/>
        <color rgb="FF000000"/>
        <rFont val="宋体"/>
        <family val="3"/>
        <charset val="134"/>
      </rPr>
      <t xml:space="preserve">-OTDR光时域反射解调算法做到精确的定位，结合后端数据分析处理模块，实现对振动的有效监测。同时，设备具有对自然环境干扰的智能模式识别能力，显著降低误报。
利用光纤中的背向散射光，通过光的相干检测，得到扰动位置的相位或光强的变化，输出对应的振动信号。系统可以定位振动事件，精确到其空间分辨率，可同时定位检测多个位置的振动事件
环境适应性强：光纤具备柔性特点，可以随地形安装，适合地形复杂的周界
抗电磁干扰：前端全无源设计，不受取网供电条件制约，不受电磁干扰影响
探测灵敏：灵敏度高，可高保真识别振动声波
长距离监测：监测距离长，可达数十公里
精准定位：定位精度高，支持同时定位监测多点振动事件
耐腐蚀：抗恶劣环境，如潮湿、高低温干扰，可耐氨气、氯气、盐雾、酸雨等
服务器：
抗震驱动器托架，支持3个5.25",1个3.5"驱动器
电源和HDD状态LED指示灯
高效切换电源和易维护风扇
特殊的固定夹紧设计与橡胶垫，保护卡片免受冲击和振动
易维护空气滤网、前置USB接口
【基本参数】
光纤类型: 单模光纤 (ITU-T G.652D)
通道数: 1
单通道探测距离: 30km
定位精度: ±5m
单元数: 可配置，根据光纤长度和单位间隔进行配置。
报警响应时间: ≤1S
频率响应: 0.1Hz 到 1kHz
采集速率: 250MS/s
【功能】
指示灯: 服务器电源灯：
蓝灯常亮：设备已上电；
蓝灯不亮：设备未上点；
服务器HDD指示灯：
蓝灯闪烁：有数据传输；
蓝灯不亮：无数据传输
蜂鸣器: 服务器触发报警或防拆报警，蜂鸣器长鸣
按键: 服务器:
1个船型开关；
1个关机按键
【用户】
安装员: 1个
管理员: 1个
普通用户: 若干
【存储】
硬盘存储: 支持1个256G SSD和1个1T机械硬盘
【接口】
电源接口: 1个220V电源接口
功能接口: 6个USB 3.0接口；
2个RJ45 1000M自适应以太网接口；
1个VGA接口；
1个HDMI接口；
1个DVI接口；
2个RS232接口；
3个SMA接口
音频输入: 1个音频输入输出接口
【一般规范】
电源: 服务器：220V～50Hz, 1.0A 处理器：220V～50Hz, 1.0A
整机功耗: 60W
工作温度: -15℃~55℃
工作湿度: 0~93%（±2%）无凝露
材质: 全金属
颜色: 黑色
产品尺寸: 服务器：186mm（高）*483mm（宽）*475mm（深） 
处理器：145mm （高）x 483mm （宽）x 498mm (深）
裸机重量: 服务器：约15kg
处理器：约10kg
激光防护等级: Class 1
包装尺寸: 服务器：370 mm (高）x 660 mm（宽） x 650 mm (深)
处理器：270mm（高） x 615 mm（宽） x 635 mm（深）
【协议】
网络协议: 支持ISAPI、OTAP、TCP
【通信参数】
通信方式: 支持有线网络
</t>
    </r>
  </si>
  <si>
    <t>抗紫外线扎带</t>
  </si>
  <si>
    <t>1.安装方式: 将扎线带尾巴穿过头部，即可束紧。
2.尺寸规格: 5*300mm
3.最大承受拉力: 200N±15N
4.包装数量: 250根/包
5.耐温: -40℃ ~ +80℃
6.材料: 尼龙PA66抗紫外线（UV）原料</t>
  </si>
  <si>
    <t>包</t>
  </si>
  <si>
    <t>DS-PO2-CTS/UV5300</t>
  </si>
  <si>
    <t xml:space="preserve">抗紫外线扎带
材质：NYLON PA66 制成，抗紫外线，低温脆化高温不软化，承受力强，不易老化。
特点：耐候原料（抗紫外线），适合户外使用。
用法：止退式设计，束紧后便不可退出。
【常规参数】
安装方式: 将扎线带尾巴穿过头部，即可束紧。
【基本参数】
尺寸规格: 5*300mm
最大承受拉力: 200N±15N
包装数量: 250根/包
耐温: -40℃ ~ +80℃
材料: 尼龙PA66抗紫外线（UV）原料
</t>
  </si>
  <si>
    <t>光纤接续盒</t>
  </si>
  <si>
    <t>1.光纤接续盒
2.材质：ABS工程塑料
3.规格：进出缆数，二进二出</t>
  </si>
  <si>
    <t>只</t>
  </si>
  <si>
    <t>DS-PO2-UG/ABS</t>
  </si>
  <si>
    <t xml:space="preserve">光纤接续盒
材质：ABS工程塑料
规格：进出缆数，二进二出
【常规参数】
尺寸(宽x高x深): 460mm*170mm*110mm
外壳材质: ABS工程塑料
</t>
  </si>
  <si>
    <t>塑料格栅</t>
  </si>
  <si>
    <t>1.塑料格栅是用于埋地方式部署振动光纤时，用于埋地时承载探测光缆的承载物
2.尺寸(宽x高x深): 网格：3.2cm*3.5cm；边宽3.3mm；边厚：1.3mm</t>
  </si>
  <si>
    <t>m2</t>
  </si>
  <si>
    <t>DS-PO-PG</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</si>
  <si>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</si>
  <si>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</si>
  <si>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iDS-6716NX/S-ZD</t>
  </si>
  <si>
    <t xml:space="preserve">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 </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</si>
  <si>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</si>
  <si>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</si>
  <si>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</si>
  <si>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</si>
  <si>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</si>
  <si>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</si>
  <si>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</si>
  <si>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</si>
  <si>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</si>
  <si>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</si>
  <si>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</si>
  <si>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DS-PB401-4100</t>
  </si>
  <si>
    <t xml:space="preserve">四光束红外对射
采用抗白光凸透镜、抗太阳光外罩和滤光接收管，提升抗外光及恶劣环境干扰能力。
采用优质红外发射管和光学双凸透镜设计，提高发射功率和光束聚焦能力，增强信号强度、发射距离更远。
支持5种响应模式调整，防宠、防树叶遮挡误报能力更优。
宽电压设计，支持DC12-24V和AC12-18V，兼容集中供电，有效解决线路降压。
报警输出支持NO/NC两种干节点模式，系统融合更便捷。
内置防拆开关（常闭型），当外壳被拆开时触发警报。
光轴支持水平大角度、垂直多角度调整，方便对光，施工便捷高效。
双数码管实时呈现对光信号强度，施工便捷高效。
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t>
  </si>
  <si>
    <t>工控箱</t>
  </si>
  <si>
    <t>配套工控箱</t>
  </si>
  <si>
    <t>DS-PB-WPB01S</t>
  </si>
  <si>
    <t xml:space="preserve">红外对射工控箱（不锈钢）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
总供电输出规格：DC12V   2路；DC24V   4路
输出电流：1.5A Max
输出功率：30W Max
总供电输出保护：漏电防护：额定电压(V)：230/400 AC
                 额定电流(A)：16A
                 额定频率(Hz)：50/60
                 数        量：1个 （2P）
浪涌防护：额定电压：230V（相电压）
                 最大放电电流：20KA
                 响应时间：＜ 25ns
                 数        量：1个（2P） 
Ancillary Control Equipment (ACE)：接线端子：进线范围：10-35平方
                 出线范围：2.5-16平方
                 适用电流：100A
                 导件材质：黄铜镀锡
                 端口数量：1进2出 
工作湿度：10%~90% （相对湿度，无冷凝）
工作温度：-20℃~+55℃ 
IP等级：IP55
安装方式：支持壁挂、抱箍、落地等三种安装方式
外壳材质：304不锈钢，壁厚 0.8mm±0.15mm
尺寸（宽 × 高 × 深）：含有帽沿（高*宽*深）：300mm*248mm*180mm
不含帽沿（高*宽*深）：300mm*248mm*160mm
重量：3.9Kg±0.2Kg </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</si>
  <si>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</si>
  <si>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</si>
  <si>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DS-19A08-01BN</t>
  </si>
  <si>
    <t xml:space="preserve">总线报警主机
报警管理：支持探测器/紧急报警装置触发信号的接收，进行入侵/紧急报警事件管理
防区特性：支持即时防区、延时防区、紧急防区、超时防区等场景化防区类型设置，满足细致化管理需求
分区管理：支持子系统分区，对探测器进行分区管理，支持布防、撤防、消警、旁路等功能
报警指示：支持报警键盘、警号、继电器联动、中心平台上报等报警事件指示功能
操作管理：支持报警键盘、客户端软件、中心平台进行报警管理操作
联动控制：支持报警事件联动，平台控制报警输出，实现场景化联动输出，进行个性化管理
断电报警：当市电断电时，设备可通过蓄电池正常工作（需配蓄电池），并将断电事件进行通知上报
断网续传：支持断网续传功能，设备离线状态下产生事件在与平台连接后会重新上传
快速移机：支持设备配置文件导出和导入功能，实现参数备份和快速移机
配置方式：iVMS-4200、键盘编程、SADP
操作系统：Linux
日志存储：40000条
系统校时：手动校时、NTP校时 
子系统：8个
公共子系统：支持 
板载防区：8路
扩展防区：最大可扩展248路（其中无线防区上限为64个） 
板载警号输出：1路
板载继电器输出：4路
扩展输出：最大可扩展252路 
键盘：32个
总线中继器：4个，单条总线最多2个 
遥控器：32个（需搭配报警键盘支持）
卡片：32张（需搭配报警键盘支持） 
总线类型：M-BUS
总线拓扑：手拉手
总线距离：2400m，每增加一个中继器延长2400m，单条线路最多增加2个中继器
总线线型：RVV2*1.5mm² 
网络协议：SDK、NAL2300
接口协议：PSTN-CID 
主电源：AC220V
电池接口：铅酸蓄电池接口x1
辅电输出：DC12V/1A
警号接口：1路
防区输入接口：8路
报警输出接口：4路
总线接口：2路
RS-485接口：1路
网络接口：1路，支持扩展
4G模块接口：1路，模块按需选配
电话线模块接口：1路，模块出厂标配
打印机接口：1路 
使用场景：室内
安装方式：壁挂
供电方式：AC 220 V （出厂自带电源适配器转14.3V）
额定功率：5W（设备单机功率）
最大功率：60W (系统外设辅电满载)
颜色：白色
外壳材质：金属
认证等级：GA：4级
产品重量：≤3.5kg
产品尺寸：370mm（长）×320mm（宽）×86mm（厚）
工作温度及湿度：-10°C~55°C，湿度小于90%（无凝结）
存储温度及湿度：-25°C~60C，湿度小于90%（无凝结） </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</si>
  <si>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</si>
  <si>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</si>
  <si>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DS-PK-LRT</t>
  </si>
  <si>
    <t xml:space="preserve">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 </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</si>
  <si>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</si>
  <si>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</si>
  <si>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DS-PZ101VB-1207</t>
  </si>
  <si>
    <t xml:space="preserve">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 " </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</si>
  <si>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</si>
  <si>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</si>
  <si>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</si>
  <si>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 "</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</si>
  <si>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</si>
  <si>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</si>
  <si>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DS-19M02-ZS</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</si>
  <si>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</si>
  <si>
    <t>入侵报警软件</t>
  </si>
  <si>
    <t>1、支持报警子系统管理能力，包含布防、撤防、消警控制操作；
2、支持防区管理能力，包含旁路、旁路恢复操作；
3、支持实时入侵报警能力；
4、支持历史入侵报警事件查询及导出能力；</t>
  </si>
  <si>
    <t>国标，RVV2*1.5</t>
  </si>
  <si>
    <t>RVV2*1.5</t>
  </si>
  <si>
    <t>国标，RVV4*0.75</t>
  </si>
  <si>
    <t>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</si>
  <si>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</si>
  <si>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</si>
  <si>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0"/>
        <color rgb="FF000000"/>
        <rFont val="Calibri"/>
        <family val="2"/>
      </rPr>
      <t>1</t>
    </r>
    <r>
      <rPr>
        <sz val="10"/>
        <color rgb="FF000000"/>
        <rFont val="宋体"/>
        <family val="3"/>
        <charset val="134"/>
      </rPr>
      <t>、包含、空开、导轨及接线端子</t>
    </r>
    <r>
      <rPr>
        <sz val="10"/>
        <color rgb="FF000000"/>
        <rFont val="Calibri"/>
        <family val="2"/>
      </rPr>
      <t xml:space="preserve">
2</t>
    </r>
    <r>
      <rPr>
        <sz val="10"/>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</si>
  <si>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</si>
  <si>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</si>
  <si>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RS-48</t>
  </si>
  <si>
    <t>噪声监测传感器</t>
  </si>
  <si>
    <t>量程：30~120dBA（A 计权）。
精度：±0.5dB，分辨率 0.1dB。
频率：20Hz~12.5kHz。
供电：10~30VDC（建议 24V）。
防护：IP65，室外可用 输出信号为 0-10V。</t>
  </si>
  <si>
    <t>国产一线品牌</t>
  </si>
  <si>
    <r>
      <rPr>
        <sz val="10"/>
        <color rgb="FF000000"/>
        <rFont val="宋体"/>
        <family val="3"/>
        <charset val="134"/>
      </rPr>
      <t>1.标准：不低于TIA/EIA568-C.2、ISO/IEC11801、IEC60332-1、GB 50311；</t>
    </r>
    <r>
      <rPr>
        <sz val="10"/>
        <rFont val="宋体"/>
        <family val="3"/>
        <charset val="134"/>
      </rPr>
      <t xml:space="preserve">
</t>
    </r>
    <r>
      <rPr>
        <sz val="10"/>
        <color rgb="FFFE0300"/>
        <rFont val="宋体"/>
        <family val="3"/>
        <charset val="134"/>
      </rPr>
      <t>2.导体规格：2.导体规格：多股绞合铜线，4×2×24AWG；</t>
    </r>
    <r>
      <rPr>
        <sz val="10"/>
        <rFont val="宋体"/>
        <family val="3"/>
        <charset val="134"/>
      </rPr>
      <t xml:space="preserve">
</t>
    </r>
    <r>
      <rPr>
        <sz val="10"/>
        <color rgb="FF000000"/>
        <rFont val="宋体"/>
        <family val="3"/>
        <charset val="134"/>
      </rPr>
      <t>3.护套材料：PVC，护套外径：6.3±0.3mm；</t>
    </r>
    <r>
      <rPr>
        <sz val="10"/>
        <rFont val="宋体"/>
        <family val="3"/>
        <charset val="134"/>
      </rPr>
      <t xml:space="preserve">
</t>
    </r>
    <r>
      <rPr>
        <sz val="10"/>
        <color rgb="FF000000"/>
        <rFont val="宋体"/>
        <family val="3"/>
        <charset val="134"/>
      </rPr>
      <t>4.插头规格：RJ45，8P8C；</t>
    </r>
    <r>
      <rPr>
        <sz val="10"/>
        <rFont val="宋体"/>
        <family val="3"/>
        <charset val="134"/>
      </rPr>
      <t xml:space="preserve">
</t>
    </r>
    <r>
      <rPr>
        <sz val="10"/>
        <color rgb="FF000000"/>
        <rFont val="宋体"/>
        <family val="3"/>
        <charset val="134"/>
      </rPr>
      <t>5.插拔次数：≥1000次；</t>
    </r>
    <r>
      <rPr>
        <sz val="10"/>
        <rFont val="宋体"/>
        <family val="3"/>
        <charset val="134"/>
      </rPr>
      <t xml:space="preserve">
</t>
    </r>
    <r>
      <rPr>
        <sz val="10"/>
        <color rgb="FF000000"/>
        <rFont val="宋体"/>
        <family val="3"/>
        <charset val="134"/>
      </rPr>
      <t>6.最高传输频率：不小于250MHz；</t>
    </r>
    <r>
      <rPr>
        <sz val="10"/>
        <rFont val="宋体"/>
        <family val="3"/>
        <charset val="134"/>
      </rPr>
      <t xml:space="preserve">
</t>
    </r>
    <r>
      <rPr>
        <sz val="10"/>
        <color rgb="FF000000"/>
        <rFont val="宋体"/>
        <family val="3"/>
        <charset val="134"/>
      </rPr>
      <t>7.线缆外护套上间隔印有商标、电缆编号、电缆类别、线规、防火等级、标准；</t>
    </r>
    <r>
      <rPr>
        <sz val="10"/>
        <rFont val="宋体"/>
        <family val="3"/>
        <charset val="134"/>
      </rPr>
      <t xml:space="preserve">
</t>
    </r>
    <r>
      <rPr>
        <sz val="10"/>
        <color rgb="FF000000"/>
        <rFont val="宋体"/>
        <family val="3"/>
        <charset val="134"/>
      </rPr>
      <t>8.支持以太网供电应用（POE/POE+）；</t>
    </r>
    <r>
      <rPr>
        <sz val="10"/>
        <rFont val="宋体"/>
        <family val="3"/>
        <charset val="134"/>
      </rPr>
      <t xml:space="preserve">
</t>
    </r>
    <r>
      <rPr>
        <sz val="10"/>
        <color rgb="FF000000"/>
        <rFont val="宋体"/>
        <family val="3"/>
        <charset val="134"/>
      </rPr>
      <t>9.描述：用于办公桌桌面跳线，长度2米</t>
    </r>
    <r>
      <rPr>
        <sz val="10"/>
        <rFont val="宋体"/>
        <family val="3"/>
        <charset val="134"/>
      </rPr>
      <t xml:space="preserve">
</t>
    </r>
    <r>
      <rPr>
        <sz val="10"/>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</si>
  <si>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</si>
  <si>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</si>
  <si>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</si>
  <si>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RVV4*1.0</t>
  </si>
  <si>
    <t>线缆</t>
  </si>
  <si>
    <t>三、等保测评</t>
  </si>
  <si>
    <t>二级等保测评</t>
  </si>
  <si>
    <t>PW</t>
  </si>
  <si>
    <t>SBY</t>
  </si>
  <si>
    <t>差价</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</si>
  <si>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</si>
  <si>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</si>
  <si>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</si>
  <si>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</si>
  <si>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</si>
  <si>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</si>
  <si>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</si>
  <si>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</si>
  <si>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</si>
  <si>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</si>
  <si>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</si>
  <si>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</si>
  <si>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</si>
  <si>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</si>
  <si>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</si>
  <si>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</si>
  <si>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</si>
  <si>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</si>
  <si>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</si>
  <si>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</si>
  <si>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</si>
  <si>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</si>
  <si>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</si>
  <si>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</si>
  <si>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</si>
  <si>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</si>
  <si>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</si>
  <si>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</si>
  <si>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</si>
  <si>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</si>
  <si>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</si>
  <si>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</si>
  <si>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</si>
  <si>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</si>
  <si>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</si>
  <si>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</si>
  <si>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</si>
  <si>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</si>
  <si>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</si>
  <si>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</si>
  <si>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</si>
  <si>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</si>
  <si>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</si>
  <si>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</si>
  <si>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</si>
  <si>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</si>
  <si>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</si>
  <si>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</si>
  <si>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</si>
  <si>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</si>
  <si>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</si>
  <si>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</si>
  <si>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</si>
  <si>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</si>
  <si>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</si>
  <si>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</si>
  <si>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</si>
  <si>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</si>
  <si>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</si>
  <si>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</si>
  <si>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</si>
  <si>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</si>
  <si>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</si>
  <si>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</si>
  <si>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</si>
  <si>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</si>
  <si>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</si>
  <si>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</si>
  <si>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</si>
  <si>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</si>
  <si>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</si>
  <si>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</si>
  <si>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</si>
  <si>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</si>
  <si>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</si>
  <si>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</si>
  <si>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</si>
  <si>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</si>
  <si>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</si>
  <si>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</si>
  <si>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</si>
  <si>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</si>
  <si>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</si>
  <si>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</si>
  <si>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</si>
  <si>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</si>
  <si>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</si>
  <si>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</si>
  <si>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</si>
  <si>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</si>
  <si>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</si>
  <si>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</si>
  <si>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</si>
  <si>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</si>
  <si>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</si>
  <si>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</si>
  <si>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</si>
  <si>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</si>
  <si>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</si>
  <si>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</si>
  <si>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</si>
  <si>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</si>
  <si>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</si>
  <si>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</si>
  <si>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</si>
  <si>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</si>
  <si>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</si>
  <si>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</si>
  <si>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</si>
  <si>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</si>
  <si>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</si>
  <si>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</si>
  <si>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</si>
  <si>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</si>
  <si>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</si>
  <si>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</si>
  <si>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</si>
  <si>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</si>
  <si>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</si>
  <si>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</si>
  <si>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</si>
  <si>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</si>
  <si>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</si>
  <si>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</si>
  <si>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</si>
  <si>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</si>
  <si>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</si>
  <si>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</si>
  <si>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</si>
  <si>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</si>
  <si>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</si>
  <si>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</si>
  <si>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</si>
  <si>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</si>
  <si>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</si>
  <si>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</si>
  <si>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</si>
  <si>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</si>
  <si>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</si>
  <si>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</si>
  <si>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</si>
  <si>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</si>
  <si>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</si>
  <si>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</si>
  <si>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</si>
  <si>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</si>
  <si>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</si>
  <si>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</si>
  <si>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</si>
  <si>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</si>
  <si>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</si>
  <si>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</si>
  <si>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</si>
  <si>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</si>
  <si>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</si>
  <si>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</si>
  <si>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</si>
  <si>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</si>
  <si>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</si>
  <si>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</si>
  <si>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</si>
  <si>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</si>
  <si>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</si>
  <si>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</si>
  <si>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</si>
  <si>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</si>
  <si>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</si>
  <si>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</si>
  <si>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</si>
  <si>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</si>
  <si>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</si>
  <si>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</si>
  <si>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</si>
  <si>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</si>
  <si>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</si>
  <si>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</si>
  <si>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</si>
  <si>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</si>
  <si>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</si>
  <si>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</si>
  <si>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</si>
  <si>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</si>
  <si>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</si>
  <si>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</si>
  <si>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</si>
  <si>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</si>
  <si>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</si>
  <si>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</si>
  <si>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</si>
  <si>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</si>
  <si>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</si>
  <si>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</si>
  <si>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</si>
  <si>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</si>
  <si>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</si>
  <si>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</si>
  <si>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</si>
  <si>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</si>
  <si>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</si>
  <si>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</si>
  <si>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</si>
  <si>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</si>
  <si>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</si>
  <si>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</si>
  <si>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</si>
  <si>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</si>
  <si>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</si>
  <si>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</si>
  <si>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</si>
  <si>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</si>
  <si>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</si>
  <si>
    <t>主机信号采集数量：青鸟自动报警主机*20，青岛鼎信自动报警主机*1，利达自动报警主机*1，各品牌需对应使用适配的用户信息传输硬件</t>
    <phoneticPr fontId="26" type="noConversion"/>
  </si>
  <si>
    <t>光纤熔接盒（含光纤熔纤）</t>
    <phoneticPr fontId="26" type="noConversion"/>
  </si>
  <si>
    <t>含4个SC单工耦合器，4条SC单芯单模尾纤，2条SC-SC双芯单模跳纤</t>
    <phoneticPr fontId="26" type="noConversion"/>
  </si>
  <si>
    <t>全局网络控制器</t>
    <phoneticPr fontId="26" type="noConversion"/>
  </si>
  <si>
    <t>WEBs系列控制器</t>
    <phoneticPr fontId="26" type="noConversion"/>
  </si>
  <si>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phoneticPr fontId="26" type="noConversion"/>
  </si>
  <si>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phoneticPr fontId="26" type="noConversion"/>
  </si>
  <si>
    <t>边缘网络控制器，3条RS485总线；支持编程数据管理等功能</t>
    <phoneticPr fontId="26" type="noConversion"/>
  </si>
  <si>
    <r>
      <t>1.名称：全局网络控制器 </t>
    </r>
    <r>
      <rPr>
        <sz val="10"/>
        <rFont val="宋体"/>
        <family val="3"/>
        <charset val="134"/>
      </rPr>
      <t xml:space="preserve">
</t>
    </r>
    <r>
      <rPr>
        <sz val="10"/>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phoneticPr fontId="26" type="noConversion"/>
  </si>
  <si>
    <t>ECC200-PE</t>
    <phoneticPr fontId="26" type="noConversion"/>
  </si>
  <si>
    <t>24VDC</t>
    <phoneticPr fontId="26" type="noConversion"/>
  </si>
  <si>
    <t>S953-4X+
4*S905-3+
4*S812+
2*S922</t>
    <phoneticPr fontId="26" type="noConversion"/>
  </si>
  <si>
    <t>S952-24X+
24*S905-7-1+
48*S813</t>
    <phoneticPr fontId="26" type="noConversion"/>
  </si>
  <si>
    <t>室外4芯单模光缆</t>
    <phoneticPr fontId="26" type="noConversion"/>
  </si>
  <si>
    <t>D173-4</t>
  </si>
  <si>
    <t>输出4-20mA三相模块RS485信号</t>
    <phoneticPr fontId="26" type="noConversion"/>
  </si>
  <si>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phoneticPr fontId="26" type="noConversion"/>
  </si>
  <si>
    <t>24口接入交换机-单电源</t>
    <phoneticPr fontId="26" type="noConversion"/>
  </si>
  <si>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phoneticPr fontId="26" type="noConversion"/>
  </si>
  <si>
    <t>壁挂式，用于消防远程监控，通过RS232端口实时监测所连接火灾报警控制器的报警信息，并通过有线网络传递到监控平台。满足GB26875-2011标准。</t>
    <phoneticPr fontId="26" type="noConversion"/>
  </si>
  <si>
    <t>霍尼韦尔、江森、西门子</t>
    <phoneticPr fontId="26" type="noConversion"/>
  </si>
  <si>
    <t>用于实现火灾报警控制器与云端进行有线通讯（网线）的联网设备，DC24V供电，外型尺寸 136*89*36(mm)。</t>
    <phoneticPr fontId="26" type="noConversion"/>
  </si>
  <si>
    <t>鼎信</t>
  </si>
  <si>
    <t>TS-CS-8101</t>
  </si>
  <si>
    <t>主电电源：额定工作电压 AC220V/50Hz，宽电压范围 AC176V～AC420V 可接入；
备电电源：12V/2.3Ah 蓄电池；
容量：配接一台控制器；
液晶规格：320×480 彩色液晶屏；
使用环境：温度：0℃~+40℃；
相对湿度≤95%，不凝露；
外形尺寸：270.0mm× 190.0mm× 62.5mm(长× 宽× 高)；
安装孔距：水平间距 226.0mm，垂直间距 93.0mm；
重量：约 2.1kg；
外壳防护等级：IP30；</t>
    <phoneticPr fontId="26" type="noConversion"/>
  </si>
  <si>
    <t>利达</t>
  </si>
  <si>
    <t>LD6920</t>
  </si>
  <si>
    <t>DC 24V；&lt; 200mA； CAN总线、RS232串口、开关量输入；支持 GPRS/2G、TCP/IP、电话线（可选配）</t>
    <phoneticPr fontId="26" type="noConversion"/>
  </si>
  <si>
    <t>定制</t>
    <phoneticPr fontId="26" type="noConversion"/>
  </si>
  <si>
    <t>DDC-Panel-XL</t>
    <phoneticPr fontId="26" type="noConversion"/>
  </si>
  <si>
    <t>1、包含：空开、导轨及接线端子
2、国产优质箱体，根据实际安装设备测量后成套定制</t>
    <phoneticPr fontId="26" type="noConversion"/>
  </si>
  <si>
    <t>HSL-LS05</t>
    <phoneticPr fontId="26" type="noConversion"/>
  </si>
  <si>
    <t>HSP-W225MB</t>
    <phoneticPr fontId="26" type="noConversion"/>
  </si>
  <si>
    <t>O2-W2</t>
    <phoneticPr fontId="26" type="noConversion"/>
  </si>
  <si>
    <t>霍尼韦尔</t>
    <phoneticPr fontId="26" type="noConversion"/>
  </si>
  <si>
    <t>SZR-LY4-N1 DC24V</t>
    <phoneticPr fontId="26" type="noConversion"/>
  </si>
  <si>
    <t>普联（TP-LINK）TL-FC311A-3千兆单模单纤光纤收发器 光电转换器SC单芯3km（单只装）</t>
    <phoneticPr fontId="26" type="noConversion"/>
  </si>
  <si>
    <t>普联（TP-LINK） TL-FC1400单模多模光纤收发器14槽机架单纤双纤光电转换器整理箱机柜2U机箱</t>
    <phoneticPr fontId="26" type="noConversion"/>
  </si>
  <si>
    <t>RG-S2910-24GT4SFP-L</t>
    <phoneticPr fontId="26" type="noConversion"/>
  </si>
  <si>
    <t>千兆接入交换机 | 24个10/100/1000M自适应电口，4个1G SFP光口，固化交流电源和无风扇设计。 | 不支持PoE | 交换容量598Gbps/5.98Tbps | 包转发率126Mpps | 支持动态路由协议（RIP、OSPF）、VSU、802.X认证、ERPS环网保护协议、链路聚合 | 支持云管理&amp;本地管理 | 默认三年维保 |</t>
    <phoneticPr fontId="26" type="noConversion"/>
  </si>
  <si>
    <t>MINI-GBIC-LX-SM1310</t>
  </si>
  <si>
    <t>1000BASE-LX mini GBIC转换模块（1310nm），10km</t>
  </si>
  <si>
    <t>RG-S2000-10GT2MS-P</t>
  </si>
  <si>
    <t>二层 | 千兆接入交换机 | 10个10/100/1000M自适应电口，2个1G/2.5G SFP光口，固化单交流电源和风扇，1-8端口支持PoE/PoE+远程供电，125W POE供电。 | 支持PoE+ |  支持静态路由、链路聚合、EEE节能以太网技术、端口防雷能力10KV | 支持云管理＆本地管理 | 默认三年维保 |</t>
  </si>
  <si>
    <t>RG-S2910-24GT4SFP-P-L</t>
  </si>
  <si>
    <t>千兆接入交换机 | 24个10/100/1000M自适应电口，4个1G SFP光口，1-24口支持PoE/PoE+，固化交流电源和风扇，整机PoE最大输出370W。 | 支持PoE+ | 交换容量598Gbps/5.98Tbps | 包转发率126Mpps | 支持动态路由协议（RIP、OSPF）、VSU、802.X认证、ERPS环网保护协议、链路聚合 | 支持云管理&amp;本地管理 | 默认三年维保 |</t>
  </si>
  <si>
    <t>XG-SFP-LR-SM1310</t>
  </si>
  <si>
    <t>万兆LC接口模块（1310nm），10km，适用于SFP+接口</t>
  </si>
  <si>
    <t>RG-S5000-48GT4XS</t>
  </si>
  <si>
    <t>千兆接入交换机 | 48个10/100/1000M自适应电口，4个1G/10G SFP+光口，固化交流电源和风扇。 | 不支持PoE | 交换容量672Gbps/6.72Tbps | 包转发率207Mpps | 支持动态路由协议（RIP、OSPF）、VSU、802.X认证、ERPS环网保护协议、链路聚合 | 支持云管理&amp;本地管理 | 默认三年维保 |</t>
  </si>
  <si>
    <t>增加项</t>
    <phoneticPr fontId="26" type="noConversion"/>
  </si>
  <si>
    <t>没有点表，满配接入点56个可以打7折</t>
    <phoneticPr fontId="26" type="noConversion"/>
  </si>
  <si>
    <t>修改品牌</t>
    <phoneticPr fontId="26" type="noConversion"/>
  </si>
  <si>
    <t>修改型号</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</si>
</sst>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00_);[Red]\(0.00\)"/>
    <numFmt numFmtId="177" formatCode="0.00_ "/>
    <numFmt numFmtId="178" formatCode="[DBNum2][$-804]General"/>
  </numFmts>
  <fonts count="27" x14ac:knownFonts="1">
    <font>
      <sz val="12"/>
      <color theme="1"/>
      <name val="等线"/>
      <charset val="134"/>
      <scheme val="minor"/>
    </font>
    <font>
      <sz val="10"/>
      <name val="等线"/>
      <family val="3"/>
      <charset val="134"/>
      <scheme val="minor"/>
    </font>
    <font>
      <b/>
      <sz val="10"/>
      <name val="等线"/>
      <family val="3"/>
      <charset val="134"/>
      <scheme val="minor"/>
    </font>
    <font>
      <sz val="10"/>
      <color rgb="FF000000"/>
      <name val="宋体"/>
      <family val="3"/>
      <charset val="134"/>
    </font>
    <font>
      <sz val="10"/>
      <color rgb="FF000000"/>
      <name val="等线"/>
      <family val="3"/>
      <charset val="134"/>
    </font>
    <font>
      <sz val="10"/>
      <color theme="1"/>
      <name val="等线"/>
      <family val="3"/>
      <charset val="134"/>
      <scheme val="minor"/>
    </font>
    <font>
      <b/>
      <sz val="10"/>
      <color rgb="FF000000"/>
      <name val="等线"/>
      <family val="3"/>
      <charset val="134"/>
    </font>
    <font>
      <b/>
      <sz val="10"/>
      <color rgb="FF000000"/>
      <name val="宋体"/>
      <family val="3"/>
      <charset val="134"/>
    </font>
    <font>
      <sz val="10"/>
      <color rgb="FFFE0300"/>
      <name val="宋体"/>
      <family val="3"/>
      <charset val="134"/>
    </font>
    <font>
      <sz val="10"/>
      <color rgb="FFFF0000"/>
      <name val="宋体"/>
      <family val="3"/>
      <charset val="134"/>
    </font>
    <font>
      <sz val="10"/>
      <color rgb="FF000000"/>
      <name val="Calibri"/>
      <family val="2"/>
    </font>
    <font>
      <sz val="10"/>
      <color rgb="FF000000"/>
      <name val="微软雅黑"/>
      <family val="2"/>
      <charset val="134"/>
    </font>
    <font>
      <sz val="12"/>
      <color rgb="FF000000"/>
      <name val="等线"/>
      <family val="3"/>
      <charset val="134"/>
    </font>
    <font>
      <b/>
      <sz val="11"/>
      <color rgb="FF000000"/>
      <name val="等线"/>
      <family val="3"/>
      <charset val="134"/>
    </font>
    <font>
      <sz val="11"/>
      <color rgb="FF000000"/>
      <name val="等线"/>
      <family val="3"/>
      <charset val="134"/>
    </font>
    <font>
      <sz val="11"/>
      <color rgb="FF000000"/>
      <name val="宋体"/>
      <family val="3"/>
      <charset val="134"/>
    </font>
    <font>
      <b/>
      <sz val="20"/>
      <color rgb="FF000000"/>
      <name val="宋体"/>
      <family val="3"/>
      <charset val="134"/>
    </font>
    <font>
      <b/>
      <sz val="14"/>
      <color rgb="FF000000"/>
      <name val="宋体"/>
      <family val="3"/>
      <charset val="134"/>
    </font>
    <font>
      <b/>
      <sz val="12"/>
      <color rgb="FF000000"/>
      <name val="宋体"/>
      <family val="3"/>
      <charset val="134"/>
    </font>
    <font>
      <sz val="12"/>
      <color rgb="FF000000"/>
      <name val="宋体"/>
      <family val="3"/>
      <charset val="134"/>
    </font>
    <font>
      <sz val="12"/>
      <color rgb="FFFF0000"/>
      <name val="宋体"/>
      <family val="3"/>
      <charset val="134"/>
    </font>
    <font>
      <sz val="12"/>
      <color rgb="FFFF0000"/>
      <name val="等线"/>
      <family val="3"/>
      <charset val="134"/>
    </font>
    <font>
      <b/>
      <sz val="11"/>
      <color rgb="FF000000"/>
      <name val="宋体"/>
      <family val="3"/>
      <charset val="134"/>
    </font>
    <font>
      <sz val="12"/>
      <color rgb="FFFE0300"/>
      <name val="宋体"/>
      <family val="3"/>
      <charset val="134"/>
    </font>
    <font>
      <sz val="10"/>
      <name val="宋体"/>
      <family val="3"/>
      <charset val="134"/>
    </font>
    <font>
      <sz val="11"/>
      <color rgb="FFFF0000"/>
      <name val="等线"/>
      <family val="3"/>
      <charset val="134"/>
    </font>
    <font>
      <sz val="9"/>
      <name val="等线"/>
      <family val="3"/>
      <charset val="134"/>
      <scheme val="minor"/>
    </font>
  </fonts>
  <fills count="7">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170">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2" borderId="1" xfId="0" applyFont="1" applyFill="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3" fillId="0" borderId="0" xfId="0" applyFont="1" applyAlignment="1">
      <alignment vertical="center" wrapText="1"/>
    </xf>
    <xf numFmtId="0" fontId="4"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176" fontId="3" fillId="0" borderId="1" xfId="0" applyNumberFormat="1" applyFont="1" applyBorder="1" applyAlignment="1">
      <alignment vertical="center" wrapText="1"/>
    </xf>
    <xf numFmtId="43" fontId="3" fillId="0" borderId="1" xfId="0" applyNumberFormat="1" applyFont="1" applyBorder="1" applyAlignment="1">
      <alignment vertical="center" wrapText="1"/>
    </xf>
    <xf numFmtId="0" fontId="3" fillId="0" borderId="1" xfId="0" applyFont="1" applyBorder="1" applyAlignment="1">
      <alignment horizontal="left" vertical="center" wrapText="1"/>
    </xf>
    <xf numFmtId="0" fontId="4" fillId="0" borderId="1" xfId="0" applyFont="1" applyBorder="1">
      <alignment vertical="center"/>
    </xf>
    <xf numFmtId="0" fontId="4" fillId="0" borderId="1" xfId="0" applyFont="1" applyBorder="1" applyAlignment="1">
      <alignment horizontal="center" vertical="center"/>
    </xf>
    <xf numFmtId="0" fontId="12" fillId="0" borderId="0" xfId="0" applyFont="1">
      <alignment vertical="center"/>
    </xf>
    <xf numFmtId="0" fontId="13" fillId="0" borderId="0" xfId="0" applyFont="1" applyAlignment="1">
      <alignment horizontal="center"/>
    </xf>
    <xf numFmtId="0" fontId="14" fillId="0" borderId="0" xfId="0" applyFont="1" applyAlignment="1"/>
    <xf numFmtId="0" fontId="14" fillId="0" borderId="0" xfId="0" applyFont="1">
      <alignment vertical="center"/>
    </xf>
    <xf numFmtId="0" fontId="12" fillId="0" borderId="0" xfId="0" applyFont="1" applyAlignment="1">
      <alignment horizontal="left"/>
    </xf>
    <xf numFmtId="0" fontId="15" fillId="0" borderId="0" xfId="0" applyFont="1">
      <alignment vertical="center"/>
    </xf>
    <xf numFmtId="0" fontId="17" fillId="0" borderId="1" xfId="0" applyFont="1" applyBorder="1" applyAlignment="1">
      <alignment horizontal="center" vertical="center"/>
    </xf>
    <xf numFmtId="0" fontId="14" fillId="0" borderId="0" xfId="0" applyFont="1" applyAlignment="1">
      <alignment vertical="center" wrapText="1"/>
    </xf>
    <xf numFmtId="0" fontId="18" fillId="0" borderId="1" xfId="0" applyFont="1" applyBorder="1" applyAlignment="1">
      <alignment horizontal="center" vertical="center" wrapText="1"/>
    </xf>
    <xf numFmtId="49" fontId="18" fillId="0" borderId="1" xfId="0" applyNumberFormat="1" applyFont="1" applyBorder="1" applyAlignment="1">
      <alignment horizontal="center" vertical="center" wrapText="1"/>
    </xf>
    <xf numFmtId="0" fontId="18" fillId="0" borderId="2" xfId="0" applyFont="1" applyBorder="1" applyAlignment="1">
      <alignment horizontal="center" vertical="center" wrapText="1"/>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5" fillId="0" borderId="1" xfId="0" applyFont="1" applyBorder="1" applyAlignment="1">
      <alignment horizontal="center" vertical="center"/>
    </xf>
    <xf numFmtId="9" fontId="15" fillId="0" borderId="1" xfId="0" applyNumberFormat="1" applyFont="1" applyBorder="1" applyAlignment="1">
      <alignment horizontal="center" vertical="center"/>
    </xf>
    <xf numFmtId="177" fontId="15" fillId="0" borderId="1" xfId="0" applyNumberFormat="1" applyFont="1" applyBorder="1" applyAlignment="1">
      <alignment horizontal="center" vertical="center"/>
    </xf>
    <xf numFmtId="0" fontId="15" fillId="0" borderId="1" xfId="0" applyFont="1" applyBorder="1" applyAlignment="1"/>
    <xf numFmtId="178" fontId="15" fillId="0" borderId="1" xfId="0" applyNumberFormat="1" applyFont="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177" fontId="22" fillId="0" borderId="1" xfId="0" applyNumberFormat="1" applyFont="1" applyBorder="1" applyAlignment="1">
      <alignment horizontal="center" vertical="center"/>
    </xf>
    <xf numFmtId="0" fontId="22" fillId="0" borderId="1" xfId="0" applyFont="1" applyBorder="1" applyAlignment="1"/>
    <xf numFmtId="0" fontId="15" fillId="0" borderId="0" xfId="0" applyFont="1" applyAlignment="1">
      <alignment horizontal="center"/>
    </xf>
    <xf numFmtId="43" fontId="15" fillId="0" borderId="1" xfId="0" applyNumberFormat="1" applyFont="1" applyBorder="1" applyAlignment="1">
      <alignment horizontal="center" vertical="center"/>
    </xf>
    <xf numFmtId="43" fontId="22" fillId="4" borderId="1" xfId="0" applyNumberFormat="1" applyFont="1" applyFill="1" applyBorder="1" applyAlignment="1">
      <alignment horizontal="center" vertical="center"/>
    </xf>
    <xf numFmtId="0" fontId="15" fillId="5" borderId="0" xfId="0" applyFont="1" applyFill="1" applyAlignment="1">
      <alignment horizontal="center" vertical="center"/>
    </xf>
    <xf numFmtId="43" fontId="15" fillId="5" borderId="0" xfId="0" applyNumberFormat="1" applyFont="1" applyFill="1" applyAlignment="1">
      <alignment horizontal="right" vertical="center"/>
    </xf>
    <xf numFmtId="43" fontId="22" fillId="0" borderId="0" xfId="0" applyNumberFormat="1" applyFont="1">
      <alignment vertical="center"/>
    </xf>
    <xf numFmtId="43" fontId="15" fillId="0" borderId="0" xfId="0" applyNumberFormat="1" applyFont="1">
      <alignment vertical="center"/>
    </xf>
    <xf numFmtId="177" fontId="15" fillId="0" borderId="1" xfId="0" applyNumberFormat="1" applyFont="1" applyBorder="1" applyAlignment="1">
      <alignment horizontal="righ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 xfId="0" applyFont="1" applyFill="1" applyBorder="1" applyAlignment="1">
      <alignment vertical="center" wrapText="1"/>
    </xf>
    <xf numFmtId="176" fontId="3" fillId="5" borderId="1" xfId="0" applyNumberFormat="1" applyFont="1" applyFill="1" applyBorder="1">
      <alignment vertical="center"/>
    </xf>
    <xf numFmtId="0" fontId="18" fillId="0" borderId="11" xfId="0" applyFont="1" applyBorder="1" applyAlignment="1">
      <alignment horizontal="center" vertical="center"/>
    </xf>
    <xf numFmtId="0" fontId="14" fillId="0" borderId="7" xfId="0" applyFont="1" applyBorder="1" applyAlignment="1">
      <alignment horizontal="left" vertical="top" wrapText="1"/>
    </xf>
    <xf numFmtId="0" fontId="14" fillId="0" borderId="6" xfId="0" applyFont="1" applyBorder="1" applyAlignment="1">
      <alignment horizontal="left" vertical="top" wrapText="1"/>
    </xf>
    <xf numFmtId="0" fontId="14" fillId="0" borderId="5" xfId="0" applyFont="1" applyBorder="1" applyAlignment="1">
      <alignment horizontal="left" vertical="top" wrapText="1"/>
    </xf>
    <xf numFmtId="0" fontId="18" fillId="0" borderId="1" xfId="0" applyFont="1" applyBorder="1" applyAlignment="1">
      <alignment horizontal="center" vertical="center"/>
    </xf>
    <xf numFmtId="0" fontId="4" fillId="0" borderId="1" xfId="0" applyFont="1" applyBorder="1">
      <alignment vertical="center"/>
    </xf>
    <xf numFmtId="0" fontId="19" fillId="0" borderId="1" xfId="0" applyFont="1" applyBorder="1" applyAlignment="1">
      <alignment vertical="center" wrapText="1"/>
    </xf>
    <xf numFmtId="0" fontId="12" fillId="0" borderId="1" xfId="0" applyFont="1" applyBorder="1" applyAlignment="1">
      <alignment vertical="center" wrapText="1"/>
    </xf>
    <xf numFmtId="0" fontId="19" fillId="0" borderId="2" xfId="0" applyFont="1" applyBorder="1" applyAlignment="1">
      <alignment vertical="center" wrapText="1"/>
    </xf>
    <xf numFmtId="0" fontId="12" fillId="0" borderId="2" xfId="0" applyFont="1" applyBorder="1" applyAlignment="1">
      <alignment vertical="center" wrapText="1"/>
    </xf>
    <xf numFmtId="0" fontId="20" fillId="0" borderId="1" xfId="0" applyFont="1" applyBorder="1" applyAlignment="1">
      <alignment vertical="center" wrapText="1"/>
    </xf>
    <xf numFmtId="0" fontId="21" fillId="0" borderId="1" xfId="0" applyFont="1" applyBorder="1" applyAlignment="1">
      <alignment vertical="center" wrapText="1"/>
    </xf>
    <xf numFmtId="0" fontId="17" fillId="0" borderId="7"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5" xfId="0" applyFont="1" applyBorder="1" applyAlignment="1">
      <alignment horizontal="center" vertical="center" wrapText="1"/>
    </xf>
    <xf numFmtId="0" fontId="19" fillId="0" borderId="7" xfId="0" applyFont="1" applyBorder="1" applyAlignment="1">
      <alignment horizontal="left" vertical="center" wrapText="1"/>
    </xf>
    <xf numFmtId="0" fontId="19" fillId="0" borderId="6" xfId="0" applyFont="1" applyBorder="1" applyAlignment="1">
      <alignment horizontal="left" vertical="center" wrapText="1"/>
    </xf>
    <xf numFmtId="0" fontId="19" fillId="0" borderId="5" xfId="0" applyFont="1" applyBorder="1" applyAlignment="1">
      <alignment horizontal="left" vertical="center" wrapText="1"/>
    </xf>
    <xf numFmtId="49" fontId="19" fillId="0" borderId="7" xfId="0" applyNumberFormat="1" applyFont="1" applyBorder="1" applyAlignment="1">
      <alignment horizontal="left" vertical="center" wrapText="1"/>
    </xf>
    <xf numFmtId="49" fontId="19" fillId="0" borderId="6" xfId="0" applyNumberFormat="1" applyFont="1" applyBorder="1" applyAlignment="1">
      <alignment horizontal="left" vertical="center" wrapText="1"/>
    </xf>
    <xf numFmtId="49" fontId="19" fillId="0" borderId="5" xfId="0" applyNumberFormat="1" applyFont="1" applyBorder="1" applyAlignment="1">
      <alignment horizontal="left"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49" fontId="19" fillId="0" borderId="10" xfId="0" applyNumberFormat="1" applyFont="1" applyBorder="1" applyAlignment="1">
      <alignment vertical="center" wrapText="1"/>
    </xf>
    <xf numFmtId="49" fontId="19" fillId="0" borderId="11" xfId="0" applyNumberFormat="1" applyFont="1" applyBorder="1" applyAlignment="1">
      <alignment vertical="center" wrapText="1"/>
    </xf>
    <xf numFmtId="49" fontId="19" fillId="0" borderId="12" xfId="0" applyNumberFormat="1" applyFont="1" applyBorder="1" applyAlignment="1">
      <alignment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6" fillId="0" borderId="0" xfId="0" applyFont="1" applyAlignment="1">
      <alignment horizontal="center" vertical="center"/>
    </xf>
    <xf numFmtId="0" fontId="18" fillId="0" borderId="1" xfId="0" applyFont="1" applyBorder="1" applyAlignment="1">
      <alignment horizontal="left" vertical="center" wrapText="1"/>
    </xf>
    <xf numFmtId="49" fontId="17" fillId="0" borderId="7" xfId="0" applyNumberFormat="1" applyFont="1" applyBorder="1" applyAlignment="1">
      <alignment horizontal="center" vertical="center" wrapText="1"/>
    </xf>
    <xf numFmtId="49" fontId="17" fillId="0" borderId="6" xfId="0" applyNumberFormat="1" applyFont="1" applyBorder="1" applyAlignment="1">
      <alignment horizontal="center" vertical="center" wrapText="1"/>
    </xf>
    <xf numFmtId="49" fontId="17" fillId="0" borderId="5" xfId="0" applyNumberFormat="1" applyFont="1" applyBorder="1" applyAlignment="1">
      <alignment horizontal="center" vertical="center" wrapTex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3" fillId="0" borderId="0" xfId="0" applyFont="1" applyFill="1" applyAlignment="1">
      <alignment horizontal="left"/>
    </xf>
    <xf numFmtId="0" fontId="3" fillId="0" borderId="0" xfId="0" applyFont="1" applyFill="1" applyAlignment="1">
      <alignment horizontal="left" wrapText="1"/>
    </xf>
    <xf numFmtId="0" fontId="3" fillId="0" borderId="0" xfId="0" applyFont="1" applyFill="1" applyAlignment="1">
      <alignment horizontal="left"/>
    </xf>
    <xf numFmtId="0" fontId="6" fillId="0" borderId="0" xfId="0" applyFont="1" applyFill="1" applyAlignment="1">
      <alignment horizontal="center" vertical="center"/>
    </xf>
    <xf numFmtId="0" fontId="7" fillId="0" borderId="0" xfId="0" applyFont="1" applyFill="1" applyAlignment="1">
      <alignment horizontal="center" vertical="center"/>
    </xf>
    <xf numFmtId="0" fontId="4" fillId="0" borderId="0" xfId="0" applyFont="1" applyFill="1">
      <alignment vertical="center"/>
    </xf>
    <xf numFmtId="0" fontId="5" fillId="0" borderId="0" xfId="0" applyFont="1" applyFill="1">
      <alignment vertical="center"/>
    </xf>
    <xf numFmtId="0" fontId="7" fillId="0" borderId="1" xfId="0" applyFont="1" applyFill="1" applyBorder="1" applyAlignment="1">
      <alignment horizontal="center" vertical="center"/>
    </xf>
    <xf numFmtId="0" fontId="7" fillId="0" borderId="5" xfId="0" applyFont="1" applyFill="1" applyBorder="1" applyAlignment="1">
      <alignment horizontal="left" vertical="center"/>
    </xf>
    <xf numFmtId="0" fontId="7" fillId="0" borderId="1" xfId="0" applyFont="1" applyFill="1" applyBorder="1" applyAlignment="1">
      <alignment horizontal="center" vertical="center" wrapText="1"/>
    </xf>
    <xf numFmtId="43" fontId="7"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7" fillId="0" borderId="0" xfId="0" applyFont="1" applyFill="1" applyAlignment="1">
      <alignment horizontal="left" vertical="center"/>
    </xf>
    <xf numFmtId="0" fontId="3" fillId="0" borderId="1" xfId="0" applyFont="1" applyFill="1" applyBorder="1" applyAlignment="1">
      <alignment vertical="center" wrapText="1"/>
    </xf>
    <xf numFmtId="0" fontId="3" fillId="0" borderId="1" xfId="0" applyFont="1" applyFill="1" applyBorder="1">
      <alignment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176" fontId="3" fillId="0" borderId="1" xfId="0" applyNumberFormat="1" applyFont="1" applyFill="1" applyBorder="1" applyAlignment="1">
      <alignment vertical="center" wrapText="1"/>
    </xf>
    <xf numFmtId="43" fontId="3" fillId="0" borderId="1" xfId="0" applyNumberFormat="1" applyFont="1" applyFill="1" applyBorder="1" applyAlignment="1">
      <alignment vertical="center" wrapText="1"/>
    </xf>
    <xf numFmtId="0" fontId="3" fillId="0" borderId="0" xfId="0" applyFont="1" applyFill="1" applyAlignment="1">
      <alignment vertical="center" wrapText="1"/>
    </xf>
    <xf numFmtId="0" fontId="3" fillId="0" borderId="1" xfId="0" applyFont="1" applyFill="1" applyBorder="1" applyAlignment="1">
      <alignment horizontal="left" vertical="center" wrapText="1"/>
    </xf>
    <xf numFmtId="176" fontId="3" fillId="0" borderId="1" xfId="0" applyNumberFormat="1" applyFont="1" applyFill="1" applyBorder="1">
      <alignment vertical="center"/>
    </xf>
    <xf numFmtId="43" fontId="9" fillId="0" borderId="1" xfId="0" applyNumberFormat="1" applyFont="1" applyFill="1" applyBorder="1" applyAlignment="1">
      <alignment vertical="center" wrapText="1"/>
    </xf>
    <xf numFmtId="0" fontId="3" fillId="0" borderId="4" xfId="0" applyFont="1" applyFill="1" applyBorder="1" applyAlignment="1">
      <alignment horizontal="left" vertical="center" wrapText="1"/>
    </xf>
    <xf numFmtId="0" fontId="3" fillId="0" borderId="6" xfId="0" applyFont="1" applyFill="1" applyBorder="1" applyAlignment="1">
      <alignment horizontal="left" vertical="center"/>
    </xf>
    <xf numFmtId="0" fontId="7" fillId="0" borderId="6" xfId="0" applyFont="1" applyFill="1" applyBorder="1" applyAlignment="1">
      <alignment horizontal="lef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0" fontId="3" fillId="0" borderId="5" xfId="0" applyFont="1" applyFill="1" applyBorder="1">
      <alignment vertical="center"/>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2" xfId="0" applyFont="1" applyFill="1" applyBorder="1" applyAlignment="1">
      <alignment horizontal="center" vertical="center"/>
    </xf>
    <xf numFmtId="0" fontId="3" fillId="0" borderId="4" xfId="0" applyFont="1" applyFill="1" applyBorder="1" applyAlignment="1">
      <alignment vertical="center" wrapText="1"/>
    </xf>
    <xf numFmtId="0" fontId="3" fillId="0" borderId="4" xfId="0" applyFont="1" applyFill="1" applyBorder="1" applyAlignment="1">
      <alignment horizontal="center" vertical="center"/>
    </xf>
    <xf numFmtId="0" fontId="3" fillId="0" borderId="4" xfId="0" applyFont="1" applyFill="1" applyBorder="1">
      <alignment vertical="center"/>
    </xf>
    <xf numFmtId="0" fontId="10" fillId="0" borderId="1" xfId="0" applyFont="1" applyFill="1" applyBorder="1" applyAlignment="1">
      <alignment horizontal="left" vertical="center" wrapText="1"/>
    </xf>
    <xf numFmtId="0" fontId="7" fillId="0" borderId="2" xfId="0" applyFont="1" applyFill="1" applyBorder="1">
      <alignment vertical="center"/>
    </xf>
    <xf numFmtId="0" fontId="3" fillId="0" borderId="2" xfId="0" applyFont="1" applyFill="1" applyBorder="1">
      <alignment vertical="center"/>
    </xf>
    <xf numFmtId="176" fontId="3" fillId="0" borderId="2" xfId="0" applyNumberFormat="1" applyFont="1" applyFill="1" applyBorder="1">
      <alignment vertical="center"/>
    </xf>
    <xf numFmtId="0" fontId="3" fillId="0" borderId="7" xfId="0" applyFont="1" applyFill="1" applyBorder="1" applyAlignment="1">
      <alignment horizontal="center" vertical="center" wrapText="1"/>
    </xf>
    <xf numFmtId="0" fontId="4" fillId="0" borderId="1" xfId="0" applyFont="1" applyFill="1" applyBorder="1">
      <alignment vertical="center"/>
    </xf>
    <xf numFmtId="0" fontId="4" fillId="0" borderId="1" xfId="0" applyFont="1" applyFill="1" applyBorder="1" applyAlignment="1">
      <alignment horizontal="center" vertical="center"/>
    </xf>
    <xf numFmtId="0" fontId="3" fillId="0" borderId="8" xfId="0" applyFont="1" applyFill="1" applyBorder="1" applyAlignment="1">
      <alignment horizontal="center" vertical="center" wrapText="1"/>
    </xf>
    <xf numFmtId="0" fontId="7" fillId="0" borderId="1" xfId="0" applyFont="1" applyFill="1" applyBorder="1" applyAlignment="1">
      <alignment horizontal="left" vertical="center"/>
    </xf>
    <xf numFmtId="176" fontId="9" fillId="0" borderId="1" xfId="0" applyNumberFormat="1" applyFont="1" applyFill="1" applyBorder="1" applyAlignment="1">
      <alignment vertical="center" wrapText="1"/>
    </xf>
    <xf numFmtId="0" fontId="3" fillId="0" borderId="7" xfId="0" applyFont="1" applyFill="1" applyBorder="1">
      <alignment vertical="center"/>
    </xf>
    <xf numFmtId="0" fontId="3" fillId="0" borderId="0" xfId="0" applyFont="1" applyFill="1">
      <alignment vertical="center"/>
    </xf>
    <xf numFmtId="0" fontId="4" fillId="0" borderId="0" xfId="0" applyFont="1" applyFill="1" applyAlignment="1">
      <alignment horizontal="center" vertical="center"/>
    </xf>
    <xf numFmtId="43" fontId="11" fillId="0" borderId="0" xfId="0" applyNumberFormat="1" applyFont="1" applyFill="1">
      <alignment vertical="center"/>
    </xf>
    <xf numFmtId="0" fontId="15" fillId="5" borderId="1" xfId="0" applyFont="1" applyFill="1" applyBorder="1" applyAlignment="1">
      <alignment horizontal="center" vertical="center" wrapText="1"/>
    </xf>
    <xf numFmtId="0" fontId="15" fillId="5" borderId="1" xfId="0" applyFont="1" applyFill="1" applyBorder="1" applyAlignment="1">
      <alignment vertical="center" wrapText="1"/>
    </xf>
    <xf numFmtId="0" fontId="15" fillId="0" borderId="1" xfId="0" applyFont="1" applyBorder="1" applyAlignment="1">
      <alignment vertical="center" wrapText="1"/>
    </xf>
    <xf numFmtId="0" fontId="15" fillId="6" borderId="1" xfId="0" applyFont="1" applyFill="1" applyBorder="1" applyAlignment="1">
      <alignment vertical="center" wrapText="1"/>
    </xf>
    <xf numFmtId="0" fontId="3" fillId="0" borderId="2" xfId="0" applyFont="1" applyBorder="1" applyAlignment="1">
      <alignment horizontal="center" vertical="center"/>
    </xf>
    <xf numFmtId="0" fontId="8" fillId="0" borderId="2" xfId="0" applyFont="1" applyBorder="1" applyAlignment="1">
      <alignment horizontal="center" vertical="center" wrapText="1"/>
    </xf>
    <xf numFmtId="0" fontId="3" fillId="0" borderId="3" xfId="0" applyFont="1" applyBorder="1" applyAlignment="1">
      <alignment horizontal="center" vertical="center"/>
    </xf>
    <xf numFmtId="0" fontId="8" fillId="0" borderId="3" xfId="0" applyFont="1" applyBorder="1" applyAlignment="1">
      <alignment horizontal="center" vertical="center" wrapText="1"/>
    </xf>
    <xf numFmtId="0" fontId="3" fillId="0" borderId="4" xfId="0" applyFont="1" applyBorder="1" applyAlignment="1">
      <alignment horizontal="center" vertical="center"/>
    </xf>
    <xf numFmtId="0" fontId="8" fillId="0" borderId="4" xfId="0" applyFont="1" applyBorder="1" applyAlignment="1">
      <alignment horizontal="center" vertical="center" wrapText="1"/>
    </xf>
    <xf numFmtId="177" fontId="15" fillId="6" borderId="1" xfId="0" applyNumberFormat="1" applyFont="1" applyFill="1" applyBorder="1" applyAlignment="1">
      <alignment horizontal="righ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eDrive%20-%20Lenovo/&#34892;&#19994;&#20132;&#20184;&#20108;&#22788;/02&#21830;&#26426;/&#38451;&#20809;&#30005;&#28304;&#26234;&#24935;&#22253;&#21306;/&#25104;&#26412;/&#20379;&#24212;&#21830;&#25253;&#20215;/&#25253;&#20215;&#28165;&#21333;-&#38451;&#20809;&#30005;&#28304;&#26234;&#24935;&#22253;&#21306;&#65288;&#19968;&#26399;&#65289;&#39033;&#30446;-&#26368;&#32456;&#25253;&#20215;-SBY-20260907%2017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价汇总表"/>
      <sheetName val="硬件-报价汇总表"/>
      <sheetName val="硬件-报价说明"/>
      <sheetName val="硬件-报价明细"/>
      <sheetName val="软件-报价汇总表"/>
      <sheetName val="软件-产品费用报价明细"/>
      <sheetName val="软件-实施费用报价明细"/>
      <sheetName val="附录五硬件场景需求表"/>
    </sheetNames>
    <sheetDataSet>
      <sheetData sheetId="0"/>
      <sheetData sheetId="1"/>
      <sheetData sheetId="2"/>
      <sheetData sheetId="3">
        <row r="115">
          <cell r="N115">
            <v>1187731</v>
          </cell>
          <cell r="P115">
            <v>6669628</v>
          </cell>
        </row>
      </sheetData>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F16"/>
  <sheetViews>
    <sheetView topLeftCell="A2" workbookViewId="0">
      <selection activeCell="E15" sqref="E15"/>
    </sheetView>
  </sheetViews>
  <sheetFormatPr defaultColWidth="9" defaultRowHeight="13.5" customHeight="1" x14ac:dyDescent="0.3"/>
  <cols>
    <col min="2" max="2" width="29" style="37" customWidth="1"/>
    <col min="3" max="3" width="15.1796875" style="37" customWidth="1"/>
    <col min="4" max="5" width="20" style="37" customWidth="1"/>
    <col min="6" max="6" width="22" style="37" customWidth="1"/>
  </cols>
  <sheetData>
    <row r="1" spans="1:6" ht="37.950000000000003" customHeight="1" x14ac:dyDescent="0.3">
      <c r="A1" s="36" t="s">
        <v>0</v>
      </c>
    </row>
    <row r="2" spans="1:6" ht="33" customHeight="1" x14ac:dyDescent="0.3">
      <c r="A2" s="66" t="s">
        <v>1</v>
      </c>
      <c r="B2" s="66"/>
      <c r="C2" s="66"/>
      <c r="D2" s="66"/>
      <c r="E2" s="66"/>
      <c r="F2" s="66"/>
    </row>
    <row r="3" spans="1:6" ht="21" customHeight="1" x14ac:dyDescent="0.3">
      <c r="A3" s="45" t="s">
        <v>2</v>
      </c>
      <c r="B3" s="45" t="s">
        <v>3</v>
      </c>
      <c r="C3" s="45" t="s">
        <v>4</v>
      </c>
      <c r="D3" s="45" t="s">
        <v>5</v>
      </c>
      <c r="E3" s="45" t="s">
        <v>6</v>
      </c>
      <c r="F3" s="45" t="s">
        <v>7</v>
      </c>
    </row>
    <row r="4" spans="1:6" ht="21" customHeight="1" x14ac:dyDescent="0.25">
      <c r="A4" s="45">
        <v>1</v>
      </c>
      <c r="B4" s="45" t="s">
        <v>8</v>
      </c>
      <c r="C4" s="46">
        <v>0.13</v>
      </c>
      <c r="D4" s="55">
        <f>'硬件-报价汇总表'!D7</f>
        <v>8509539.0600000005</v>
      </c>
      <c r="E4" s="55">
        <f>D4*(1+C4)</f>
        <v>9615779.1378000006</v>
      </c>
      <c r="F4" s="48"/>
    </row>
    <row r="5" spans="1:6" ht="21" customHeight="1" x14ac:dyDescent="0.25">
      <c r="A5" s="45">
        <v>2</v>
      </c>
      <c r="B5" s="49" t="s">
        <v>9</v>
      </c>
      <c r="C5" s="46">
        <v>0.13</v>
      </c>
      <c r="D5" s="55">
        <v>2550183</v>
      </c>
      <c r="E5" s="55">
        <f>D5*(1+C5)</f>
        <v>2881706.79</v>
      </c>
      <c r="F5" s="48"/>
    </row>
    <row r="6" spans="1:6" ht="21" customHeight="1" x14ac:dyDescent="0.25">
      <c r="A6" s="50">
        <v>3</v>
      </c>
      <c r="B6" s="51" t="s">
        <v>10</v>
      </c>
      <c r="C6" s="51"/>
      <c r="D6" s="56">
        <f>SUM(D4:D5)</f>
        <v>11059722.060000001</v>
      </c>
      <c r="E6" s="56">
        <f>SUM(E4:E5)</f>
        <v>12497485.9278</v>
      </c>
      <c r="F6" s="53"/>
    </row>
    <row r="7" spans="1:6" ht="22.05" customHeight="1" x14ac:dyDescent="0.3">
      <c r="D7" s="37" t="s">
        <v>11</v>
      </c>
    </row>
    <row r="9" spans="1:6" ht="13.5" customHeight="1" x14ac:dyDescent="0.25">
      <c r="B9" s="54"/>
      <c r="C9" s="57" t="s">
        <v>12</v>
      </c>
      <c r="D9" s="57" t="s">
        <v>13</v>
      </c>
    </row>
    <row r="10" spans="1:6" ht="13.5" customHeight="1" x14ac:dyDescent="0.3">
      <c r="C10" s="58">
        <f>'硬件-报价明细'!N115</f>
        <v>1686597.9700000004</v>
      </c>
      <c r="D10" s="58">
        <f>'硬件-报价明细'!P115</f>
        <v>6822941.089999998</v>
      </c>
      <c r="E10" s="59">
        <f>SUM(C10:D10)</f>
        <v>8509539.0599999987</v>
      </c>
    </row>
    <row r="12" spans="1:6" ht="13.5" customHeight="1" x14ac:dyDescent="0.3">
      <c r="C12" s="60">
        <f>C10*1.13</f>
        <v>1905855.7061000003</v>
      </c>
      <c r="D12" s="60">
        <f>D10*1.13</f>
        <v>7709923.4316999968</v>
      </c>
      <c r="E12" s="59">
        <f>SUM(C12:D12)</f>
        <v>9615779.1377999969</v>
      </c>
    </row>
    <row r="14" spans="1:6" ht="13.5" customHeight="1" x14ac:dyDescent="0.3">
      <c r="C14" s="37">
        <v>111</v>
      </c>
      <c r="D14" s="37">
        <v>667</v>
      </c>
    </row>
    <row r="16" spans="1:6" ht="13.5" customHeight="1" x14ac:dyDescent="0.3">
      <c r="D16" s="37">
        <f>1180-C14-D14</f>
        <v>402</v>
      </c>
    </row>
  </sheetData>
  <mergeCells count="1">
    <mergeCell ref="A2:F2"/>
  </mergeCells>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E10"/>
  <sheetViews>
    <sheetView workbookViewId="0">
      <selection activeCell="B6" sqref="B6"/>
    </sheetView>
  </sheetViews>
  <sheetFormatPr defaultColWidth="9" defaultRowHeight="13.5" customHeight="1" x14ac:dyDescent="0.3"/>
  <cols>
    <col min="2" max="2" width="50.1796875" style="37" customWidth="1"/>
    <col min="3" max="3" width="15.1796875" style="37" customWidth="1"/>
    <col min="4" max="4" width="20" style="37" customWidth="1"/>
    <col min="5" max="5" width="22" style="37" customWidth="1"/>
  </cols>
  <sheetData>
    <row r="1" spans="1:5" ht="37.950000000000003" customHeight="1" x14ac:dyDescent="0.3">
      <c r="A1" s="36" t="s">
        <v>0</v>
      </c>
    </row>
    <row r="2" spans="1:5" ht="33" customHeight="1" x14ac:dyDescent="0.3">
      <c r="A2" s="66" t="s">
        <v>14</v>
      </c>
      <c r="B2" s="66"/>
      <c r="C2" s="66"/>
      <c r="D2" s="66"/>
      <c r="E2" s="66"/>
    </row>
    <row r="3" spans="1:5" ht="21" customHeight="1" x14ac:dyDescent="0.3">
      <c r="A3" s="45" t="s">
        <v>2</v>
      </c>
      <c r="B3" s="45" t="s">
        <v>3</v>
      </c>
      <c r="C3" s="45" t="s">
        <v>4</v>
      </c>
      <c r="D3" s="45" t="s">
        <v>5</v>
      </c>
      <c r="E3" s="45" t="s">
        <v>7</v>
      </c>
    </row>
    <row r="4" spans="1:5" ht="21" customHeight="1" x14ac:dyDescent="0.25">
      <c r="A4" s="45">
        <v>1</v>
      </c>
      <c r="B4" s="45" t="s">
        <v>15</v>
      </c>
      <c r="C4" s="46">
        <v>0.13</v>
      </c>
      <c r="D4" s="47">
        <f>SUM('硬件-报价明细'!Q7:Q33)</f>
        <v>3180591.6599999997</v>
      </c>
      <c r="E4" s="48"/>
    </row>
    <row r="5" spans="1:5" ht="21" customHeight="1" x14ac:dyDescent="0.25">
      <c r="A5" s="45">
        <v>2</v>
      </c>
      <c r="B5" s="49" t="s">
        <v>16</v>
      </c>
      <c r="C5" s="46">
        <v>0.13</v>
      </c>
      <c r="D5" s="47">
        <f>SUM('硬件-报价明细'!Q36:Q110)</f>
        <v>5271075.4000000013</v>
      </c>
      <c r="E5" s="48"/>
    </row>
    <row r="6" spans="1:5" ht="21" customHeight="1" x14ac:dyDescent="0.25">
      <c r="A6" s="45">
        <v>3</v>
      </c>
      <c r="B6" s="45" t="s">
        <v>17</v>
      </c>
      <c r="C6" s="46">
        <v>0.13</v>
      </c>
      <c r="D6" s="47">
        <f>'硬件-报价明细'!Q112</f>
        <v>57872</v>
      </c>
      <c r="E6" s="48"/>
    </row>
    <row r="7" spans="1:5" ht="21" customHeight="1" x14ac:dyDescent="0.25">
      <c r="A7" s="50">
        <v>4</v>
      </c>
      <c r="B7" s="51" t="s">
        <v>18</v>
      </c>
      <c r="C7" s="51"/>
      <c r="D7" s="52">
        <f>SUM(D4:D6)</f>
        <v>8509539.0600000005</v>
      </c>
      <c r="E7" s="53"/>
    </row>
    <row r="8" spans="1:5" ht="76.95" customHeight="1" x14ac:dyDescent="0.3">
      <c r="A8" s="67" t="s">
        <v>19</v>
      </c>
      <c r="B8" s="68"/>
      <c r="C8" s="68"/>
      <c r="D8" s="68"/>
      <c r="E8" s="69"/>
    </row>
    <row r="10" spans="1:5" ht="13.5" customHeight="1" x14ac:dyDescent="0.25">
      <c r="B10" s="54"/>
    </row>
  </sheetData>
  <mergeCells count="2">
    <mergeCell ref="A2:E2"/>
    <mergeCell ref="A8:E8"/>
  </mergeCells>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I26"/>
  <sheetViews>
    <sheetView topLeftCell="A8" zoomScale="55" zoomScaleNormal="55" workbookViewId="0">
      <selection activeCell="G8" sqref="G8"/>
    </sheetView>
  </sheetViews>
  <sheetFormatPr defaultColWidth="10" defaultRowHeight="16.5" customHeight="1" x14ac:dyDescent="0.25"/>
  <cols>
    <col min="1" max="1" width="22.453125" style="33" customWidth="1"/>
    <col min="2" max="2" width="19.81640625" style="34" customWidth="1"/>
    <col min="5" max="5" width="23.7265625" style="34" customWidth="1"/>
    <col min="6" max="6" width="44.7265625" style="34" customWidth="1"/>
    <col min="7" max="8" width="23.1796875" style="35" customWidth="1"/>
    <col min="9" max="9" width="61.26953125" style="35" customWidth="1"/>
  </cols>
  <sheetData>
    <row r="1" spans="1:9" s="32" customFormat="1" ht="37.950000000000003" customHeight="1" x14ac:dyDescent="0.3">
      <c r="A1" s="36" t="s">
        <v>0</v>
      </c>
      <c r="B1" s="37"/>
      <c r="C1" s="37"/>
      <c r="D1" s="37"/>
      <c r="E1" s="37"/>
    </row>
    <row r="2" spans="1:9" ht="43.05" customHeight="1" x14ac:dyDescent="0.3">
      <c r="A2" s="95" t="s">
        <v>20</v>
      </c>
      <c r="B2" s="95"/>
      <c r="C2" s="95"/>
      <c r="D2" s="95"/>
      <c r="E2" s="95"/>
      <c r="F2" s="95"/>
    </row>
    <row r="3" spans="1:9" ht="43.05" customHeight="1" x14ac:dyDescent="0.3">
      <c r="A3" s="38" t="s">
        <v>21</v>
      </c>
      <c r="B3" s="96" t="s">
        <v>22</v>
      </c>
      <c r="C3" s="96"/>
      <c r="D3" s="96"/>
      <c r="E3" s="96"/>
      <c r="F3" s="96"/>
    </row>
    <row r="4" spans="1:9" ht="46.2" customHeight="1" x14ac:dyDescent="0.3">
      <c r="A4" s="97" t="s">
        <v>23</v>
      </c>
      <c r="B4" s="98"/>
      <c r="C4" s="98"/>
      <c r="D4" s="98"/>
      <c r="E4" s="98"/>
      <c r="F4" s="99"/>
    </row>
    <row r="5" spans="1:9" ht="42" customHeight="1" x14ac:dyDescent="0.3">
      <c r="A5" s="93" t="s">
        <v>24</v>
      </c>
      <c r="B5" s="87" t="s">
        <v>25</v>
      </c>
      <c r="C5" s="88"/>
      <c r="D5" s="88"/>
      <c r="E5" s="88"/>
      <c r="F5" s="89"/>
    </row>
    <row r="6" spans="1:9" s="32" customFormat="1" ht="46.2" customHeight="1" x14ac:dyDescent="0.3">
      <c r="A6" s="93"/>
      <c r="B6" s="87" t="s">
        <v>26</v>
      </c>
      <c r="C6" s="88"/>
      <c r="D6" s="88"/>
      <c r="E6" s="88"/>
      <c r="F6" s="89"/>
      <c r="G6" s="35"/>
      <c r="H6" s="35"/>
      <c r="I6" s="35"/>
    </row>
    <row r="7" spans="1:9" s="32" customFormat="1" ht="37.049999999999997" customHeight="1" x14ac:dyDescent="0.3">
      <c r="A7" s="93"/>
      <c r="B7" s="87" t="s">
        <v>27</v>
      </c>
      <c r="C7" s="88"/>
      <c r="D7" s="88"/>
      <c r="E7" s="88"/>
      <c r="F7" s="89"/>
      <c r="G7" s="35"/>
      <c r="H7" s="35"/>
      <c r="I7" s="35"/>
    </row>
    <row r="8" spans="1:9" ht="79.05" customHeight="1" x14ac:dyDescent="0.3">
      <c r="A8" s="94"/>
      <c r="B8" s="90" t="s">
        <v>28</v>
      </c>
      <c r="C8" s="91"/>
      <c r="D8" s="91"/>
      <c r="E8" s="91"/>
      <c r="F8" s="92"/>
      <c r="I8" s="39"/>
    </row>
    <row r="9" spans="1:9" ht="67.95" customHeight="1" x14ac:dyDescent="0.25">
      <c r="A9" s="40" t="s">
        <v>29</v>
      </c>
      <c r="B9" s="90" t="s">
        <v>30</v>
      </c>
      <c r="C9" s="91"/>
      <c r="D9" s="91"/>
      <c r="E9" s="91"/>
      <c r="F9" s="92"/>
      <c r="I9" s="34"/>
    </row>
    <row r="10" spans="1:9" ht="55.05" customHeight="1" x14ac:dyDescent="0.3">
      <c r="A10" s="41" t="s">
        <v>31</v>
      </c>
      <c r="B10" s="81" t="s">
        <v>32</v>
      </c>
      <c r="C10" s="82"/>
      <c r="D10" s="82"/>
      <c r="E10" s="82"/>
      <c r="F10" s="83"/>
      <c r="I10" s="39"/>
    </row>
    <row r="11" spans="1:9" s="32" customFormat="1" ht="46.2" customHeight="1" x14ac:dyDescent="0.3">
      <c r="A11" s="78" t="s">
        <v>33</v>
      </c>
      <c r="B11" s="79"/>
      <c r="C11" s="79"/>
      <c r="D11" s="79"/>
      <c r="E11" s="79"/>
      <c r="F11" s="80"/>
      <c r="G11" s="35"/>
      <c r="H11" s="35"/>
      <c r="I11" s="35"/>
    </row>
    <row r="12" spans="1:9" ht="46.95" customHeight="1" x14ac:dyDescent="0.3">
      <c r="A12" s="40" t="s">
        <v>34</v>
      </c>
      <c r="B12" s="81" t="s">
        <v>35</v>
      </c>
      <c r="C12" s="82"/>
      <c r="D12" s="82"/>
      <c r="E12" s="82"/>
      <c r="F12" s="83"/>
      <c r="I12" s="39"/>
    </row>
    <row r="13" spans="1:9" ht="46.95" customHeight="1" x14ac:dyDescent="0.3">
      <c r="A13" s="42" t="s">
        <v>36</v>
      </c>
      <c r="B13" s="84" t="s">
        <v>37</v>
      </c>
      <c r="C13" s="85"/>
      <c r="D13" s="85"/>
      <c r="E13" s="85"/>
      <c r="F13" s="86"/>
    </row>
    <row r="14" spans="1:9" ht="48" customHeight="1" x14ac:dyDescent="0.3">
      <c r="A14" s="42" t="s">
        <v>38</v>
      </c>
      <c r="B14" s="84" t="s">
        <v>39</v>
      </c>
      <c r="C14" s="85"/>
      <c r="D14" s="85"/>
      <c r="E14" s="85"/>
      <c r="F14" s="86"/>
    </row>
    <row r="15" spans="1:9" s="32" customFormat="1" ht="46.2" customHeight="1" x14ac:dyDescent="0.3">
      <c r="A15" s="78" t="s">
        <v>40</v>
      </c>
      <c r="B15" s="79"/>
      <c r="C15" s="79"/>
      <c r="D15" s="79"/>
      <c r="E15" s="79"/>
      <c r="F15" s="80"/>
      <c r="G15" s="35"/>
      <c r="H15" s="35"/>
      <c r="I15" s="35"/>
    </row>
    <row r="16" spans="1:9" ht="52.95" customHeight="1" x14ac:dyDescent="0.3">
      <c r="A16" s="43" t="s">
        <v>41</v>
      </c>
      <c r="B16" s="72" t="s">
        <v>42</v>
      </c>
      <c r="C16" s="73"/>
      <c r="D16" s="73"/>
      <c r="E16" s="73"/>
      <c r="F16" s="73"/>
    </row>
    <row r="17" spans="1:9" ht="40.200000000000003" customHeight="1" x14ac:dyDescent="0.3">
      <c r="A17" s="43" t="s">
        <v>43</v>
      </c>
      <c r="B17" s="72" t="s">
        <v>44</v>
      </c>
      <c r="C17" s="73"/>
      <c r="D17" s="73"/>
      <c r="E17" s="73"/>
      <c r="F17" s="73"/>
    </row>
    <row r="18" spans="1:9" s="32" customFormat="1" ht="40.200000000000003" customHeight="1" x14ac:dyDescent="0.3">
      <c r="A18" s="43" t="s">
        <v>45</v>
      </c>
      <c r="B18" s="72" t="s">
        <v>46</v>
      </c>
      <c r="C18" s="73"/>
      <c r="D18" s="73"/>
      <c r="E18" s="73"/>
      <c r="F18" s="73"/>
      <c r="G18" s="35"/>
      <c r="H18" s="35"/>
      <c r="I18" s="35"/>
    </row>
    <row r="19" spans="1:9" ht="34.200000000000003" customHeight="1" x14ac:dyDescent="0.3">
      <c r="A19" s="43" t="s">
        <v>47</v>
      </c>
      <c r="B19" s="72" t="s">
        <v>48</v>
      </c>
      <c r="C19" s="73"/>
      <c r="D19" s="73"/>
      <c r="E19" s="73"/>
      <c r="F19" s="73"/>
    </row>
    <row r="20" spans="1:9" s="32" customFormat="1" ht="46.2" customHeight="1" x14ac:dyDescent="0.3">
      <c r="A20" s="78" t="s">
        <v>49</v>
      </c>
      <c r="B20" s="79"/>
      <c r="C20" s="79"/>
      <c r="D20" s="79"/>
      <c r="E20" s="79"/>
      <c r="F20" s="80"/>
      <c r="G20" s="35"/>
      <c r="H20" s="35"/>
      <c r="I20" s="35"/>
    </row>
    <row r="21" spans="1:9" ht="46.95" customHeight="1" x14ac:dyDescent="0.3">
      <c r="A21" s="43" t="s">
        <v>50</v>
      </c>
      <c r="B21" s="72" t="s">
        <v>51</v>
      </c>
      <c r="C21" s="73"/>
      <c r="D21" s="73"/>
      <c r="E21" s="73"/>
      <c r="F21" s="73"/>
    </row>
    <row r="22" spans="1:9" s="32" customFormat="1" ht="46.95" customHeight="1" x14ac:dyDescent="0.3">
      <c r="A22" s="43" t="s">
        <v>52</v>
      </c>
      <c r="B22" s="72" t="s">
        <v>53</v>
      </c>
      <c r="C22" s="73"/>
      <c r="D22" s="73"/>
      <c r="E22" s="73"/>
      <c r="F22" s="73"/>
      <c r="G22" s="35"/>
      <c r="H22" s="35"/>
      <c r="I22" s="35"/>
    </row>
    <row r="23" spans="1:9" s="32" customFormat="1" ht="46.95" customHeight="1" x14ac:dyDescent="0.3">
      <c r="A23" s="44" t="s">
        <v>54</v>
      </c>
      <c r="B23" s="74" t="s">
        <v>55</v>
      </c>
      <c r="C23" s="75"/>
      <c r="D23" s="75"/>
      <c r="E23" s="75"/>
      <c r="F23" s="75"/>
      <c r="G23" s="35"/>
      <c r="H23" s="35"/>
      <c r="I23" s="35"/>
    </row>
    <row r="24" spans="1:9" ht="39" customHeight="1" x14ac:dyDescent="0.3">
      <c r="A24" s="70" t="s">
        <v>56</v>
      </c>
      <c r="B24" s="72" t="s">
        <v>57</v>
      </c>
      <c r="C24" s="73"/>
      <c r="D24" s="73"/>
      <c r="E24" s="73"/>
      <c r="F24" s="73"/>
    </row>
    <row r="25" spans="1:9" ht="39" customHeight="1" x14ac:dyDescent="0.3">
      <c r="A25" s="71"/>
      <c r="B25" s="76" t="s">
        <v>58</v>
      </c>
      <c r="C25" s="77"/>
      <c r="D25" s="77"/>
      <c r="E25" s="77"/>
      <c r="F25" s="77"/>
    </row>
    <row r="26" spans="1:9" ht="39" customHeight="1" x14ac:dyDescent="0.3">
      <c r="A26" s="71"/>
      <c r="B26" s="76" t="s">
        <v>59</v>
      </c>
      <c r="C26" s="77"/>
      <c r="D26" s="77"/>
      <c r="E26" s="77"/>
      <c r="F26" s="77"/>
    </row>
  </sheetData>
  <mergeCells count="27">
    <mergeCell ref="A2:F2"/>
    <mergeCell ref="B3:F3"/>
    <mergeCell ref="A4:F4"/>
    <mergeCell ref="B5:F5"/>
    <mergeCell ref="B6:F6"/>
    <mergeCell ref="B7:F7"/>
    <mergeCell ref="B8:F8"/>
    <mergeCell ref="B9:F9"/>
    <mergeCell ref="B10:F10"/>
    <mergeCell ref="A11:F11"/>
    <mergeCell ref="A5:A8"/>
    <mergeCell ref="B12:F12"/>
    <mergeCell ref="B13:F13"/>
    <mergeCell ref="B14:F14"/>
    <mergeCell ref="A15:F15"/>
    <mergeCell ref="B16:F16"/>
    <mergeCell ref="B17:F17"/>
    <mergeCell ref="B18:F18"/>
    <mergeCell ref="B19:F19"/>
    <mergeCell ref="A20:F20"/>
    <mergeCell ref="B21:F21"/>
    <mergeCell ref="A24:A26"/>
    <mergeCell ref="B22:F22"/>
    <mergeCell ref="B23:F23"/>
    <mergeCell ref="B24:F24"/>
    <mergeCell ref="B25:F25"/>
    <mergeCell ref="B26:F26"/>
  </mergeCells>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L119"/>
  <sheetViews>
    <sheetView tabSelected="1" topLeftCell="F1" zoomScale="85" zoomScaleNormal="85" workbookViewId="0">
      <pane ySplit="2" topLeftCell="A3" activePane="bottomLeft" state="frozen"/>
      <selection pane="bottomLeft" activeCell="R9" sqref="R9"/>
    </sheetView>
  </sheetViews>
  <sheetFormatPr defaultColWidth="9" defaultRowHeight="27.6" customHeight="1" x14ac:dyDescent="0.3"/>
  <cols>
    <col min="1" max="1" width="9" style="133"/>
    <col min="2" max="2" width="23.26953125" style="134" customWidth="1"/>
    <col min="3" max="3" width="71.1796875" style="126" customWidth="1"/>
    <col min="4" max="4" width="11.453125" style="133" customWidth="1"/>
    <col min="5" max="5" width="9" style="108"/>
    <col min="6" max="6" width="11" style="153" customWidth="1"/>
    <col min="7" max="7" width="9" style="108" customWidth="1"/>
    <col min="8" max="8" width="9" style="154"/>
    <col min="9" max="9" width="9" style="108" customWidth="1"/>
    <col min="10" max="10" width="16.26953125" style="108" customWidth="1"/>
    <col min="11" max="11" width="18.7265625" style="153" customWidth="1"/>
    <col min="12" max="12" width="14.7265625" style="153" customWidth="1"/>
    <col min="13" max="16" width="16.26953125" style="153" customWidth="1"/>
    <col min="17" max="17" width="16.26953125" style="108" customWidth="1"/>
    <col min="18" max="18" width="9" style="108"/>
    <col min="19" max="19" width="9" style="21"/>
    <col min="20" max="38" width="9" style="108"/>
    <col min="39" max="16384" width="9" style="109"/>
  </cols>
  <sheetData>
    <row r="1" spans="1:19" ht="27.6" customHeight="1" x14ac:dyDescent="0.15">
      <c r="A1" s="103" t="s">
        <v>0</v>
      </c>
      <c r="B1" s="103"/>
      <c r="C1" s="104"/>
      <c r="D1" s="103"/>
      <c r="E1" s="103"/>
      <c r="F1" s="103"/>
      <c r="G1" s="105"/>
      <c r="H1" s="106" t="s">
        <v>60</v>
      </c>
      <c r="I1" s="106" t="s">
        <v>60</v>
      </c>
      <c r="J1" s="106" t="s">
        <v>60</v>
      </c>
      <c r="K1" s="106" t="s">
        <v>60</v>
      </c>
      <c r="L1" s="106" t="s">
        <v>60</v>
      </c>
      <c r="M1" s="106" t="s">
        <v>60</v>
      </c>
      <c r="N1" s="106"/>
      <c r="O1" s="106" t="s">
        <v>60</v>
      </c>
      <c r="P1" s="106"/>
      <c r="Q1" s="106" t="s">
        <v>60</v>
      </c>
      <c r="R1" s="107"/>
    </row>
    <row r="2" spans="1:19" ht="27.6" customHeight="1" x14ac:dyDescent="0.3">
      <c r="A2" s="110" t="s">
        <v>2</v>
      </c>
      <c r="B2" s="111" t="s">
        <v>61</v>
      </c>
      <c r="C2" s="112" t="s">
        <v>62</v>
      </c>
      <c r="D2" s="110" t="s">
        <v>63</v>
      </c>
      <c r="E2" s="113" t="s">
        <v>64</v>
      </c>
      <c r="F2" s="110" t="s">
        <v>65</v>
      </c>
      <c r="G2" s="110" t="s">
        <v>7</v>
      </c>
      <c r="H2" s="114" t="s">
        <v>66</v>
      </c>
      <c r="I2" s="114" t="s">
        <v>67</v>
      </c>
      <c r="J2" s="114" t="s">
        <v>68</v>
      </c>
      <c r="K2" s="115" t="s">
        <v>69</v>
      </c>
      <c r="L2" s="115" t="s">
        <v>70</v>
      </c>
      <c r="M2" s="114" t="s">
        <v>71</v>
      </c>
      <c r="N2" s="114" t="s">
        <v>72</v>
      </c>
      <c r="O2" s="114" t="s">
        <v>73</v>
      </c>
      <c r="P2" s="114" t="s">
        <v>74</v>
      </c>
      <c r="Q2" s="114" t="s">
        <v>75</v>
      </c>
      <c r="R2" s="115" t="s">
        <v>7</v>
      </c>
    </row>
    <row r="3" spans="1:19" ht="27.6" customHeight="1" x14ac:dyDescent="0.3">
      <c r="A3" s="116"/>
      <c r="B3" s="117" t="s">
        <v>76</v>
      </c>
      <c r="C3" s="118"/>
      <c r="D3" s="116"/>
      <c r="E3" s="119"/>
      <c r="F3" s="119"/>
      <c r="G3" s="119"/>
      <c r="H3" s="116"/>
      <c r="I3" s="119"/>
      <c r="J3" s="119"/>
      <c r="K3" s="119"/>
      <c r="L3" s="119"/>
      <c r="M3" s="119"/>
      <c r="N3" s="119"/>
      <c r="O3" s="119"/>
      <c r="P3" s="119"/>
      <c r="Q3" s="119"/>
      <c r="R3" s="119"/>
    </row>
    <row r="4" spans="1:19" s="20" customFormat="1" ht="27.6" customHeight="1" x14ac:dyDescent="0.3">
      <c r="A4" s="167">
        <v>1</v>
      </c>
      <c r="B4" s="160" t="s">
        <v>77</v>
      </c>
      <c r="C4" s="161" t="s">
        <v>582</v>
      </c>
      <c r="D4" s="161" t="s">
        <v>563</v>
      </c>
      <c r="E4" s="22">
        <v>24</v>
      </c>
      <c r="F4" s="25" t="s">
        <v>78</v>
      </c>
      <c r="G4" s="23"/>
      <c r="H4" s="25" t="s">
        <v>79</v>
      </c>
      <c r="I4" s="23" t="s">
        <v>80</v>
      </c>
      <c r="J4" s="23" t="s">
        <v>584</v>
      </c>
      <c r="K4" s="23" t="s">
        <v>81</v>
      </c>
      <c r="L4" s="23"/>
      <c r="M4" s="27">
        <v>131.84</v>
      </c>
      <c r="N4" s="27">
        <f>E4*M4</f>
        <v>3164.16</v>
      </c>
      <c r="O4" s="27">
        <v>2622.5</v>
      </c>
      <c r="P4" s="28">
        <f>E4*O4</f>
        <v>62940</v>
      </c>
      <c r="Q4" s="27">
        <f>ROUND((M4+O4)*E4,2)</f>
        <v>66104.160000000003</v>
      </c>
      <c r="R4" s="23"/>
    </row>
    <row r="5" spans="1:19" s="20" customFormat="1" ht="27.6" customHeight="1" x14ac:dyDescent="0.3">
      <c r="A5" s="168"/>
      <c r="B5" s="162"/>
      <c r="C5" s="163"/>
      <c r="D5" s="163"/>
      <c r="E5" s="22">
        <v>1</v>
      </c>
      <c r="F5" s="25" t="s">
        <v>78</v>
      </c>
      <c r="G5" s="23"/>
      <c r="H5" s="156" t="s">
        <v>585</v>
      </c>
      <c r="I5" s="157" t="s">
        <v>586</v>
      </c>
      <c r="J5" s="158" t="s">
        <v>587</v>
      </c>
      <c r="K5" s="23" t="s">
        <v>81</v>
      </c>
      <c r="L5" s="23"/>
      <c r="M5" s="27">
        <v>131.84</v>
      </c>
      <c r="N5" s="27">
        <f t="shared" ref="N5:N6" si="0">E5*M5</f>
        <v>131.84</v>
      </c>
      <c r="O5" s="61">
        <v>7255</v>
      </c>
      <c r="P5" s="28">
        <f t="shared" ref="P5:P6" si="1">E5*O5</f>
        <v>7255</v>
      </c>
      <c r="Q5" s="27">
        <f t="shared" ref="Q5:Q6" si="2">ROUND((M5+O5)*E5,2)</f>
        <v>7386.84</v>
      </c>
      <c r="R5" s="23"/>
      <c r="S5" s="20" t="s">
        <v>613</v>
      </c>
    </row>
    <row r="6" spans="1:19" s="20" customFormat="1" ht="27.6" customHeight="1" x14ac:dyDescent="0.3">
      <c r="A6" s="169"/>
      <c r="B6" s="164"/>
      <c r="C6" s="165"/>
      <c r="D6" s="165"/>
      <c r="E6" s="22">
        <v>1</v>
      </c>
      <c r="F6" s="25" t="s">
        <v>78</v>
      </c>
      <c r="G6" s="23"/>
      <c r="H6" s="156" t="s">
        <v>588</v>
      </c>
      <c r="I6" s="157" t="s">
        <v>589</v>
      </c>
      <c r="J6" s="159" t="s">
        <v>590</v>
      </c>
      <c r="K6" s="23" t="s">
        <v>81</v>
      </c>
      <c r="L6" s="23"/>
      <c r="M6" s="27">
        <v>131.84</v>
      </c>
      <c r="N6" s="27">
        <f t="shared" si="0"/>
        <v>131.84</v>
      </c>
      <c r="O6" s="166">
        <v>5243</v>
      </c>
      <c r="P6" s="28">
        <f t="shared" si="1"/>
        <v>5243</v>
      </c>
      <c r="Q6" s="27">
        <f t="shared" si="2"/>
        <v>5374.84</v>
      </c>
      <c r="R6" s="23"/>
      <c r="S6" s="20" t="s">
        <v>613</v>
      </c>
    </row>
    <row r="7" spans="1:19" ht="27.6" customHeight="1" x14ac:dyDescent="0.3">
      <c r="A7" s="120">
        <v>2</v>
      </c>
      <c r="B7" s="121" t="s">
        <v>82</v>
      </c>
      <c r="C7" s="127" t="s">
        <v>571</v>
      </c>
      <c r="D7" s="120" t="s">
        <v>83</v>
      </c>
      <c r="E7" s="116">
        <v>9</v>
      </c>
      <c r="F7" s="120" t="s">
        <v>78</v>
      </c>
      <c r="G7" s="119"/>
      <c r="H7" s="25" t="s">
        <v>84</v>
      </c>
      <c r="I7" s="25" t="s">
        <v>572</v>
      </c>
      <c r="J7" s="23" t="s">
        <v>570</v>
      </c>
      <c r="K7" s="118" t="s">
        <v>81</v>
      </c>
      <c r="L7" s="119"/>
      <c r="M7" s="128">
        <v>32.96</v>
      </c>
      <c r="N7" s="124">
        <f t="shared" ref="N7:N38" si="3">E7*M7</f>
        <v>296.64</v>
      </c>
      <c r="O7" s="128">
        <v>7240.88</v>
      </c>
      <c r="P7" s="125">
        <f t="shared" ref="P7:P38" si="4">E7*O7</f>
        <v>65167.92</v>
      </c>
      <c r="Q7" s="124">
        <f t="shared" ref="Q7:Q33" si="5">ROUND((M7+O7)*E7,2)</f>
        <v>65464.56</v>
      </c>
      <c r="R7" s="119"/>
    </row>
    <row r="8" spans="1:19" ht="27.6" customHeight="1" x14ac:dyDescent="0.3">
      <c r="A8" s="120">
        <v>3</v>
      </c>
      <c r="B8" s="121" t="s">
        <v>87</v>
      </c>
      <c r="C8" s="127" t="s">
        <v>88</v>
      </c>
      <c r="D8" s="120" t="s">
        <v>83</v>
      </c>
      <c r="E8" s="116">
        <v>129</v>
      </c>
      <c r="F8" s="120" t="s">
        <v>78</v>
      </c>
      <c r="G8" s="119"/>
      <c r="H8" s="62" t="s">
        <v>84</v>
      </c>
      <c r="I8" s="25" t="s">
        <v>567</v>
      </c>
      <c r="J8" s="23" t="s">
        <v>568</v>
      </c>
      <c r="K8" s="118" t="s">
        <v>81</v>
      </c>
      <c r="L8" s="119"/>
      <c r="M8" s="128">
        <v>32.96</v>
      </c>
      <c r="N8" s="124">
        <f t="shared" si="3"/>
        <v>4251.84</v>
      </c>
      <c r="O8" s="65">
        <v>5424.7</v>
      </c>
      <c r="P8" s="129">
        <f t="shared" si="4"/>
        <v>699786.29999999993</v>
      </c>
      <c r="Q8" s="124">
        <f t="shared" si="5"/>
        <v>704038.14</v>
      </c>
      <c r="R8" s="119"/>
      <c r="S8" s="21" t="s">
        <v>614</v>
      </c>
    </row>
    <row r="9" spans="1:19" ht="27.6" customHeight="1" x14ac:dyDescent="0.3">
      <c r="A9" s="120">
        <v>4</v>
      </c>
      <c r="B9" s="121" t="s">
        <v>91</v>
      </c>
      <c r="C9" s="127" t="s">
        <v>92</v>
      </c>
      <c r="D9" s="123" t="s">
        <v>93</v>
      </c>
      <c r="E9" s="116">
        <v>129</v>
      </c>
      <c r="F9" s="120" t="s">
        <v>78</v>
      </c>
      <c r="G9" s="119"/>
      <c r="H9" s="22" t="s">
        <v>591</v>
      </c>
      <c r="I9" s="24" t="s">
        <v>592</v>
      </c>
      <c r="J9" s="23" t="s">
        <v>593</v>
      </c>
      <c r="K9" s="118" t="s">
        <v>81</v>
      </c>
      <c r="L9" s="119"/>
      <c r="M9" s="128">
        <v>164.8</v>
      </c>
      <c r="N9" s="124">
        <f t="shared" si="3"/>
        <v>21259.200000000001</v>
      </c>
      <c r="O9" s="128">
        <v>1485.31</v>
      </c>
      <c r="P9" s="125">
        <f t="shared" si="4"/>
        <v>191604.99</v>
      </c>
      <c r="Q9" s="124">
        <f t="shared" si="5"/>
        <v>212864.19</v>
      </c>
      <c r="R9" s="119"/>
    </row>
    <row r="10" spans="1:19" ht="27.6" customHeight="1" x14ac:dyDescent="0.3">
      <c r="A10" s="120">
        <v>5</v>
      </c>
      <c r="B10" s="121" t="s">
        <v>96</v>
      </c>
      <c r="C10" s="122" t="s">
        <v>97</v>
      </c>
      <c r="D10" s="120" t="s">
        <v>583</v>
      </c>
      <c r="E10" s="116">
        <v>129</v>
      </c>
      <c r="F10" s="120" t="s">
        <v>78</v>
      </c>
      <c r="G10" s="119"/>
      <c r="H10" s="62" t="s">
        <v>84</v>
      </c>
      <c r="I10" s="24" t="s">
        <v>573</v>
      </c>
      <c r="J10" s="23" t="s">
        <v>97</v>
      </c>
      <c r="K10" s="118" t="s">
        <v>81</v>
      </c>
      <c r="L10" s="119"/>
      <c r="M10" s="128">
        <v>21.63</v>
      </c>
      <c r="N10" s="124">
        <f t="shared" si="3"/>
        <v>2790.27</v>
      </c>
      <c r="O10" s="128">
        <v>102.8</v>
      </c>
      <c r="P10" s="125">
        <f t="shared" si="4"/>
        <v>13261.199999999999</v>
      </c>
      <c r="Q10" s="124">
        <f t="shared" si="5"/>
        <v>16051.47</v>
      </c>
      <c r="R10" s="119"/>
      <c r="S10" s="21" t="s">
        <v>615</v>
      </c>
    </row>
    <row r="11" spans="1:19" ht="27.6" customHeight="1" x14ac:dyDescent="0.3">
      <c r="A11" s="120">
        <v>6</v>
      </c>
      <c r="B11" s="121" t="s">
        <v>100</v>
      </c>
      <c r="C11" s="130" t="s">
        <v>101</v>
      </c>
      <c r="D11" s="120" t="s">
        <v>83</v>
      </c>
      <c r="E11" s="116">
        <v>13</v>
      </c>
      <c r="F11" s="120" t="s">
        <v>78</v>
      </c>
      <c r="G11" s="119"/>
      <c r="H11" s="62" t="s">
        <v>84</v>
      </c>
      <c r="I11" s="24" t="s">
        <v>594</v>
      </c>
      <c r="J11" s="23" t="s">
        <v>102</v>
      </c>
      <c r="K11" s="118" t="s">
        <v>81</v>
      </c>
      <c r="L11" s="119"/>
      <c r="M11" s="128">
        <v>154.5</v>
      </c>
      <c r="N11" s="124">
        <f t="shared" si="3"/>
        <v>2008.5</v>
      </c>
      <c r="O11" s="128">
        <v>169.89</v>
      </c>
      <c r="P11" s="125">
        <f t="shared" si="4"/>
        <v>2208.5699999999997</v>
      </c>
      <c r="Q11" s="124">
        <f t="shared" si="5"/>
        <v>4217.07</v>
      </c>
      <c r="R11" s="119"/>
      <c r="S11" s="21" t="s">
        <v>615</v>
      </c>
    </row>
    <row r="12" spans="1:19" ht="27.6" customHeight="1" x14ac:dyDescent="0.3">
      <c r="A12" s="120">
        <v>7</v>
      </c>
      <c r="B12" s="121" t="s">
        <v>103</v>
      </c>
      <c r="C12" s="127" t="s">
        <v>104</v>
      </c>
      <c r="D12" s="120" t="s">
        <v>83</v>
      </c>
      <c r="E12" s="116">
        <v>362</v>
      </c>
      <c r="F12" s="120" t="s">
        <v>78</v>
      </c>
      <c r="G12" s="119"/>
      <c r="H12" s="62" t="s">
        <v>84</v>
      </c>
      <c r="I12" s="24" t="s">
        <v>595</v>
      </c>
      <c r="J12" s="23" t="s">
        <v>104</v>
      </c>
      <c r="K12" s="118" t="s">
        <v>81</v>
      </c>
      <c r="L12" s="119"/>
      <c r="M12" s="128">
        <v>131.84</v>
      </c>
      <c r="N12" s="124">
        <f t="shared" si="3"/>
        <v>47726.080000000002</v>
      </c>
      <c r="O12" s="128">
        <v>494.79</v>
      </c>
      <c r="P12" s="129">
        <f t="shared" si="4"/>
        <v>179113.98</v>
      </c>
      <c r="Q12" s="124">
        <f t="shared" si="5"/>
        <v>226840.06</v>
      </c>
      <c r="R12" s="119"/>
      <c r="S12" s="21" t="s">
        <v>615</v>
      </c>
    </row>
    <row r="13" spans="1:19" ht="27.6" customHeight="1" x14ac:dyDescent="0.3">
      <c r="A13" s="120">
        <v>8</v>
      </c>
      <c r="B13" s="121" t="s">
        <v>105</v>
      </c>
      <c r="C13" s="127" t="s">
        <v>106</v>
      </c>
      <c r="D13" s="120" t="s">
        <v>83</v>
      </c>
      <c r="E13" s="116">
        <v>75</v>
      </c>
      <c r="F13" s="120" t="s">
        <v>78</v>
      </c>
      <c r="G13" s="119"/>
      <c r="H13" s="63" t="s">
        <v>84</v>
      </c>
      <c r="I13" s="24" t="s">
        <v>107</v>
      </c>
      <c r="J13" s="23" t="s">
        <v>108</v>
      </c>
      <c r="K13" s="118" t="s">
        <v>81</v>
      </c>
      <c r="L13" s="119"/>
      <c r="M13" s="128">
        <v>350.2</v>
      </c>
      <c r="N13" s="124">
        <f t="shared" si="3"/>
        <v>26265</v>
      </c>
      <c r="O13" s="128">
        <v>7055.22</v>
      </c>
      <c r="P13" s="129">
        <f t="shared" si="4"/>
        <v>529141.5</v>
      </c>
      <c r="Q13" s="124">
        <f t="shared" si="5"/>
        <v>555406.5</v>
      </c>
      <c r="R13" s="119"/>
      <c r="S13" s="21" t="s">
        <v>615</v>
      </c>
    </row>
    <row r="14" spans="1:19" ht="27.6" customHeight="1" x14ac:dyDescent="0.3">
      <c r="A14" s="120">
        <v>9</v>
      </c>
      <c r="B14" s="121" t="s">
        <v>109</v>
      </c>
      <c r="C14" s="122" t="s">
        <v>110</v>
      </c>
      <c r="D14" s="120" t="s">
        <v>83</v>
      </c>
      <c r="E14" s="116">
        <v>26</v>
      </c>
      <c r="F14" s="120" t="s">
        <v>78</v>
      </c>
      <c r="G14" s="119"/>
      <c r="H14" s="63" t="s">
        <v>84</v>
      </c>
      <c r="I14" s="24" t="s">
        <v>596</v>
      </c>
      <c r="J14" s="23" t="s">
        <v>110</v>
      </c>
      <c r="K14" s="118" t="s">
        <v>81</v>
      </c>
      <c r="L14" s="119"/>
      <c r="M14" s="128">
        <v>131.84</v>
      </c>
      <c r="N14" s="124">
        <f t="shared" si="3"/>
        <v>3427.84</v>
      </c>
      <c r="O14" s="128">
        <v>107</v>
      </c>
      <c r="P14" s="125">
        <f t="shared" si="4"/>
        <v>2782</v>
      </c>
      <c r="Q14" s="124">
        <f t="shared" si="5"/>
        <v>6209.84</v>
      </c>
      <c r="R14" s="119"/>
      <c r="S14" s="21" t="s">
        <v>615</v>
      </c>
    </row>
    <row r="15" spans="1:19" ht="27.6" customHeight="1" x14ac:dyDescent="0.3">
      <c r="A15" s="120">
        <v>10</v>
      </c>
      <c r="B15" s="121" t="s">
        <v>111</v>
      </c>
      <c r="C15" s="127" t="s">
        <v>112</v>
      </c>
      <c r="D15" s="120" t="s">
        <v>83</v>
      </c>
      <c r="E15" s="116">
        <v>2</v>
      </c>
      <c r="F15" s="120" t="s">
        <v>78</v>
      </c>
      <c r="G15" s="119"/>
      <c r="H15" s="22" t="s">
        <v>84</v>
      </c>
      <c r="I15" s="24" t="s">
        <v>113</v>
      </c>
      <c r="J15" s="23" t="s">
        <v>114</v>
      </c>
      <c r="K15" s="118" t="s">
        <v>81</v>
      </c>
      <c r="L15" s="119"/>
      <c r="M15" s="128">
        <v>131.84</v>
      </c>
      <c r="N15" s="124">
        <f t="shared" si="3"/>
        <v>263.68</v>
      </c>
      <c r="O15" s="128">
        <v>481.8</v>
      </c>
      <c r="P15" s="129">
        <f t="shared" si="4"/>
        <v>963.6</v>
      </c>
      <c r="Q15" s="124">
        <f t="shared" si="5"/>
        <v>1227.28</v>
      </c>
      <c r="R15" s="119"/>
    </row>
    <row r="16" spans="1:19" ht="27.6" customHeight="1" x14ac:dyDescent="0.3">
      <c r="A16" s="120">
        <v>11</v>
      </c>
      <c r="B16" s="121" t="s">
        <v>115</v>
      </c>
      <c r="C16" s="122" t="s">
        <v>116</v>
      </c>
      <c r="D16" s="120" t="s">
        <v>83</v>
      </c>
      <c r="E16" s="116">
        <v>89</v>
      </c>
      <c r="F16" s="120" t="s">
        <v>78</v>
      </c>
      <c r="G16" s="119"/>
      <c r="H16" s="63" t="s">
        <v>84</v>
      </c>
      <c r="I16" s="23" t="s">
        <v>117</v>
      </c>
      <c r="J16" s="23" t="s">
        <v>118</v>
      </c>
      <c r="K16" s="118" t="s">
        <v>81</v>
      </c>
      <c r="L16" s="119"/>
      <c r="M16" s="128">
        <v>154.5</v>
      </c>
      <c r="N16" s="124">
        <f t="shared" si="3"/>
        <v>13750.5</v>
      </c>
      <c r="O16" s="128">
        <v>1074.06</v>
      </c>
      <c r="P16" s="129">
        <f t="shared" si="4"/>
        <v>95591.34</v>
      </c>
      <c r="Q16" s="124">
        <f t="shared" si="5"/>
        <v>109341.84</v>
      </c>
      <c r="R16" s="119"/>
      <c r="S16" s="21" t="s">
        <v>615</v>
      </c>
    </row>
    <row r="17" spans="1:19" ht="27.6" customHeight="1" x14ac:dyDescent="0.3">
      <c r="A17" s="120">
        <v>12</v>
      </c>
      <c r="B17" s="121" t="s">
        <v>119</v>
      </c>
      <c r="C17" s="127" t="s">
        <v>120</v>
      </c>
      <c r="D17" s="120" t="s">
        <v>83</v>
      </c>
      <c r="E17" s="116">
        <v>100</v>
      </c>
      <c r="F17" s="120" t="s">
        <v>121</v>
      </c>
      <c r="G17" s="119"/>
      <c r="H17" s="63" t="s">
        <v>597</v>
      </c>
      <c r="I17" s="64" t="s">
        <v>598</v>
      </c>
      <c r="J17" s="24"/>
      <c r="K17" s="118" t="s">
        <v>81</v>
      </c>
      <c r="L17" s="119"/>
      <c r="M17" s="128">
        <v>21.63</v>
      </c>
      <c r="N17" s="124">
        <f t="shared" si="3"/>
        <v>2163</v>
      </c>
      <c r="O17" s="128">
        <v>198.26</v>
      </c>
      <c r="P17" s="129">
        <f t="shared" si="4"/>
        <v>19826</v>
      </c>
      <c r="Q17" s="124">
        <f t="shared" si="5"/>
        <v>21989</v>
      </c>
      <c r="R17" s="119"/>
      <c r="S17" s="21" t="s">
        <v>615</v>
      </c>
    </row>
    <row r="18" spans="1:19" ht="27.6" customHeight="1" x14ac:dyDescent="0.3">
      <c r="A18" s="120">
        <v>13</v>
      </c>
      <c r="B18" s="121" t="s">
        <v>122</v>
      </c>
      <c r="C18" s="127" t="s">
        <v>123</v>
      </c>
      <c r="D18" s="120" t="s">
        <v>83</v>
      </c>
      <c r="E18" s="116">
        <v>168</v>
      </c>
      <c r="F18" s="120" t="s">
        <v>121</v>
      </c>
      <c r="G18" s="119"/>
      <c r="H18" s="63" t="s">
        <v>84</v>
      </c>
      <c r="I18" s="24" t="s">
        <v>124</v>
      </c>
      <c r="J18" s="24" t="s">
        <v>578</v>
      </c>
      <c r="K18" s="118" t="s">
        <v>81</v>
      </c>
      <c r="L18" s="119"/>
      <c r="M18" s="128">
        <v>144.19999999999999</v>
      </c>
      <c r="N18" s="124">
        <f t="shared" si="3"/>
        <v>24225.599999999999</v>
      </c>
      <c r="O18" s="128">
        <v>165.74</v>
      </c>
      <c r="P18" s="125">
        <f t="shared" si="4"/>
        <v>27844.32</v>
      </c>
      <c r="Q18" s="124">
        <f t="shared" si="5"/>
        <v>52069.919999999998</v>
      </c>
      <c r="R18" s="119"/>
      <c r="S18" s="21" t="s">
        <v>615</v>
      </c>
    </row>
    <row r="19" spans="1:19" ht="27.6" customHeight="1" x14ac:dyDescent="0.3">
      <c r="A19" s="120">
        <v>14</v>
      </c>
      <c r="B19" s="131" t="s">
        <v>125</v>
      </c>
      <c r="C19" s="127" t="s">
        <v>126</v>
      </c>
      <c r="D19" s="120" t="s">
        <v>127</v>
      </c>
      <c r="E19" s="116">
        <v>129</v>
      </c>
      <c r="F19" s="120" t="s">
        <v>121</v>
      </c>
      <c r="G19" s="119"/>
      <c r="H19" s="22" t="s">
        <v>128</v>
      </c>
      <c r="I19" s="23" t="s">
        <v>574</v>
      </c>
      <c r="J19" s="24" t="s">
        <v>130</v>
      </c>
      <c r="K19" s="118" t="s">
        <v>81</v>
      </c>
      <c r="L19" s="119"/>
      <c r="M19" s="128">
        <v>98.88</v>
      </c>
      <c r="N19" s="124">
        <f t="shared" si="3"/>
        <v>12755.519999999999</v>
      </c>
      <c r="O19" s="128">
        <v>111.19</v>
      </c>
      <c r="P19" s="129">
        <f t="shared" si="4"/>
        <v>14343.51</v>
      </c>
      <c r="Q19" s="124">
        <f t="shared" si="5"/>
        <v>27099.03</v>
      </c>
      <c r="R19" s="119"/>
    </row>
    <row r="20" spans="1:19" ht="27.6" customHeight="1" x14ac:dyDescent="0.3">
      <c r="A20" s="120">
        <v>15</v>
      </c>
      <c r="B20" s="131" t="s">
        <v>131</v>
      </c>
      <c r="C20" s="127" t="s">
        <v>132</v>
      </c>
      <c r="D20" s="116" t="s">
        <v>133</v>
      </c>
      <c r="E20" s="116">
        <v>129</v>
      </c>
      <c r="F20" s="120" t="s">
        <v>134</v>
      </c>
      <c r="G20" s="119"/>
      <c r="H20" s="22" t="s">
        <v>135</v>
      </c>
      <c r="I20" s="24" t="s">
        <v>136</v>
      </c>
      <c r="J20" s="24" t="s">
        <v>599</v>
      </c>
      <c r="K20" s="118" t="s">
        <v>81</v>
      </c>
      <c r="L20" s="119"/>
      <c r="M20" s="128">
        <v>32.96</v>
      </c>
      <c r="N20" s="124">
        <f t="shared" si="3"/>
        <v>4251.84</v>
      </c>
      <c r="O20" s="128">
        <v>182.53</v>
      </c>
      <c r="P20" s="125">
        <f t="shared" si="4"/>
        <v>23546.37</v>
      </c>
      <c r="Q20" s="124">
        <f t="shared" si="5"/>
        <v>27798.21</v>
      </c>
      <c r="R20" s="119"/>
    </row>
    <row r="21" spans="1:19" ht="27.6" customHeight="1" x14ac:dyDescent="0.3">
      <c r="A21" s="120">
        <v>16</v>
      </c>
      <c r="B21" s="131" t="s">
        <v>138</v>
      </c>
      <c r="C21" s="127" t="s">
        <v>139</v>
      </c>
      <c r="D21" s="116" t="s">
        <v>133</v>
      </c>
      <c r="E21" s="116">
        <v>34</v>
      </c>
      <c r="F21" s="120" t="s">
        <v>121</v>
      </c>
      <c r="G21" s="119"/>
      <c r="H21" s="22" t="s">
        <v>135</v>
      </c>
      <c r="I21" s="24" t="s">
        <v>140</v>
      </c>
      <c r="J21" s="24" t="s">
        <v>600</v>
      </c>
      <c r="K21" s="118" t="s">
        <v>81</v>
      </c>
      <c r="L21" s="119"/>
      <c r="M21" s="128">
        <v>87.55</v>
      </c>
      <c r="N21" s="124">
        <f t="shared" si="3"/>
        <v>2976.7</v>
      </c>
      <c r="O21" s="128">
        <v>543.38</v>
      </c>
      <c r="P21" s="129">
        <f t="shared" si="4"/>
        <v>18474.919999999998</v>
      </c>
      <c r="Q21" s="124">
        <f t="shared" si="5"/>
        <v>21451.62</v>
      </c>
      <c r="R21" s="119"/>
    </row>
    <row r="22" spans="1:19" ht="27.6" customHeight="1" x14ac:dyDescent="0.3">
      <c r="A22" s="120">
        <v>17</v>
      </c>
      <c r="B22" s="131" t="s">
        <v>576</v>
      </c>
      <c r="C22" s="127" t="s">
        <v>143</v>
      </c>
      <c r="D22" s="120" t="s">
        <v>127</v>
      </c>
      <c r="E22" s="120">
        <v>130000</v>
      </c>
      <c r="F22" s="120" t="s">
        <v>144</v>
      </c>
      <c r="G22" s="119"/>
      <c r="H22" s="22" t="s">
        <v>128</v>
      </c>
      <c r="I22" s="64" t="s">
        <v>577</v>
      </c>
      <c r="J22" s="23" t="s">
        <v>143</v>
      </c>
      <c r="K22" s="118" t="s">
        <v>81</v>
      </c>
      <c r="L22" s="119"/>
      <c r="M22" s="128">
        <v>2.68</v>
      </c>
      <c r="N22" s="124">
        <f t="shared" si="3"/>
        <v>348400</v>
      </c>
      <c r="O22" s="128">
        <v>1.84</v>
      </c>
      <c r="P22" s="125">
        <f t="shared" si="4"/>
        <v>239200</v>
      </c>
      <c r="Q22" s="124">
        <f t="shared" si="5"/>
        <v>587600</v>
      </c>
      <c r="R22" s="119"/>
      <c r="S22" s="21" t="s">
        <v>616</v>
      </c>
    </row>
    <row r="23" spans="1:19" ht="27.6" customHeight="1" x14ac:dyDescent="0.3">
      <c r="A23" s="120">
        <v>18</v>
      </c>
      <c r="B23" s="131" t="s">
        <v>145</v>
      </c>
      <c r="C23" s="127" t="s">
        <v>146</v>
      </c>
      <c r="D23" s="120" t="s">
        <v>127</v>
      </c>
      <c r="E23" s="120">
        <v>24</v>
      </c>
      <c r="F23" s="120" t="s">
        <v>121</v>
      </c>
      <c r="G23" s="119"/>
      <c r="H23" s="22" t="s">
        <v>128</v>
      </c>
      <c r="I23" s="23" t="s">
        <v>575</v>
      </c>
      <c r="J23" s="23" t="s">
        <v>146</v>
      </c>
      <c r="K23" s="118" t="s">
        <v>81</v>
      </c>
      <c r="L23" s="119"/>
      <c r="M23" s="128">
        <v>463.5</v>
      </c>
      <c r="N23" s="124">
        <f t="shared" si="3"/>
        <v>11124</v>
      </c>
      <c r="O23" s="128">
        <v>503.52</v>
      </c>
      <c r="P23" s="129">
        <f t="shared" si="4"/>
        <v>12084.48</v>
      </c>
      <c r="Q23" s="124">
        <f t="shared" si="5"/>
        <v>23208.48</v>
      </c>
      <c r="R23" s="119"/>
    </row>
    <row r="24" spans="1:19" ht="27.6" customHeight="1" x14ac:dyDescent="0.3">
      <c r="A24" s="120">
        <v>19</v>
      </c>
      <c r="B24" s="131" t="s">
        <v>148</v>
      </c>
      <c r="C24" s="127" t="s">
        <v>149</v>
      </c>
      <c r="D24" s="120" t="s">
        <v>127</v>
      </c>
      <c r="E24" s="120">
        <f>E20</f>
        <v>129</v>
      </c>
      <c r="F24" s="120" t="s">
        <v>121</v>
      </c>
      <c r="G24" s="119"/>
      <c r="H24" s="22" t="s">
        <v>128</v>
      </c>
      <c r="I24" s="24" t="s">
        <v>150</v>
      </c>
      <c r="J24" s="24" t="s">
        <v>149</v>
      </c>
      <c r="K24" s="118" t="s">
        <v>81</v>
      </c>
      <c r="L24" s="119"/>
      <c r="M24" s="128">
        <v>5.51</v>
      </c>
      <c r="N24" s="124">
        <f t="shared" si="3"/>
        <v>710.79</v>
      </c>
      <c r="O24" s="128">
        <v>23.08</v>
      </c>
      <c r="P24" s="125">
        <f t="shared" si="4"/>
        <v>2977.3199999999997</v>
      </c>
      <c r="Q24" s="124">
        <f t="shared" si="5"/>
        <v>3688.11</v>
      </c>
      <c r="R24" s="119"/>
    </row>
    <row r="25" spans="1:19" ht="27.6" customHeight="1" x14ac:dyDescent="0.3">
      <c r="A25" s="120">
        <v>20</v>
      </c>
      <c r="B25" s="131" t="s">
        <v>151</v>
      </c>
      <c r="C25" s="127" t="s">
        <v>152</v>
      </c>
      <c r="D25" s="120" t="s">
        <v>127</v>
      </c>
      <c r="E25" s="120">
        <f>E20*2</f>
        <v>258</v>
      </c>
      <c r="F25" s="120" t="s">
        <v>121</v>
      </c>
      <c r="G25" s="119"/>
      <c r="H25" s="22" t="s">
        <v>128</v>
      </c>
      <c r="I25" s="24" t="s">
        <v>153</v>
      </c>
      <c r="J25" s="23" t="s">
        <v>569</v>
      </c>
      <c r="K25" s="118" t="s">
        <v>81</v>
      </c>
      <c r="L25" s="119"/>
      <c r="M25" s="128">
        <v>5.51</v>
      </c>
      <c r="N25" s="124">
        <f t="shared" si="3"/>
        <v>1421.58</v>
      </c>
      <c r="O25" s="128">
        <v>16.78</v>
      </c>
      <c r="P25" s="129">
        <f t="shared" si="4"/>
        <v>4329.2400000000007</v>
      </c>
      <c r="Q25" s="124">
        <f t="shared" si="5"/>
        <v>5750.82</v>
      </c>
      <c r="R25" s="119"/>
    </row>
    <row r="26" spans="1:19" ht="27.6" customHeight="1" x14ac:dyDescent="0.3">
      <c r="A26" s="120">
        <v>21</v>
      </c>
      <c r="B26" s="131" t="s">
        <v>580</v>
      </c>
      <c r="C26" s="127" t="s">
        <v>579</v>
      </c>
      <c r="D26" s="116" t="s">
        <v>154</v>
      </c>
      <c r="E26" s="116">
        <v>12</v>
      </c>
      <c r="F26" s="120" t="s">
        <v>78</v>
      </c>
      <c r="G26" s="119"/>
      <c r="H26" s="22" t="s">
        <v>155</v>
      </c>
      <c r="I26" s="157" t="s">
        <v>601</v>
      </c>
      <c r="J26" s="23" t="s">
        <v>602</v>
      </c>
      <c r="K26" s="118" t="s">
        <v>81</v>
      </c>
      <c r="L26" s="119"/>
      <c r="M26" s="128">
        <v>144.19999999999999</v>
      </c>
      <c r="N26" s="124">
        <f t="shared" si="3"/>
        <v>1730.3999999999999</v>
      </c>
      <c r="O26" s="65">
        <v>1265</v>
      </c>
      <c r="P26" s="125">
        <f t="shared" si="4"/>
        <v>15180</v>
      </c>
      <c r="Q26" s="124">
        <f t="shared" si="5"/>
        <v>16910.400000000001</v>
      </c>
      <c r="R26" s="119"/>
      <c r="S26" s="21" t="s">
        <v>616</v>
      </c>
    </row>
    <row r="27" spans="1:19" ht="27.6" customHeight="1" x14ac:dyDescent="0.3">
      <c r="A27" s="120">
        <v>22</v>
      </c>
      <c r="B27" s="131" t="s">
        <v>156</v>
      </c>
      <c r="C27" s="127" t="s">
        <v>157</v>
      </c>
      <c r="D27" s="116" t="s">
        <v>154</v>
      </c>
      <c r="E27" s="120">
        <v>24</v>
      </c>
      <c r="F27" s="120" t="s">
        <v>121</v>
      </c>
      <c r="G27" s="119"/>
      <c r="H27" s="22" t="s">
        <v>155</v>
      </c>
      <c r="I27" s="64" t="s">
        <v>603</v>
      </c>
      <c r="J27" s="23" t="s">
        <v>604</v>
      </c>
      <c r="K27" s="118" t="s">
        <v>81</v>
      </c>
      <c r="L27" s="119"/>
      <c r="M27" s="128">
        <v>16.48</v>
      </c>
      <c r="N27" s="124">
        <f t="shared" si="3"/>
        <v>395.52</v>
      </c>
      <c r="O27" s="128">
        <v>110.15</v>
      </c>
      <c r="P27" s="125">
        <f t="shared" si="4"/>
        <v>2643.6000000000004</v>
      </c>
      <c r="Q27" s="124">
        <f t="shared" si="5"/>
        <v>3039.12</v>
      </c>
      <c r="R27" s="119"/>
    </row>
    <row r="28" spans="1:19" ht="27.6" customHeight="1" x14ac:dyDescent="0.3">
      <c r="A28" s="120">
        <v>23</v>
      </c>
      <c r="B28" s="131" t="s">
        <v>158</v>
      </c>
      <c r="C28" s="127" t="s">
        <v>159</v>
      </c>
      <c r="D28" s="120" t="s">
        <v>127</v>
      </c>
      <c r="E28" s="120">
        <v>3800</v>
      </c>
      <c r="F28" s="120" t="s">
        <v>144</v>
      </c>
      <c r="G28" s="119"/>
      <c r="H28" s="22" t="s">
        <v>128</v>
      </c>
      <c r="I28" s="24" t="s">
        <v>160</v>
      </c>
      <c r="J28" s="24" t="s">
        <v>159</v>
      </c>
      <c r="K28" s="118" t="s">
        <v>81</v>
      </c>
      <c r="L28" s="119"/>
      <c r="M28" s="128">
        <v>2.06</v>
      </c>
      <c r="N28" s="124">
        <f t="shared" si="3"/>
        <v>7828</v>
      </c>
      <c r="O28" s="128">
        <v>3.04</v>
      </c>
      <c r="P28" s="129">
        <f t="shared" si="4"/>
        <v>11552</v>
      </c>
      <c r="Q28" s="124">
        <f t="shared" si="5"/>
        <v>19380</v>
      </c>
      <c r="R28" s="119"/>
    </row>
    <row r="29" spans="1:19" ht="27.6" customHeight="1" x14ac:dyDescent="0.3">
      <c r="A29" s="120">
        <v>24</v>
      </c>
      <c r="B29" s="131" t="s">
        <v>158</v>
      </c>
      <c r="C29" s="127" t="s">
        <v>161</v>
      </c>
      <c r="D29" s="120" t="s">
        <v>127</v>
      </c>
      <c r="E29" s="120">
        <v>7200</v>
      </c>
      <c r="F29" s="120" t="s">
        <v>144</v>
      </c>
      <c r="G29" s="119"/>
      <c r="H29" s="22" t="s">
        <v>128</v>
      </c>
      <c r="I29" s="24" t="s">
        <v>162</v>
      </c>
      <c r="J29" s="24" t="s">
        <v>161</v>
      </c>
      <c r="K29" s="118" t="s">
        <v>81</v>
      </c>
      <c r="L29" s="119"/>
      <c r="M29" s="128">
        <v>2.06</v>
      </c>
      <c r="N29" s="124">
        <f t="shared" si="3"/>
        <v>14832</v>
      </c>
      <c r="O29" s="128">
        <v>5.72</v>
      </c>
      <c r="P29" s="125">
        <f t="shared" si="4"/>
        <v>41184</v>
      </c>
      <c r="Q29" s="124">
        <f t="shared" si="5"/>
        <v>56016</v>
      </c>
      <c r="R29" s="119"/>
    </row>
    <row r="30" spans="1:19" ht="27.6" customHeight="1" x14ac:dyDescent="0.3">
      <c r="A30" s="120">
        <v>25</v>
      </c>
      <c r="B30" s="131" t="s">
        <v>158</v>
      </c>
      <c r="C30" s="127" t="s">
        <v>163</v>
      </c>
      <c r="D30" s="120" t="s">
        <v>127</v>
      </c>
      <c r="E30" s="120">
        <v>5000</v>
      </c>
      <c r="F30" s="120" t="s">
        <v>144</v>
      </c>
      <c r="G30" s="119"/>
      <c r="H30" s="22" t="s">
        <v>128</v>
      </c>
      <c r="I30" s="24" t="s">
        <v>164</v>
      </c>
      <c r="J30" s="24" t="s">
        <v>163</v>
      </c>
      <c r="K30" s="118" t="s">
        <v>81</v>
      </c>
      <c r="L30" s="119"/>
      <c r="M30" s="128">
        <v>2.52</v>
      </c>
      <c r="N30" s="124">
        <f t="shared" si="3"/>
        <v>12600</v>
      </c>
      <c r="O30" s="128">
        <v>8.9700000000000006</v>
      </c>
      <c r="P30" s="125">
        <f t="shared" si="4"/>
        <v>44850</v>
      </c>
      <c r="Q30" s="124">
        <f t="shared" si="5"/>
        <v>57450</v>
      </c>
      <c r="R30" s="119"/>
    </row>
    <row r="31" spans="1:19" ht="27.6" customHeight="1" x14ac:dyDescent="0.3">
      <c r="A31" s="120">
        <v>26</v>
      </c>
      <c r="B31" s="131" t="s">
        <v>158</v>
      </c>
      <c r="C31" s="127" t="s">
        <v>165</v>
      </c>
      <c r="D31" s="120" t="s">
        <v>127</v>
      </c>
      <c r="E31" s="120">
        <v>154</v>
      </c>
      <c r="F31" s="120" t="s">
        <v>144</v>
      </c>
      <c r="G31" s="119"/>
      <c r="H31" s="22" t="s">
        <v>128</v>
      </c>
      <c r="I31" s="24" t="s">
        <v>166</v>
      </c>
      <c r="J31" s="24" t="s">
        <v>165</v>
      </c>
      <c r="K31" s="118" t="s">
        <v>81</v>
      </c>
      <c r="L31" s="119"/>
      <c r="M31" s="128">
        <v>2.52</v>
      </c>
      <c r="N31" s="124">
        <f t="shared" si="3"/>
        <v>388.08</v>
      </c>
      <c r="O31" s="128">
        <v>12.48</v>
      </c>
      <c r="P31" s="125">
        <f t="shared" si="4"/>
        <v>1921.92</v>
      </c>
      <c r="Q31" s="124">
        <f t="shared" si="5"/>
        <v>2310</v>
      </c>
      <c r="R31" s="119"/>
    </row>
    <row r="32" spans="1:19" ht="27.6" customHeight="1" x14ac:dyDescent="0.3">
      <c r="A32" s="120">
        <v>27</v>
      </c>
      <c r="B32" s="131" t="s">
        <v>167</v>
      </c>
      <c r="C32" s="127" t="s">
        <v>168</v>
      </c>
      <c r="D32" s="116" t="s">
        <v>169</v>
      </c>
      <c r="E32" s="120">
        <v>25000</v>
      </c>
      <c r="F32" s="120" t="s">
        <v>144</v>
      </c>
      <c r="G32" s="119"/>
      <c r="H32" s="22" t="s">
        <v>169</v>
      </c>
      <c r="I32" s="24" t="s">
        <v>170</v>
      </c>
      <c r="J32" s="24" t="s">
        <v>171</v>
      </c>
      <c r="K32" s="118" t="s">
        <v>81</v>
      </c>
      <c r="L32" s="119"/>
      <c r="M32" s="128">
        <v>9.7899999999999991</v>
      </c>
      <c r="N32" s="124">
        <f t="shared" si="3"/>
        <v>244749.99999999997</v>
      </c>
      <c r="O32" s="128">
        <v>3.67</v>
      </c>
      <c r="P32" s="129">
        <f t="shared" si="4"/>
        <v>91750</v>
      </c>
      <c r="Q32" s="124">
        <f t="shared" si="5"/>
        <v>336500</v>
      </c>
      <c r="R32" s="119"/>
    </row>
    <row r="33" spans="1:19" ht="27.6" customHeight="1" x14ac:dyDescent="0.3">
      <c r="A33" s="120">
        <v>28</v>
      </c>
      <c r="B33" s="131" t="s">
        <v>172</v>
      </c>
      <c r="C33" s="127" t="s">
        <v>173</v>
      </c>
      <c r="D33" s="116" t="s">
        <v>169</v>
      </c>
      <c r="E33" s="120">
        <v>1</v>
      </c>
      <c r="F33" s="120" t="s">
        <v>174</v>
      </c>
      <c r="G33" s="119"/>
      <c r="H33" s="22"/>
      <c r="I33" s="24"/>
      <c r="J33" s="24"/>
      <c r="K33" s="118" t="s">
        <v>81</v>
      </c>
      <c r="L33" s="119"/>
      <c r="M33" s="128">
        <v>6180</v>
      </c>
      <c r="N33" s="124">
        <f t="shared" si="3"/>
        <v>6180</v>
      </c>
      <c r="O33" s="128">
        <v>10490</v>
      </c>
      <c r="P33" s="129">
        <f t="shared" si="4"/>
        <v>10490</v>
      </c>
      <c r="Q33" s="124">
        <f t="shared" si="5"/>
        <v>16670</v>
      </c>
      <c r="R33" s="119"/>
    </row>
    <row r="34" spans="1:19" ht="27.6" customHeight="1" x14ac:dyDescent="0.3">
      <c r="A34" s="120"/>
      <c r="B34" s="132" t="s">
        <v>175</v>
      </c>
      <c r="C34" s="127"/>
      <c r="D34" s="116"/>
      <c r="E34" s="119"/>
      <c r="F34" s="119"/>
      <c r="G34" s="119"/>
      <c r="H34" s="22"/>
      <c r="I34" s="24"/>
      <c r="J34" s="24"/>
      <c r="K34" s="118"/>
      <c r="L34" s="119"/>
      <c r="M34" s="119"/>
      <c r="N34" s="124">
        <f t="shared" si="3"/>
        <v>0</v>
      </c>
      <c r="O34" s="119"/>
      <c r="P34" s="125">
        <f t="shared" si="4"/>
        <v>0</v>
      </c>
      <c r="Q34" s="119"/>
      <c r="R34" s="119"/>
    </row>
    <row r="35" spans="1:19" ht="27.6" customHeight="1" x14ac:dyDescent="0.3">
      <c r="A35" s="120"/>
      <c r="B35" s="131" t="s">
        <v>176</v>
      </c>
      <c r="C35" s="127"/>
      <c r="D35" s="116"/>
      <c r="E35" s="119"/>
      <c r="F35" s="119"/>
      <c r="G35" s="119"/>
      <c r="H35" s="22"/>
      <c r="I35" s="24"/>
      <c r="J35" s="24"/>
      <c r="K35" s="118"/>
      <c r="L35" s="119"/>
      <c r="M35" s="119"/>
      <c r="N35" s="124">
        <f t="shared" si="3"/>
        <v>0</v>
      </c>
      <c r="O35" s="119"/>
      <c r="P35" s="125">
        <f t="shared" si="4"/>
        <v>0</v>
      </c>
      <c r="Q35" s="119"/>
      <c r="R35" s="119"/>
    </row>
    <row r="36" spans="1:19" ht="27.6" customHeight="1" x14ac:dyDescent="0.3">
      <c r="A36" s="120">
        <v>1</v>
      </c>
      <c r="B36" s="131" t="s">
        <v>177</v>
      </c>
      <c r="C36" s="127" t="s">
        <v>178</v>
      </c>
      <c r="D36" s="116" t="s">
        <v>179</v>
      </c>
      <c r="E36" s="120">
        <v>6</v>
      </c>
      <c r="F36" s="120" t="s">
        <v>78</v>
      </c>
      <c r="G36" s="119"/>
      <c r="H36" s="22" t="s">
        <v>179</v>
      </c>
      <c r="I36" s="24" t="s">
        <v>180</v>
      </c>
      <c r="J36" s="23" t="s">
        <v>181</v>
      </c>
      <c r="K36" s="118" t="s">
        <v>81</v>
      </c>
      <c r="L36" s="119"/>
      <c r="M36" s="128">
        <v>175.1</v>
      </c>
      <c r="N36" s="124">
        <f t="shared" si="3"/>
        <v>1050.5999999999999</v>
      </c>
      <c r="O36" s="128">
        <v>2989.65</v>
      </c>
      <c r="P36" s="125">
        <f t="shared" si="4"/>
        <v>17937.900000000001</v>
      </c>
      <c r="Q36" s="124">
        <f t="shared" ref="Q36:Q58" si="6">ROUND((M36+O36)*E36,2)</f>
        <v>18988.5</v>
      </c>
      <c r="R36" s="119"/>
    </row>
    <row r="37" spans="1:19" ht="27.6" customHeight="1" x14ac:dyDescent="0.3">
      <c r="A37" s="120">
        <v>2</v>
      </c>
      <c r="B37" s="131" t="s">
        <v>182</v>
      </c>
      <c r="C37" s="127" t="s">
        <v>183</v>
      </c>
      <c r="D37" s="116" t="s">
        <v>179</v>
      </c>
      <c r="E37" s="120">
        <v>68</v>
      </c>
      <c r="F37" s="120" t="s">
        <v>78</v>
      </c>
      <c r="G37" s="119"/>
      <c r="H37" s="22" t="s">
        <v>179</v>
      </c>
      <c r="I37" s="24" t="s">
        <v>184</v>
      </c>
      <c r="J37" s="23" t="s">
        <v>185</v>
      </c>
      <c r="K37" s="118" t="s">
        <v>81</v>
      </c>
      <c r="L37" s="119"/>
      <c r="M37" s="128">
        <v>175.1</v>
      </c>
      <c r="N37" s="124">
        <f t="shared" si="3"/>
        <v>11906.8</v>
      </c>
      <c r="O37" s="128">
        <v>519.26</v>
      </c>
      <c r="P37" s="125">
        <f t="shared" si="4"/>
        <v>35309.68</v>
      </c>
      <c r="Q37" s="124">
        <f t="shared" si="6"/>
        <v>47216.480000000003</v>
      </c>
      <c r="R37" s="119"/>
    </row>
    <row r="38" spans="1:19" ht="27.6" customHeight="1" x14ac:dyDescent="0.3">
      <c r="A38" s="120">
        <v>3</v>
      </c>
      <c r="B38" s="131" t="s">
        <v>186</v>
      </c>
      <c r="C38" s="127" t="s">
        <v>187</v>
      </c>
      <c r="D38" s="116" t="s">
        <v>179</v>
      </c>
      <c r="E38" s="120">
        <v>199</v>
      </c>
      <c r="F38" s="120" t="s">
        <v>78</v>
      </c>
      <c r="G38" s="119"/>
      <c r="H38" s="22" t="s">
        <v>179</v>
      </c>
      <c r="I38" s="24" t="s">
        <v>188</v>
      </c>
      <c r="J38" s="23" t="s">
        <v>189</v>
      </c>
      <c r="K38" s="118" t="s">
        <v>81</v>
      </c>
      <c r="L38" s="119"/>
      <c r="M38" s="128">
        <v>195.7</v>
      </c>
      <c r="N38" s="124">
        <f t="shared" si="3"/>
        <v>38944.299999999996</v>
      </c>
      <c r="O38" s="128">
        <v>2040.31</v>
      </c>
      <c r="P38" s="125">
        <f t="shared" si="4"/>
        <v>406021.69</v>
      </c>
      <c r="Q38" s="124">
        <f t="shared" si="6"/>
        <v>444965.99</v>
      </c>
      <c r="R38" s="119"/>
    </row>
    <row r="39" spans="1:19" ht="27.6" customHeight="1" x14ac:dyDescent="0.3">
      <c r="A39" s="120">
        <v>4</v>
      </c>
      <c r="B39" s="131" t="s">
        <v>190</v>
      </c>
      <c r="C39" s="127" t="s">
        <v>191</v>
      </c>
      <c r="D39" s="116" t="s">
        <v>179</v>
      </c>
      <c r="E39" s="120">
        <v>3</v>
      </c>
      <c r="F39" s="120" t="s">
        <v>78</v>
      </c>
      <c r="G39" s="119"/>
      <c r="H39" s="22" t="s">
        <v>179</v>
      </c>
      <c r="I39" s="24" t="s">
        <v>192</v>
      </c>
      <c r="J39" s="23" t="s">
        <v>193</v>
      </c>
      <c r="K39" s="118" t="s">
        <v>81</v>
      </c>
      <c r="L39" s="119"/>
      <c r="M39" s="128">
        <v>309</v>
      </c>
      <c r="N39" s="124">
        <f t="shared" ref="N39:N70" si="7">E39*M39</f>
        <v>927</v>
      </c>
      <c r="O39" s="128">
        <v>28323</v>
      </c>
      <c r="P39" s="125">
        <f t="shared" ref="P39:P70" si="8">E39*O39</f>
        <v>84969</v>
      </c>
      <c r="Q39" s="124">
        <f t="shared" si="6"/>
        <v>85896</v>
      </c>
      <c r="R39" s="119"/>
    </row>
    <row r="40" spans="1:19" ht="27.6" customHeight="1" x14ac:dyDescent="0.3">
      <c r="A40" s="120">
        <v>5</v>
      </c>
      <c r="B40" s="131" t="s">
        <v>194</v>
      </c>
      <c r="C40" s="127" t="s">
        <v>195</v>
      </c>
      <c r="D40" s="116" t="s">
        <v>179</v>
      </c>
      <c r="E40" s="120">
        <v>5</v>
      </c>
      <c r="F40" s="120" t="s">
        <v>78</v>
      </c>
      <c r="G40" s="119"/>
      <c r="H40" s="22" t="s">
        <v>179</v>
      </c>
      <c r="I40" s="24" t="s">
        <v>196</v>
      </c>
      <c r="J40" s="23" t="s">
        <v>197</v>
      </c>
      <c r="K40" s="118" t="s">
        <v>81</v>
      </c>
      <c r="L40" s="119"/>
      <c r="M40" s="128">
        <v>412</v>
      </c>
      <c r="N40" s="124">
        <f t="shared" si="7"/>
        <v>2060</v>
      </c>
      <c r="O40" s="128">
        <v>17833</v>
      </c>
      <c r="P40" s="125">
        <f t="shared" si="8"/>
        <v>89165</v>
      </c>
      <c r="Q40" s="124">
        <f t="shared" si="6"/>
        <v>91225</v>
      </c>
      <c r="R40" s="119"/>
    </row>
    <row r="41" spans="1:19" ht="27.6" customHeight="1" x14ac:dyDescent="0.3">
      <c r="A41" s="120">
        <v>6</v>
      </c>
      <c r="B41" s="131" t="s">
        <v>198</v>
      </c>
      <c r="C41" s="127" t="s">
        <v>199</v>
      </c>
      <c r="D41" s="116" t="s">
        <v>179</v>
      </c>
      <c r="E41" s="120">
        <v>1</v>
      </c>
      <c r="F41" s="120" t="s">
        <v>78</v>
      </c>
      <c r="G41" s="119"/>
      <c r="H41" s="22" t="s">
        <v>179</v>
      </c>
      <c r="I41" s="24" t="s">
        <v>200</v>
      </c>
      <c r="J41" s="23" t="s">
        <v>201</v>
      </c>
      <c r="K41" s="118" t="s">
        <v>81</v>
      </c>
      <c r="L41" s="119"/>
      <c r="M41" s="128">
        <v>216.3</v>
      </c>
      <c r="N41" s="124">
        <f t="shared" si="7"/>
        <v>216.3</v>
      </c>
      <c r="O41" s="128">
        <v>597930</v>
      </c>
      <c r="P41" s="125">
        <f t="shared" si="8"/>
        <v>597930</v>
      </c>
      <c r="Q41" s="124">
        <f t="shared" si="6"/>
        <v>598146.30000000005</v>
      </c>
      <c r="R41" s="119"/>
    </row>
    <row r="42" spans="1:19" ht="27.6" customHeight="1" x14ac:dyDescent="0.3">
      <c r="A42" s="120">
        <v>7</v>
      </c>
      <c r="B42" s="131" t="s">
        <v>202</v>
      </c>
      <c r="C42" s="127" t="s">
        <v>203</v>
      </c>
      <c r="D42" s="116" t="s">
        <v>179</v>
      </c>
      <c r="E42" s="120">
        <v>4</v>
      </c>
      <c r="F42" s="120" t="s">
        <v>78</v>
      </c>
      <c r="G42" s="119"/>
      <c r="H42" s="22" t="s">
        <v>179</v>
      </c>
      <c r="I42" s="24" t="s">
        <v>204</v>
      </c>
      <c r="J42" s="23" t="s">
        <v>205</v>
      </c>
      <c r="K42" s="118" t="s">
        <v>81</v>
      </c>
      <c r="L42" s="119"/>
      <c r="M42" s="128">
        <v>216.3</v>
      </c>
      <c r="N42" s="124">
        <f t="shared" si="7"/>
        <v>865.2</v>
      </c>
      <c r="O42" s="128">
        <v>325190</v>
      </c>
      <c r="P42" s="125">
        <f t="shared" si="8"/>
        <v>1300760</v>
      </c>
      <c r="Q42" s="124">
        <f t="shared" si="6"/>
        <v>1301625.2</v>
      </c>
      <c r="R42" s="119"/>
    </row>
    <row r="43" spans="1:19" ht="27.6" customHeight="1" x14ac:dyDescent="0.3">
      <c r="A43" s="120">
        <v>8</v>
      </c>
      <c r="B43" s="131" t="s">
        <v>206</v>
      </c>
      <c r="C43" s="127" t="s">
        <v>207</v>
      </c>
      <c r="D43" s="116" t="s">
        <v>179</v>
      </c>
      <c r="E43" s="120">
        <v>3</v>
      </c>
      <c r="F43" s="120" t="s">
        <v>78</v>
      </c>
      <c r="G43" s="119"/>
      <c r="H43" s="22" t="s">
        <v>179</v>
      </c>
      <c r="I43" s="24" t="s">
        <v>208</v>
      </c>
      <c r="J43" s="23" t="s">
        <v>209</v>
      </c>
      <c r="K43" s="118" t="s">
        <v>81</v>
      </c>
      <c r="L43" s="119"/>
      <c r="M43" s="128">
        <v>216.3</v>
      </c>
      <c r="N43" s="124">
        <f t="shared" si="7"/>
        <v>648.90000000000009</v>
      </c>
      <c r="O43" s="128">
        <v>225755.29</v>
      </c>
      <c r="P43" s="125">
        <f t="shared" si="8"/>
        <v>677265.87</v>
      </c>
      <c r="Q43" s="124">
        <f t="shared" si="6"/>
        <v>677914.77</v>
      </c>
      <c r="R43" s="119"/>
    </row>
    <row r="44" spans="1:19" ht="27.6" customHeight="1" x14ac:dyDescent="0.3">
      <c r="A44" s="120">
        <v>9</v>
      </c>
      <c r="B44" s="131" t="s">
        <v>210</v>
      </c>
      <c r="C44" s="127" t="s">
        <v>211</v>
      </c>
      <c r="D44" s="116" t="s">
        <v>179</v>
      </c>
      <c r="E44" s="120">
        <v>281</v>
      </c>
      <c r="F44" s="120" t="s">
        <v>212</v>
      </c>
      <c r="G44" s="119"/>
      <c r="H44" s="22" t="s">
        <v>179</v>
      </c>
      <c r="I44" s="24"/>
      <c r="J44" s="24"/>
      <c r="K44" s="118" t="s">
        <v>81</v>
      </c>
      <c r="L44" s="119"/>
      <c r="M44" s="128">
        <v>5.51</v>
      </c>
      <c r="N44" s="124">
        <f t="shared" si="7"/>
        <v>1548.31</v>
      </c>
      <c r="O44" s="128">
        <v>31.47</v>
      </c>
      <c r="P44" s="129">
        <f t="shared" si="8"/>
        <v>8843.07</v>
      </c>
      <c r="Q44" s="124">
        <f t="shared" si="6"/>
        <v>10391.379999999999</v>
      </c>
      <c r="R44" s="119"/>
    </row>
    <row r="45" spans="1:19" ht="27.6" customHeight="1" x14ac:dyDescent="0.3">
      <c r="A45" s="120">
        <v>10</v>
      </c>
      <c r="B45" s="131" t="s">
        <v>213</v>
      </c>
      <c r="C45" s="127" t="s">
        <v>214</v>
      </c>
      <c r="D45" s="116" t="s">
        <v>154</v>
      </c>
      <c r="E45" s="120">
        <v>15</v>
      </c>
      <c r="F45" s="120" t="s">
        <v>78</v>
      </c>
      <c r="G45" s="119"/>
      <c r="H45" s="22" t="s">
        <v>155</v>
      </c>
      <c r="I45" s="64" t="s">
        <v>605</v>
      </c>
      <c r="J45" s="23" t="s">
        <v>606</v>
      </c>
      <c r="K45" s="118" t="s">
        <v>81</v>
      </c>
      <c r="L45" s="119"/>
      <c r="M45" s="128">
        <v>121.54</v>
      </c>
      <c r="N45" s="124">
        <f t="shared" si="7"/>
        <v>1823.1000000000001</v>
      </c>
      <c r="O45" s="65">
        <v>1245</v>
      </c>
      <c r="P45" s="125">
        <f t="shared" si="8"/>
        <v>18675</v>
      </c>
      <c r="Q45" s="124">
        <f t="shared" si="6"/>
        <v>20498.099999999999</v>
      </c>
      <c r="R45" s="119"/>
      <c r="S45" s="21" t="s">
        <v>616</v>
      </c>
    </row>
    <row r="46" spans="1:19" ht="27.6" customHeight="1" x14ac:dyDescent="0.3">
      <c r="A46" s="120">
        <v>11</v>
      </c>
      <c r="B46" s="131" t="s">
        <v>215</v>
      </c>
      <c r="C46" s="127" t="s">
        <v>581</v>
      </c>
      <c r="D46" s="116" t="s">
        <v>154</v>
      </c>
      <c r="E46" s="120">
        <v>17</v>
      </c>
      <c r="F46" s="120" t="s">
        <v>78</v>
      </c>
      <c r="G46" s="119"/>
      <c r="H46" s="22" t="s">
        <v>155</v>
      </c>
      <c r="I46" s="64" t="s">
        <v>607</v>
      </c>
      <c r="J46" s="23" t="s">
        <v>608</v>
      </c>
      <c r="K46" s="118" t="s">
        <v>81</v>
      </c>
      <c r="L46" s="119"/>
      <c r="M46" s="128">
        <v>144.19999999999999</v>
      </c>
      <c r="N46" s="124">
        <f t="shared" si="7"/>
        <v>2451.3999999999996</v>
      </c>
      <c r="O46" s="65">
        <v>2534</v>
      </c>
      <c r="P46" s="125">
        <f t="shared" si="8"/>
        <v>43078</v>
      </c>
      <c r="Q46" s="124">
        <f t="shared" si="6"/>
        <v>45529.4</v>
      </c>
      <c r="R46" s="119"/>
      <c r="S46" s="21" t="s">
        <v>616</v>
      </c>
    </row>
    <row r="47" spans="1:19" ht="27.6" customHeight="1" x14ac:dyDescent="0.3">
      <c r="A47" s="120">
        <v>12</v>
      </c>
      <c r="B47" s="131" t="s">
        <v>156</v>
      </c>
      <c r="C47" s="127" t="s">
        <v>157</v>
      </c>
      <c r="D47" s="116" t="s">
        <v>154</v>
      </c>
      <c r="E47" s="120">
        <v>30</v>
      </c>
      <c r="F47" s="120" t="s">
        <v>121</v>
      </c>
      <c r="G47" s="119"/>
      <c r="H47" s="22" t="s">
        <v>155</v>
      </c>
      <c r="I47" s="23" t="s">
        <v>603</v>
      </c>
      <c r="J47" s="23" t="s">
        <v>604</v>
      </c>
      <c r="K47" s="118" t="s">
        <v>81</v>
      </c>
      <c r="L47" s="119"/>
      <c r="M47" s="128">
        <v>11.33</v>
      </c>
      <c r="N47" s="124">
        <f t="shared" si="7"/>
        <v>339.9</v>
      </c>
      <c r="O47" s="128">
        <v>110.15</v>
      </c>
      <c r="P47" s="125">
        <f t="shared" si="8"/>
        <v>3304.5</v>
      </c>
      <c r="Q47" s="124">
        <f t="shared" si="6"/>
        <v>3644.4</v>
      </c>
      <c r="R47" s="119"/>
    </row>
    <row r="48" spans="1:19" ht="27.6" customHeight="1" x14ac:dyDescent="0.3">
      <c r="A48" s="120">
        <v>13</v>
      </c>
      <c r="B48" s="131" t="s">
        <v>216</v>
      </c>
      <c r="C48" s="127" t="s">
        <v>217</v>
      </c>
      <c r="D48" s="116" t="s">
        <v>154</v>
      </c>
      <c r="E48" s="120">
        <v>34</v>
      </c>
      <c r="F48" s="120" t="s">
        <v>121</v>
      </c>
      <c r="G48" s="119"/>
      <c r="H48" s="22" t="s">
        <v>155</v>
      </c>
      <c r="I48" s="23" t="s">
        <v>609</v>
      </c>
      <c r="J48" s="23" t="s">
        <v>610</v>
      </c>
      <c r="K48" s="118" t="s">
        <v>81</v>
      </c>
      <c r="L48" s="119"/>
      <c r="M48" s="128">
        <v>11.33</v>
      </c>
      <c r="N48" s="124">
        <f t="shared" si="7"/>
        <v>385.22</v>
      </c>
      <c r="O48" s="128">
        <v>544</v>
      </c>
      <c r="P48" s="129">
        <f t="shared" si="8"/>
        <v>18496</v>
      </c>
      <c r="Q48" s="124">
        <f t="shared" si="6"/>
        <v>18881.22</v>
      </c>
      <c r="R48" s="119"/>
    </row>
    <row r="49" spans="1:19" ht="27.6" customHeight="1" x14ac:dyDescent="0.3">
      <c r="A49" s="120">
        <v>14</v>
      </c>
      <c r="B49" s="131" t="s">
        <v>218</v>
      </c>
      <c r="C49" s="127" t="s">
        <v>219</v>
      </c>
      <c r="D49" s="120" t="s">
        <v>127</v>
      </c>
      <c r="E49" s="120">
        <v>20000</v>
      </c>
      <c r="F49" s="120" t="s">
        <v>144</v>
      </c>
      <c r="G49" s="119"/>
      <c r="H49" s="22" t="s">
        <v>128</v>
      </c>
      <c r="I49" s="24" t="s">
        <v>220</v>
      </c>
      <c r="J49" s="23" t="s">
        <v>219</v>
      </c>
      <c r="K49" s="118" t="s">
        <v>81</v>
      </c>
      <c r="L49" s="119"/>
      <c r="M49" s="128">
        <v>1.75</v>
      </c>
      <c r="N49" s="124">
        <f t="shared" si="7"/>
        <v>35000</v>
      </c>
      <c r="O49" s="128">
        <v>3.04</v>
      </c>
      <c r="P49" s="129">
        <f t="shared" si="8"/>
        <v>60800</v>
      </c>
      <c r="Q49" s="124">
        <f t="shared" si="6"/>
        <v>95800</v>
      </c>
      <c r="R49" s="119"/>
    </row>
    <row r="50" spans="1:19" ht="27.6" customHeight="1" x14ac:dyDescent="0.3">
      <c r="A50" s="120">
        <v>15</v>
      </c>
      <c r="B50" s="131" t="s">
        <v>221</v>
      </c>
      <c r="C50" s="127" t="s">
        <v>222</v>
      </c>
      <c r="D50" s="120" t="s">
        <v>127</v>
      </c>
      <c r="E50" s="120">
        <f>E51*70*1.1</f>
        <v>2464</v>
      </c>
      <c r="F50" s="120" t="s">
        <v>144</v>
      </c>
      <c r="G50" s="119"/>
      <c r="H50" s="22" t="s">
        <v>128</v>
      </c>
      <c r="I50" s="24" t="s">
        <v>223</v>
      </c>
      <c r="J50" s="24" t="s">
        <v>222</v>
      </c>
      <c r="K50" s="118" t="s">
        <v>81</v>
      </c>
      <c r="L50" s="119"/>
      <c r="M50" s="128">
        <v>2.52</v>
      </c>
      <c r="N50" s="124">
        <f t="shared" si="7"/>
        <v>6209.28</v>
      </c>
      <c r="O50" s="128">
        <v>10.7</v>
      </c>
      <c r="P50" s="125">
        <f t="shared" si="8"/>
        <v>26364.799999999999</v>
      </c>
      <c r="Q50" s="124">
        <f t="shared" si="6"/>
        <v>32574.080000000002</v>
      </c>
      <c r="R50" s="119"/>
    </row>
    <row r="51" spans="1:19" ht="27.6" customHeight="1" x14ac:dyDescent="0.3">
      <c r="A51" s="120">
        <v>16</v>
      </c>
      <c r="B51" s="131" t="s">
        <v>224</v>
      </c>
      <c r="C51" s="127" t="s">
        <v>225</v>
      </c>
      <c r="D51" s="116" t="s">
        <v>169</v>
      </c>
      <c r="E51" s="120">
        <f>E45+E46</f>
        <v>32</v>
      </c>
      <c r="F51" s="120" t="s">
        <v>121</v>
      </c>
      <c r="G51" s="119"/>
      <c r="H51" s="22" t="s">
        <v>169</v>
      </c>
      <c r="I51" s="24" t="s">
        <v>226</v>
      </c>
      <c r="J51" s="23" t="s">
        <v>225</v>
      </c>
      <c r="K51" s="118" t="s">
        <v>81</v>
      </c>
      <c r="L51" s="119"/>
      <c r="M51" s="128">
        <v>56.65</v>
      </c>
      <c r="N51" s="124">
        <f t="shared" si="7"/>
        <v>1812.8</v>
      </c>
      <c r="O51" s="128">
        <v>89.17</v>
      </c>
      <c r="P51" s="125">
        <f t="shared" si="8"/>
        <v>2853.44</v>
      </c>
      <c r="Q51" s="124">
        <f t="shared" si="6"/>
        <v>4666.24</v>
      </c>
      <c r="R51" s="119"/>
    </row>
    <row r="52" spans="1:19" ht="27.6" customHeight="1" x14ac:dyDescent="0.3">
      <c r="A52" s="120">
        <v>17</v>
      </c>
      <c r="B52" s="131" t="s">
        <v>227</v>
      </c>
      <c r="C52" s="127" t="s">
        <v>228</v>
      </c>
      <c r="D52" s="116" t="s">
        <v>169</v>
      </c>
      <c r="E52" s="120">
        <v>100</v>
      </c>
      <c r="F52" s="120" t="s">
        <v>121</v>
      </c>
      <c r="G52" s="119"/>
      <c r="H52" s="22" t="s">
        <v>169</v>
      </c>
      <c r="I52" s="24" t="s">
        <v>229</v>
      </c>
      <c r="J52" s="23" t="s">
        <v>228</v>
      </c>
      <c r="K52" s="118" t="s">
        <v>81</v>
      </c>
      <c r="L52" s="119"/>
      <c r="M52" s="128">
        <v>309</v>
      </c>
      <c r="N52" s="124">
        <f t="shared" si="7"/>
        <v>30900</v>
      </c>
      <c r="O52" s="128">
        <v>681.85</v>
      </c>
      <c r="P52" s="129">
        <f t="shared" si="8"/>
        <v>68185</v>
      </c>
      <c r="Q52" s="124">
        <f t="shared" si="6"/>
        <v>99085</v>
      </c>
      <c r="R52" s="119"/>
    </row>
    <row r="53" spans="1:19" ht="27.6" customHeight="1" x14ac:dyDescent="0.3">
      <c r="A53" s="120">
        <v>18</v>
      </c>
      <c r="B53" s="131" t="s">
        <v>564</v>
      </c>
      <c r="C53" s="127" t="s">
        <v>230</v>
      </c>
      <c r="D53" s="120" t="s">
        <v>127</v>
      </c>
      <c r="E53" s="116">
        <f>E45+E46</f>
        <v>32</v>
      </c>
      <c r="F53" s="120" t="s">
        <v>121</v>
      </c>
      <c r="G53" s="119"/>
      <c r="H53" s="22" t="s">
        <v>128</v>
      </c>
      <c r="I53" s="23" t="s">
        <v>129</v>
      </c>
      <c r="J53" s="24" t="s">
        <v>565</v>
      </c>
      <c r="K53" s="118" t="s">
        <v>81</v>
      </c>
      <c r="L53" s="119"/>
      <c r="M53" s="128">
        <v>97.85</v>
      </c>
      <c r="N53" s="124">
        <f t="shared" si="7"/>
        <v>3131.2</v>
      </c>
      <c r="O53" s="128">
        <v>111.19</v>
      </c>
      <c r="P53" s="129">
        <f t="shared" si="8"/>
        <v>3558.08</v>
      </c>
      <c r="Q53" s="124">
        <f t="shared" si="6"/>
        <v>6689.28</v>
      </c>
      <c r="R53" s="119"/>
    </row>
    <row r="54" spans="1:19" ht="27.6" customHeight="1" x14ac:dyDescent="0.3">
      <c r="A54" s="120">
        <v>19</v>
      </c>
      <c r="B54" s="131" t="s">
        <v>142</v>
      </c>
      <c r="C54" s="127" t="s">
        <v>143</v>
      </c>
      <c r="D54" s="120" t="s">
        <v>127</v>
      </c>
      <c r="E54" s="120">
        <v>10560</v>
      </c>
      <c r="F54" s="120" t="s">
        <v>144</v>
      </c>
      <c r="G54" s="119"/>
      <c r="H54" s="22" t="s">
        <v>128</v>
      </c>
      <c r="I54" s="64" t="s">
        <v>577</v>
      </c>
      <c r="J54" s="23" t="s">
        <v>143</v>
      </c>
      <c r="K54" s="118" t="s">
        <v>81</v>
      </c>
      <c r="L54" s="119"/>
      <c r="M54" s="128">
        <v>2.73</v>
      </c>
      <c r="N54" s="124">
        <f t="shared" si="7"/>
        <v>28828.799999999999</v>
      </c>
      <c r="O54" s="128">
        <v>1.84</v>
      </c>
      <c r="P54" s="125">
        <f t="shared" si="8"/>
        <v>19430.400000000001</v>
      </c>
      <c r="Q54" s="124">
        <f t="shared" si="6"/>
        <v>48259.199999999997</v>
      </c>
      <c r="R54" s="119"/>
      <c r="S54" s="21" t="s">
        <v>616</v>
      </c>
    </row>
    <row r="55" spans="1:19" ht="27.6" customHeight="1" x14ac:dyDescent="0.3">
      <c r="A55" s="120">
        <v>20</v>
      </c>
      <c r="B55" s="131" t="s">
        <v>145</v>
      </c>
      <c r="C55" s="127" t="s">
        <v>146</v>
      </c>
      <c r="D55" s="120" t="s">
        <v>127</v>
      </c>
      <c r="E55" s="120">
        <v>3</v>
      </c>
      <c r="F55" s="120" t="s">
        <v>121</v>
      </c>
      <c r="G55" s="119"/>
      <c r="H55" s="22" t="s">
        <v>128</v>
      </c>
      <c r="I55" s="23" t="s">
        <v>147</v>
      </c>
      <c r="J55" s="23" t="s">
        <v>146</v>
      </c>
      <c r="K55" s="118" t="s">
        <v>81</v>
      </c>
      <c r="L55" s="119"/>
      <c r="M55" s="128">
        <v>463.5</v>
      </c>
      <c r="N55" s="124">
        <f t="shared" si="7"/>
        <v>1390.5</v>
      </c>
      <c r="O55" s="128">
        <v>503.52</v>
      </c>
      <c r="P55" s="129">
        <f t="shared" si="8"/>
        <v>1510.56</v>
      </c>
      <c r="Q55" s="124">
        <f t="shared" si="6"/>
        <v>2901.06</v>
      </c>
      <c r="R55" s="119"/>
    </row>
    <row r="56" spans="1:19" ht="27.6" customHeight="1" x14ac:dyDescent="0.3">
      <c r="A56" s="120">
        <v>21</v>
      </c>
      <c r="B56" s="118" t="s">
        <v>148</v>
      </c>
      <c r="C56" s="121" t="s">
        <v>231</v>
      </c>
      <c r="D56" s="120" t="s">
        <v>127</v>
      </c>
      <c r="E56" s="120">
        <f>E53</f>
        <v>32</v>
      </c>
      <c r="F56" s="120" t="s">
        <v>121</v>
      </c>
      <c r="G56" s="119"/>
      <c r="H56" s="22" t="s">
        <v>128</v>
      </c>
      <c r="I56" s="24" t="s">
        <v>150</v>
      </c>
      <c r="J56" s="24" t="s">
        <v>149</v>
      </c>
      <c r="K56" s="118" t="s">
        <v>81</v>
      </c>
      <c r="L56" s="119"/>
      <c r="M56" s="128">
        <v>5.51</v>
      </c>
      <c r="N56" s="124">
        <f t="shared" si="7"/>
        <v>176.32</v>
      </c>
      <c r="O56" s="128">
        <v>23.08</v>
      </c>
      <c r="P56" s="125">
        <f t="shared" si="8"/>
        <v>738.56</v>
      </c>
      <c r="Q56" s="124">
        <f t="shared" si="6"/>
        <v>914.88</v>
      </c>
    </row>
    <row r="57" spans="1:19" ht="27.6" customHeight="1" x14ac:dyDescent="0.3">
      <c r="A57" s="120">
        <v>22</v>
      </c>
      <c r="B57" s="131" t="s">
        <v>167</v>
      </c>
      <c r="C57" s="127" t="s">
        <v>168</v>
      </c>
      <c r="D57" s="116" t="s">
        <v>169</v>
      </c>
      <c r="E57" s="120">
        <v>15000</v>
      </c>
      <c r="F57" s="120" t="s">
        <v>144</v>
      </c>
      <c r="G57" s="119"/>
      <c r="H57" s="22" t="s">
        <v>169</v>
      </c>
      <c r="I57" s="24" t="s">
        <v>170</v>
      </c>
      <c r="J57" s="24" t="s">
        <v>171</v>
      </c>
      <c r="K57" s="118" t="s">
        <v>81</v>
      </c>
      <c r="L57" s="119"/>
      <c r="M57" s="128">
        <v>9.7899999999999991</v>
      </c>
      <c r="N57" s="124">
        <f t="shared" si="7"/>
        <v>146850</v>
      </c>
      <c r="O57" s="128">
        <v>3.67</v>
      </c>
      <c r="P57" s="129">
        <f t="shared" si="8"/>
        <v>55050</v>
      </c>
      <c r="Q57" s="124">
        <f t="shared" si="6"/>
        <v>201900</v>
      </c>
    </row>
    <row r="58" spans="1:19" ht="27.6" customHeight="1" x14ac:dyDescent="0.3">
      <c r="A58" s="120">
        <v>23</v>
      </c>
      <c r="B58" s="131" t="s">
        <v>172</v>
      </c>
      <c r="C58" s="127" t="s">
        <v>173</v>
      </c>
      <c r="D58" s="116"/>
      <c r="E58" s="120">
        <v>1</v>
      </c>
      <c r="F58" s="120" t="s">
        <v>174</v>
      </c>
      <c r="G58" s="119"/>
      <c r="H58" s="22"/>
      <c r="I58" s="24"/>
      <c r="J58" s="24"/>
      <c r="K58" s="118" t="s">
        <v>81</v>
      </c>
      <c r="L58" s="119"/>
      <c r="M58" s="128">
        <v>6180</v>
      </c>
      <c r="N58" s="124">
        <f t="shared" si="7"/>
        <v>6180</v>
      </c>
      <c r="O58" s="128">
        <v>10490</v>
      </c>
      <c r="P58" s="129">
        <f t="shared" si="8"/>
        <v>10490</v>
      </c>
      <c r="Q58" s="124">
        <f t="shared" si="6"/>
        <v>16670</v>
      </c>
    </row>
    <row r="59" spans="1:19" ht="27.6" customHeight="1" x14ac:dyDescent="0.3">
      <c r="B59" s="134" t="s">
        <v>232</v>
      </c>
      <c r="C59" s="118"/>
      <c r="D59" s="116"/>
      <c r="F59" s="120"/>
      <c r="G59" s="119"/>
      <c r="H59" s="22"/>
      <c r="I59" s="24"/>
      <c r="J59" s="24"/>
      <c r="K59" s="118"/>
      <c r="L59" s="119"/>
      <c r="M59" s="119"/>
      <c r="N59" s="124">
        <f t="shared" si="7"/>
        <v>0</v>
      </c>
      <c r="O59" s="119"/>
      <c r="P59" s="125">
        <f t="shared" si="8"/>
        <v>0</v>
      </c>
      <c r="Q59" s="119"/>
    </row>
    <row r="60" spans="1:19" ht="27.6" customHeight="1" x14ac:dyDescent="0.3">
      <c r="A60" s="120">
        <v>1</v>
      </c>
      <c r="B60" s="127" t="s">
        <v>233</v>
      </c>
      <c r="C60" s="127" t="s">
        <v>234</v>
      </c>
      <c r="D60" s="116" t="s">
        <v>235</v>
      </c>
      <c r="E60" s="120">
        <v>1</v>
      </c>
      <c r="F60" s="120" t="s">
        <v>78</v>
      </c>
      <c r="G60" s="119"/>
      <c r="H60" s="22" t="s">
        <v>236</v>
      </c>
      <c r="I60" s="24" t="s">
        <v>237</v>
      </c>
      <c r="J60" s="29" t="s">
        <v>234</v>
      </c>
      <c r="K60" s="118" t="s">
        <v>81</v>
      </c>
      <c r="L60" s="119"/>
      <c r="M60" s="128">
        <v>206</v>
      </c>
      <c r="N60" s="124">
        <f t="shared" si="7"/>
        <v>206</v>
      </c>
      <c r="O60" s="128">
        <v>43112.85</v>
      </c>
      <c r="P60" s="125">
        <f t="shared" si="8"/>
        <v>43112.85</v>
      </c>
      <c r="Q60" s="124">
        <f t="shared" ref="Q60:Q62" si="9">ROUND((M60+O60)*E60,2)</f>
        <v>43318.85</v>
      </c>
    </row>
    <row r="61" spans="1:19" ht="27.6" customHeight="1" x14ac:dyDescent="0.3">
      <c r="A61" s="120">
        <v>2</v>
      </c>
      <c r="B61" s="127" t="s">
        <v>238</v>
      </c>
      <c r="C61" s="127" t="s">
        <v>239</v>
      </c>
      <c r="D61" s="116" t="s">
        <v>235</v>
      </c>
      <c r="E61" s="120">
        <v>1</v>
      </c>
      <c r="F61" s="120" t="s">
        <v>240</v>
      </c>
      <c r="G61" s="119"/>
      <c r="H61" s="22" t="s">
        <v>236</v>
      </c>
      <c r="I61" s="24" t="s">
        <v>241</v>
      </c>
      <c r="J61" s="29" t="s">
        <v>239</v>
      </c>
      <c r="K61" s="118" t="s">
        <v>81</v>
      </c>
      <c r="L61" s="119"/>
      <c r="M61" s="128">
        <v>206</v>
      </c>
      <c r="N61" s="124">
        <f t="shared" si="7"/>
        <v>206</v>
      </c>
      <c r="O61" s="128">
        <v>82766.100000000006</v>
      </c>
      <c r="P61" s="125">
        <f t="shared" si="8"/>
        <v>82766.100000000006</v>
      </c>
      <c r="Q61" s="124">
        <f t="shared" si="9"/>
        <v>82972.100000000006</v>
      </c>
    </row>
    <row r="62" spans="1:19" ht="27.6" customHeight="1" x14ac:dyDescent="0.3">
      <c r="A62" s="120">
        <v>3</v>
      </c>
      <c r="B62" s="127" t="s">
        <v>242</v>
      </c>
      <c r="C62" s="127" t="s">
        <v>243</v>
      </c>
      <c r="D62" s="116" t="s">
        <v>235</v>
      </c>
      <c r="E62" s="120">
        <v>1</v>
      </c>
      <c r="F62" s="120" t="s">
        <v>240</v>
      </c>
      <c r="G62" s="119"/>
      <c r="H62" s="22" t="s">
        <v>236</v>
      </c>
      <c r="I62" s="24" t="s">
        <v>244</v>
      </c>
      <c r="J62" s="29" t="s">
        <v>243</v>
      </c>
      <c r="K62" s="118" t="s">
        <v>81</v>
      </c>
      <c r="L62" s="119"/>
      <c r="M62" s="128">
        <v>206</v>
      </c>
      <c r="N62" s="124">
        <f t="shared" si="7"/>
        <v>206</v>
      </c>
      <c r="O62" s="128">
        <v>76459.509999999995</v>
      </c>
      <c r="P62" s="125">
        <f t="shared" si="8"/>
        <v>76459.509999999995</v>
      </c>
      <c r="Q62" s="124">
        <f t="shared" si="9"/>
        <v>76665.509999999995</v>
      </c>
    </row>
    <row r="63" spans="1:19" ht="27.6" customHeight="1" x14ac:dyDescent="0.3">
      <c r="B63" s="134" t="s">
        <v>245</v>
      </c>
      <c r="C63" s="118"/>
      <c r="D63" s="116"/>
      <c r="E63" s="119"/>
      <c r="F63" s="116"/>
      <c r="G63" s="119"/>
      <c r="H63" s="22"/>
      <c r="I63" s="24"/>
      <c r="J63" s="29"/>
      <c r="K63" s="118"/>
      <c r="L63" s="119"/>
      <c r="M63" s="119"/>
      <c r="N63" s="124">
        <f t="shared" si="7"/>
        <v>0</v>
      </c>
      <c r="O63" s="119"/>
      <c r="P63" s="125">
        <f t="shared" si="8"/>
        <v>0</v>
      </c>
      <c r="Q63" s="119"/>
    </row>
    <row r="64" spans="1:19" ht="27.6" customHeight="1" x14ac:dyDescent="0.3">
      <c r="A64" s="120">
        <v>1</v>
      </c>
      <c r="B64" s="127" t="s">
        <v>246</v>
      </c>
      <c r="C64" s="127" t="s">
        <v>247</v>
      </c>
      <c r="D64" s="116" t="s">
        <v>248</v>
      </c>
      <c r="E64" s="120">
        <v>15</v>
      </c>
      <c r="F64" s="120" t="s">
        <v>78</v>
      </c>
      <c r="G64" s="119"/>
      <c r="H64" s="22" t="s">
        <v>179</v>
      </c>
      <c r="I64" s="24" t="s">
        <v>249</v>
      </c>
      <c r="J64" s="23" t="s">
        <v>250</v>
      </c>
      <c r="K64" s="118" t="s">
        <v>81</v>
      </c>
      <c r="L64" s="119"/>
      <c r="M64" s="128">
        <v>87.55</v>
      </c>
      <c r="N64" s="124">
        <f t="shared" si="7"/>
        <v>1313.25</v>
      </c>
      <c r="O64" s="128">
        <v>2042.4</v>
      </c>
      <c r="P64" s="125">
        <f t="shared" si="8"/>
        <v>30636</v>
      </c>
      <c r="Q64" s="124">
        <f t="shared" ref="Q64:Q67" si="10">ROUND((M64+O64)*E64,2)</f>
        <v>31949.25</v>
      </c>
    </row>
    <row r="65" spans="1:17" ht="27.6" customHeight="1" x14ac:dyDescent="0.3">
      <c r="A65" s="120">
        <v>2</v>
      </c>
      <c r="B65" s="127" t="s">
        <v>251</v>
      </c>
      <c r="C65" s="127" t="s">
        <v>252</v>
      </c>
      <c r="D65" s="116" t="s">
        <v>248</v>
      </c>
      <c r="E65" s="120">
        <v>50</v>
      </c>
      <c r="F65" s="120" t="s">
        <v>78</v>
      </c>
      <c r="G65" s="119"/>
      <c r="H65" s="22" t="s">
        <v>179</v>
      </c>
      <c r="I65" s="24" t="s">
        <v>253</v>
      </c>
      <c r="J65" s="23" t="s">
        <v>254</v>
      </c>
      <c r="K65" s="118" t="s">
        <v>81</v>
      </c>
      <c r="L65" s="119"/>
      <c r="M65" s="128">
        <v>21.63</v>
      </c>
      <c r="N65" s="124">
        <f t="shared" si="7"/>
        <v>1081.5</v>
      </c>
      <c r="O65" s="128">
        <v>5.25</v>
      </c>
      <c r="P65" s="125">
        <f t="shared" si="8"/>
        <v>262.5</v>
      </c>
      <c r="Q65" s="124">
        <f t="shared" si="10"/>
        <v>1344</v>
      </c>
    </row>
    <row r="66" spans="1:17" ht="27.6" customHeight="1" x14ac:dyDescent="0.3">
      <c r="A66" s="120">
        <v>3</v>
      </c>
      <c r="B66" s="127" t="s">
        <v>255</v>
      </c>
      <c r="C66" s="127" t="s">
        <v>256</v>
      </c>
      <c r="D66" s="116" t="s">
        <v>248</v>
      </c>
      <c r="E66" s="120">
        <v>1</v>
      </c>
      <c r="F66" s="120" t="s">
        <v>78</v>
      </c>
      <c r="G66" s="119"/>
      <c r="H66" s="22" t="s">
        <v>179</v>
      </c>
      <c r="I66" s="24" t="s">
        <v>257</v>
      </c>
      <c r="J66" s="23" t="s">
        <v>258</v>
      </c>
      <c r="K66" s="118" t="s">
        <v>81</v>
      </c>
      <c r="L66" s="119"/>
      <c r="M66" s="128">
        <v>87.55</v>
      </c>
      <c r="N66" s="124">
        <f t="shared" si="7"/>
        <v>87.55</v>
      </c>
      <c r="O66" s="128">
        <v>604.22</v>
      </c>
      <c r="P66" s="129">
        <f t="shared" si="8"/>
        <v>604.22</v>
      </c>
      <c r="Q66" s="124">
        <f t="shared" si="10"/>
        <v>691.77</v>
      </c>
    </row>
    <row r="67" spans="1:17" ht="27.6" customHeight="1" x14ac:dyDescent="0.3">
      <c r="A67" s="120">
        <v>4</v>
      </c>
      <c r="B67" s="127" t="s">
        <v>259</v>
      </c>
      <c r="C67" s="127" t="s">
        <v>260</v>
      </c>
      <c r="D67" s="116" t="s">
        <v>248</v>
      </c>
      <c r="E67" s="120">
        <v>1</v>
      </c>
      <c r="F67" s="120" t="s">
        <v>240</v>
      </c>
      <c r="G67" s="119"/>
      <c r="H67" s="22" t="s">
        <v>179</v>
      </c>
      <c r="I67" s="24" t="s">
        <v>259</v>
      </c>
      <c r="J67" s="23" t="s">
        <v>260</v>
      </c>
      <c r="K67" s="118" t="s">
        <v>81</v>
      </c>
      <c r="L67" s="119"/>
      <c r="M67" s="128">
        <v>216.3</v>
      </c>
      <c r="N67" s="124">
        <f t="shared" si="7"/>
        <v>216.3</v>
      </c>
      <c r="O67" s="128">
        <v>5245</v>
      </c>
      <c r="P67" s="129">
        <f t="shared" si="8"/>
        <v>5245</v>
      </c>
      <c r="Q67" s="124">
        <f t="shared" si="10"/>
        <v>5461.3</v>
      </c>
    </row>
    <row r="68" spans="1:17" ht="27.6" customHeight="1" x14ac:dyDescent="0.3">
      <c r="B68" s="134" t="s">
        <v>261</v>
      </c>
      <c r="C68" s="118"/>
      <c r="D68" s="116"/>
      <c r="E68" s="119"/>
      <c r="F68" s="116"/>
      <c r="G68" s="119"/>
      <c r="H68" s="22"/>
      <c r="I68" s="24"/>
      <c r="J68" s="23"/>
      <c r="K68" s="118"/>
      <c r="L68" s="119"/>
      <c r="M68" s="119"/>
      <c r="N68" s="124">
        <f t="shared" si="7"/>
        <v>0</v>
      </c>
      <c r="O68" s="119"/>
      <c r="P68" s="125">
        <f t="shared" si="8"/>
        <v>0</v>
      </c>
      <c r="Q68" s="119"/>
    </row>
    <row r="69" spans="1:17" ht="27.6" customHeight="1" x14ac:dyDescent="0.3">
      <c r="A69" s="120">
        <v>1</v>
      </c>
      <c r="B69" s="127" t="s">
        <v>262</v>
      </c>
      <c r="C69" s="127" t="s">
        <v>263</v>
      </c>
      <c r="D69" s="116" t="s">
        <v>264</v>
      </c>
      <c r="E69" s="120">
        <v>22000</v>
      </c>
      <c r="F69" s="120" t="s">
        <v>144</v>
      </c>
      <c r="G69" s="119"/>
      <c r="H69" s="22" t="s">
        <v>179</v>
      </c>
      <c r="I69" s="24" t="s">
        <v>265</v>
      </c>
      <c r="J69" s="23" t="s">
        <v>266</v>
      </c>
      <c r="K69" s="118" t="s">
        <v>81</v>
      </c>
      <c r="L69" s="119"/>
      <c r="M69" s="128">
        <v>2.73</v>
      </c>
      <c r="N69" s="124">
        <f t="shared" si="7"/>
        <v>60060</v>
      </c>
      <c r="O69" s="128">
        <v>2.84</v>
      </c>
      <c r="P69" s="129">
        <f t="shared" si="8"/>
        <v>62480</v>
      </c>
      <c r="Q69" s="124">
        <f t="shared" ref="Q69:Q78" si="11">ROUND((M69+O69)*E69,2)</f>
        <v>122540</v>
      </c>
    </row>
    <row r="70" spans="1:17" ht="27.6" customHeight="1" x14ac:dyDescent="0.3">
      <c r="A70" s="120">
        <v>2</v>
      </c>
      <c r="B70" s="127" t="s">
        <v>267</v>
      </c>
      <c r="C70" s="127" t="s">
        <v>268</v>
      </c>
      <c r="D70" s="116" t="s">
        <v>264</v>
      </c>
      <c r="E70" s="120">
        <v>1</v>
      </c>
      <c r="F70" s="120" t="s">
        <v>78</v>
      </c>
      <c r="G70" s="119"/>
      <c r="H70" s="22" t="s">
        <v>179</v>
      </c>
      <c r="I70" s="24" t="s">
        <v>269</v>
      </c>
      <c r="J70" s="23" t="s">
        <v>270</v>
      </c>
      <c r="K70" s="118" t="s">
        <v>81</v>
      </c>
      <c r="L70" s="119"/>
      <c r="M70" s="128">
        <v>412</v>
      </c>
      <c r="N70" s="124">
        <f t="shared" si="7"/>
        <v>412</v>
      </c>
      <c r="O70" s="128">
        <v>248613</v>
      </c>
      <c r="P70" s="125">
        <f t="shared" si="8"/>
        <v>248613</v>
      </c>
      <c r="Q70" s="124">
        <f t="shared" si="11"/>
        <v>249025</v>
      </c>
    </row>
    <row r="71" spans="1:17" ht="27.6" customHeight="1" x14ac:dyDescent="0.3">
      <c r="A71" s="120">
        <v>3</v>
      </c>
      <c r="B71" s="127" t="s">
        <v>271</v>
      </c>
      <c r="C71" s="127" t="s">
        <v>272</v>
      </c>
      <c r="D71" s="116" t="s">
        <v>264</v>
      </c>
      <c r="E71" s="120">
        <v>323</v>
      </c>
      <c r="F71" s="120" t="s">
        <v>273</v>
      </c>
      <c r="G71" s="135"/>
      <c r="H71" s="22" t="s">
        <v>179</v>
      </c>
      <c r="I71" s="24" t="s">
        <v>274</v>
      </c>
      <c r="J71" s="23" t="s">
        <v>275</v>
      </c>
      <c r="K71" s="118" t="s">
        <v>81</v>
      </c>
      <c r="L71" s="119"/>
      <c r="M71" s="128">
        <v>113.3</v>
      </c>
      <c r="N71" s="124">
        <f t="shared" ref="N71:N112" si="12">E71*M71</f>
        <v>36595.9</v>
      </c>
      <c r="O71" s="128">
        <v>44.06</v>
      </c>
      <c r="P71" s="129">
        <f t="shared" ref="P71:P112" si="13">E71*O71</f>
        <v>14231.380000000001</v>
      </c>
      <c r="Q71" s="124">
        <f t="shared" si="11"/>
        <v>50827.28</v>
      </c>
    </row>
    <row r="72" spans="1:17" ht="27.6" customHeight="1" x14ac:dyDescent="0.3">
      <c r="A72" s="120">
        <v>4</v>
      </c>
      <c r="B72" s="127" t="s">
        <v>276</v>
      </c>
      <c r="C72" s="127" t="s">
        <v>277</v>
      </c>
      <c r="D72" s="116" t="s">
        <v>264</v>
      </c>
      <c r="E72" s="120">
        <v>9</v>
      </c>
      <c r="F72" s="120" t="s">
        <v>278</v>
      </c>
      <c r="G72" s="135"/>
      <c r="H72" s="22" t="s">
        <v>179</v>
      </c>
      <c r="I72" s="23" t="s">
        <v>279</v>
      </c>
      <c r="J72" s="23" t="s">
        <v>280</v>
      </c>
      <c r="K72" s="118" t="s">
        <v>81</v>
      </c>
      <c r="L72" s="119"/>
      <c r="M72" s="128">
        <v>131.84</v>
      </c>
      <c r="N72" s="124">
        <f t="shared" si="12"/>
        <v>1186.56</v>
      </c>
      <c r="O72" s="128">
        <v>163.63999999999999</v>
      </c>
      <c r="P72" s="129">
        <f t="shared" si="13"/>
        <v>1472.7599999999998</v>
      </c>
      <c r="Q72" s="124">
        <f t="shared" si="11"/>
        <v>2659.32</v>
      </c>
    </row>
    <row r="73" spans="1:17" ht="27.6" customHeight="1" x14ac:dyDescent="0.3">
      <c r="A73" s="120">
        <v>5</v>
      </c>
      <c r="B73" s="127" t="s">
        <v>281</v>
      </c>
      <c r="C73" s="127" t="s">
        <v>282</v>
      </c>
      <c r="D73" s="116" t="s">
        <v>264</v>
      </c>
      <c r="E73" s="120">
        <v>8800</v>
      </c>
      <c r="F73" s="120" t="s">
        <v>283</v>
      </c>
      <c r="G73" s="119"/>
      <c r="H73" s="22" t="s">
        <v>179</v>
      </c>
      <c r="I73" s="24" t="s">
        <v>284</v>
      </c>
      <c r="J73" s="23" t="s">
        <v>282</v>
      </c>
      <c r="K73" s="118" t="s">
        <v>81</v>
      </c>
      <c r="L73" s="119"/>
      <c r="M73" s="128">
        <v>8.76</v>
      </c>
      <c r="N73" s="124">
        <f t="shared" si="12"/>
        <v>77088</v>
      </c>
      <c r="O73" s="128">
        <v>8.39</v>
      </c>
      <c r="P73" s="129">
        <f t="shared" si="13"/>
        <v>73832</v>
      </c>
      <c r="Q73" s="124">
        <f t="shared" si="11"/>
        <v>150920</v>
      </c>
    </row>
    <row r="74" spans="1:17" ht="27.6" customHeight="1" x14ac:dyDescent="0.3">
      <c r="A74" s="136">
        <v>6</v>
      </c>
      <c r="B74" s="137" t="s">
        <v>285</v>
      </c>
      <c r="C74" s="137" t="s">
        <v>286</v>
      </c>
      <c r="D74" s="138" t="s">
        <v>264</v>
      </c>
      <c r="E74" s="136">
        <v>1</v>
      </c>
      <c r="F74" s="136" t="s">
        <v>78</v>
      </c>
      <c r="G74" s="119"/>
      <c r="H74" s="22" t="s">
        <v>179</v>
      </c>
      <c r="I74" s="24" t="s">
        <v>287</v>
      </c>
      <c r="J74" s="23" t="s">
        <v>288</v>
      </c>
      <c r="K74" s="118" t="s">
        <v>81</v>
      </c>
      <c r="L74" s="119"/>
      <c r="M74" s="128">
        <v>216.3</v>
      </c>
      <c r="N74" s="124">
        <f t="shared" si="12"/>
        <v>216.3</v>
      </c>
      <c r="O74" s="128">
        <v>8077.3</v>
      </c>
      <c r="P74" s="125">
        <f t="shared" si="13"/>
        <v>8077.3</v>
      </c>
      <c r="Q74" s="124">
        <f t="shared" si="11"/>
        <v>8293.6</v>
      </c>
    </row>
    <row r="75" spans="1:17" ht="27.6" customHeight="1" x14ac:dyDescent="0.3">
      <c r="A75" s="120">
        <v>7</v>
      </c>
      <c r="B75" s="127" t="s">
        <v>289</v>
      </c>
      <c r="C75" s="127" t="s">
        <v>290</v>
      </c>
      <c r="D75" s="116" t="s">
        <v>264</v>
      </c>
      <c r="E75" s="136">
        <v>1</v>
      </c>
      <c r="F75" s="136" t="s">
        <v>240</v>
      </c>
      <c r="G75" s="119"/>
      <c r="H75" s="22" t="s">
        <v>179</v>
      </c>
      <c r="I75" s="24" t="s">
        <v>289</v>
      </c>
      <c r="J75" s="23" t="s">
        <v>290</v>
      </c>
      <c r="K75" s="118" t="s">
        <v>81</v>
      </c>
      <c r="L75" s="119"/>
      <c r="M75" s="128">
        <v>0</v>
      </c>
      <c r="N75" s="124">
        <f t="shared" si="12"/>
        <v>0</v>
      </c>
      <c r="O75" s="128">
        <v>5245</v>
      </c>
      <c r="P75" s="125">
        <f t="shared" si="13"/>
        <v>5245</v>
      </c>
      <c r="Q75" s="124">
        <f t="shared" si="11"/>
        <v>5245</v>
      </c>
    </row>
    <row r="76" spans="1:17" ht="27.6" customHeight="1" x14ac:dyDescent="0.3">
      <c r="A76" s="120">
        <v>8</v>
      </c>
      <c r="B76" s="127" t="s">
        <v>291</v>
      </c>
      <c r="C76" s="127" t="s">
        <v>292</v>
      </c>
      <c r="D76" s="138" t="s">
        <v>264</v>
      </c>
      <c r="E76" s="136">
        <v>1</v>
      </c>
      <c r="F76" s="136" t="s">
        <v>240</v>
      </c>
      <c r="G76" s="119"/>
      <c r="H76" s="22" t="s">
        <v>179</v>
      </c>
      <c r="I76" s="24" t="s">
        <v>291</v>
      </c>
      <c r="J76" s="23" t="s">
        <v>292</v>
      </c>
      <c r="K76" s="118" t="s">
        <v>81</v>
      </c>
      <c r="L76" s="119"/>
      <c r="M76" s="128">
        <v>0</v>
      </c>
      <c r="N76" s="124">
        <f t="shared" si="12"/>
        <v>0</v>
      </c>
      <c r="O76" s="128">
        <v>5245</v>
      </c>
      <c r="P76" s="125">
        <f t="shared" si="13"/>
        <v>5245</v>
      </c>
      <c r="Q76" s="124">
        <f t="shared" si="11"/>
        <v>5245</v>
      </c>
    </row>
    <row r="77" spans="1:17" ht="27.6" customHeight="1" x14ac:dyDescent="0.3">
      <c r="A77" s="120">
        <v>7</v>
      </c>
      <c r="B77" s="127" t="s">
        <v>293</v>
      </c>
      <c r="C77" s="127" t="s">
        <v>294</v>
      </c>
      <c r="D77" s="116"/>
      <c r="E77" s="120">
        <v>3500</v>
      </c>
      <c r="F77" s="120" t="s">
        <v>144</v>
      </c>
      <c r="G77" s="119"/>
      <c r="H77" s="22"/>
      <c r="I77" s="29" t="s">
        <v>293</v>
      </c>
      <c r="J77" s="29" t="s">
        <v>294</v>
      </c>
      <c r="K77" s="118" t="s">
        <v>81</v>
      </c>
      <c r="L77" s="119"/>
      <c r="M77" s="128">
        <v>41.2</v>
      </c>
      <c r="N77" s="124">
        <f t="shared" si="12"/>
        <v>144200</v>
      </c>
      <c r="O77" s="128">
        <v>0</v>
      </c>
      <c r="P77" s="125">
        <f t="shared" si="13"/>
        <v>0</v>
      </c>
      <c r="Q77" s="124">
        <f t="shared" si="11"/>
        <v>144200</v>
      </c>
    </row>
    <row r="78" spans="1:17" ht="27.6" customHeight="1" x14ac:dyDescent="0.3">
      <c r="A78" s="120">
        <v>8</v>
      </c>
      <c r="B78" s="121" t="s">
        <v>295</v>
      </c>
      <c r="C78" s="121" t="s">
        <v>295</v>
      </c>
      <c r="D78" s="116"/>
      <c r="E78" s="120">
        <v>2000</v>
      </c>
      <c r="F78" s="120" t="s">
        <v>296</v>
      </c>
      <c r="G78" s="119"/>
      <c r="H78" s="22"/>
      <c r="I78" s="26" t="s">
        <v>295</v>
      </c>
      <c r="J78" s="26" t="s">
        <v>295</v>
      </c>
      <c r="K78" s="118" t="s">
        <v>81</v>
      </c>
      <c r="L78" s="119"/>
      <c r="M78" s="128">
        <v>32.96</v>
      </c>
      <c r="N78" s="124">
        <f t="shared" si="12"/>
        <v>65920</v>
      </c>
      <c r="O78" s="128">
        <v>26.23</v>
      </c>
      <c r="P78" s="125">
        <f t="shared" si="13"/>
        <v>52460</v>
      </c>
      <c r="Q78" s="124">
        <f t="shared" si="11"/>
        <v>118380</v>
      </c>
    </row>
    <row r="79" spans="1:17" ht="27.6" customHeight="1" x14ac:dyDescent="0.3">
      <c r="B79" s="134" t="s">
        <v>297</v>
      </c>
      <c r="C79" s="139"/>
      <c r="D79" s="140"/>
      <c r="E79" s="141"/>
      <c r="F79" s="140"/>
      <c r="G79" s="119"/>
      <c r="H79" s="22"/>
      <c r="I79" s="24"/>
      <c r="J79" s="24"/>
      <c r="K79" s="118"/>
      <c r="L79" s="119"/>
      <c r="M79" s="119"/>
      <c r="N79" s="124">
        <f t="shared" si="12"/>
        <v>0</v>
      </c>
      <c r="O79" s="119"/>
      <c r="P79" s="125">
        <f t="shared" si="13"/>
        <v>0</v>
      </c>
      <c r="Q79" s="119"/>
    </row>
    <row r="80" spans="1:17" ht="27.6" customHeight="1" x14ac:dyDescent="0.3">
      <c r="A80" s="120">
        <v>1</v>
      </c>
      <c r="B80" s="127" t="s">
        <v>298</v>
      </c>
      <c r="C80" s="127" t="s">
        <v>299</v>
      </c>
      <c r="D80" s="116" t="s">
        <v>264</v>
      </c>
      <c r="E80" s="120">
        <v>11</v>
      </c>
      <c r="F80" s="120" t="s">
        <v>134</v>
      </c>
      <c r="G80" s="119"/>
      <c r="H80" s="22" t="s">
        <v>179</v>
      </c>
      <c r="I80" s="24" t="s">
        <v>300</v>
      </c>
      <c r="J80" s="23" t="s">
        <v>301</v>
      </c>
      <c r="K80" s="118" t="s">
        <v>81</v>
      </c>
      <c r="L80" s="119"/>
      <c r="M80" s="128">
        <v>164.8</v>
      </c>
      <c r="N80" s="124">
        <f t="shared" si="12"/>
        <v>1812.8000000000002</v>
      </c>
      <c r="O80" s="128">
        <v>650.38</v>
      </c>
      <c r="P80" s="125">
        <f t="shared" si="13"/>
        <v>7154.18</v>
      </c>
      <c r="Q80" s="124">
        <f t="shared" ref="Q80:Q90" si="14">ROUND((M80+O80)*E80,2)</f>
        <v>8966.98</v>
      </c>
    </row>
    <row r="81" spans="1:17" ht="27.6" customHeight="1" x14ac:dyDescent="0.3">
      <c r="A81" s="120">
        <v>2</v>
      </c>
      <c r="B81" s="127" t="s">
        <v>302</v>
      </c>
      <c r="C81" s="127" t="s">
        <v>303</v>
      </c>
      <c r="D81" s="116" t="s">
        <v>264</v>
      </c>
      <c r="E81" s="120">
        <v>6</v>
      </c>
      <c r="F81" s="120" t="s">
        <v>78</v>
      </c>
      <c r="G81" s="119"/>
      <c r="H81" s="22" t="s">
        <v>179</v>
      </c>
      <c r="I81" s="24" t="s">
        <v>304</v>
      </c>
      <c r="J81" s="23" t="s">
        <v>305</v>
      </c>
      <c r="K81" s="118" t="s">
        <v>81</v>
      </c>
      <c r="L81" s="119"/>
      <c r="M81" s="128">
        <v>164.8</v>
      </c>
      <c r="N81" s="124">
        <f t="shared" si="12"/>
        <v>988.80000000000007</v>
      </c>
      <c r="O81" s="128">
        <v>514.01</v>
      </c>
      <c r="P81" s="125">
        <f t="shared" si="13"/>
        <v>3084.06</v>
      </c>
      <c r="Q81" s="124">
        <f t="shared" si="14"/>
        <v>4072.86</v>
      </c>
    </row>
    <row r="82" spans="1:17" ht="27.6" customHeight="1" x14ac:dyDescent="0.3">
      <c r="A82" s="120">
        <v>3</v>
      </c>
      <c r="B82" s="127" t="s">
        <v>306</v>
      </c>
      <c r="C82" s="127" t="s">
        <v>307</v>
      </c>
      <c r="D82" s="116" t="s">
        <v>264</v>
      </c>
      <c r="E82" s="120">
        <v>1</v>
      </c>
      <c r="F82" s="120" t="s">
        <v>78</v>
      </c>
      <c r="G82" s="119"/>
      <c r="H82" s="22" t="s">
        <v>179</v>
      </c>
      <c r="I82" s="24" t="s">
        <v>308</v>
      </c>
      <c r="J82" s="23" t="s">
        <v>309</v>
      </c>
      <c r="K82" s="118" t="s">
        <v>81</v>
      </c>
      <c r="L82" s="119"/>
      <c r="M82" s="128">
        <v>131.84</v>
      </c>
      <c r="N82" s="124">
        <f t="shared" si="12"/>
        <v>131.84</v>
      </c>
      <c r="O82" s="128">
        <v>1678.4</v>
      </c>
      <c r="P82" s="125">
        <f t="shared" si="13"/>
        <v>1678.4</v>
      </c>
      <c r="Q82" s="124">
        <f t="shared" si="14"/>
        <v>1810.24</v>
      </c>
    </row>
    <row r="83" spans="1:17" ht="27.6" customHeight="1" x14ac:dyDescent="0.3">
      <c r="A83" s="120">
        <v>4</v>
      </c>
      <c r="B83" s="127" t="s">
        <v>310</v>
      </c>
      <c r="C83" s="127" t="s">
        <v>311</v>
      </c>
      <c r="D83" s="116" t="s">
        <v>264</v>
      </c>
      <c r="E83" s="120">
        <v>1</v>
      </c>
      <c r="F83" s="120" t="s">
        <v>78</v>
      </c>
      <c r="G83" s="119"/>
      <c r="H83" s="22" t="s">
        <v>179</v>
      </c>
      <c r="I83" s="24" t="s">
        <v>312</v>
      </c>
      <c r="J83" s="23" t="s">
        <v>313</v>
      </c>
      <c r="K83" s="118" t="s">
        <v>81</v>
      </c>
      <c r="L83" s="119"/>
      <c r="M83" s="128">
        <v>56.65</v>
      </c>
      <c r="N83" s="124">
        <f t="shared" si="12"/>
        <v>56.65</v>
      </c>
      <c r="O83" s="128">
        <v>225.54</v>
      </c>
      <c r="P83" s="125">
        <f t="shared" si="13"/>
        <v>225.54</v>
      </c>
      <c r="Q83" s="124">
        <f t="shared" si="14"/>
        <v>282.19</v>
      </c>
    </row>
    <row r="84" spans="1:17" ht="27.6" customHeight="1" x14ac:dyDescent="0.3">
      <c r="A84" s="120">
        <v>5</v>
      </c>
      <c r="B84" s="127" t="s">
        <v>314</v>
      </c>
      <c r="C84" s="127" t="s">
        <v>315</v>
      </c>
      <c r="D84" s="116" t="s">
        <v>264</v>
      </c>
      <c r="E84" s="120">
        <v>1</v>
      </c>
      <c r="F84" s="120" t="s">
        <v>78</v>
      </c>
      <c r="G84" s="119"/>
      <c r="H84" s="22" t="s">
        <v>179</v>
      </c>
      <c r="I84" s="24" t="s">
        <v>316</v>
      </c>
      <c r="J84" s="23" t="s">
        <v>317</v>
      </c>
      <c r="K84" s="118" t="s">
        <v>81</v>
      </c>
      <c r="L84" s="119"/>
      <c r="M84" s="128">
        <v>412</v>
      </c>
      <c r="N84" s="124">
        <f t="shared" si="12"/>
        <v>412</v>
      </c>
      <c r="O84" s="128">
        <v>79.72</v>
      </c>
      <c r="P84" s="125">
        <f t="shared" si="13"/>
        <v>79.72</v>
      </c>
      <c r="Q84" s="124">
        <f t="shared" si="14"/>
        <v>491.72</v>
      </c>
    </row>
    <row r="85" spans="1:17" ht="27.6" customHeight="1" x14ac:dyDescent="0.3">
      <c r="A85" s="120">
        <v>6</v>
      </c>
      <c r="B85" s="127" t="s">
        <v>318</v>
      </c>
      <c r="C85" s="127" t="s">
        <v>319</v>
      </c>
      <c r="D85" s="116" t="s">
        <v>264</v>
      </c>
      <c r="E85" s="120">
        <v>1</v>
      </c>
      <c r="F85" s="120" t="s">
        <v>121</v>
      </c>
      <c r="G85" s="119"/>
      <c r="H85" s="22" t="s">
        <v>179</v>
      </c>
      <c r="I85" s="24" t="s">
        <v>320</v>
      </c>
      <c r="J85" s="23" t="s">
        <v>321</v>
      </c>
      <c r="K85" s="118" t="s">
        <v>81</v>
      </c>
      <c r="L85" s="119"/>
      <c r="M85" s="128">
        <v>32.96</v>
      </c>
      <c r="N85" s="124">
        <f t="shared" si="12"/>
        <v>32.96</v>
      </c>
      <c r="O85" s="128">
        <v>47.21</v>
      </c>
      <c r="P85" s="125">
        <f t="shared" si="13"/>
        <v>47.21</v>
      </c>
      <c r="Q85" s="124">
        <f t="shared" si="14"/>
        <v>80.17</v>
      </c>
    </row>
    <row r="86" spans="1:17" ht="27.6" customHeight="1" x14ac:dyDescent="0.3">
      <c r="A86" s="120">
        <v>7</v>
      </c>
      <c r="B86" s="127" t="s">
        <v>322</v>
      </c>
      <c r="C86" s="127" t="s">
        <v>323</v>
      </c>
      <c r="D86" s="116" t="s">
        <v>264</v>
      </c>
      <c r="E86" s="120">
        <v>11</v>
      </c>
      <c r="F86" s="120" t="s">
        <v>78</v>
      </c>
      <c r="G86" s="119"/>
      <c r="H86" s="22" t="s">
        <v>179</v>
      </c>
      <c r="I86" s="24" t="s">
        <v>324</v>
      </c>
      <c r="J86" s="23" t="s">
        <v>325</v>
      </c>
      <c r="K86" s="118" t="s">
        <v>81</v>
      </c>
      <c r="L86" s="119"/>
      <c r="M86" s="128">
        <v>21.63</v>
      </c>
      <c r="N86" s="124">
        <f t="shared" si="12"/>
        <v>237.92999999999998</v>
      </c>
      <c r="O86" s="128">
        <v>89.17</v>
      </c>
      <c r="P86" s="125">
        <f t="shared" si="13"/>
        <v>980.87</v>
      </c>
      <c r="Q86" s="124">
        <f t="shared" si="14"/>
        <v>1218.8</v>
      </c>
    </row>
    <row r="87" spans="1:17" ht="27.6" customHeight="1" x14ac:dyDescent="0.3">
      <c r="A87" s="120">
        <v>8</v>
      </c>
      <c r="B87" s="127" t="s">
        <v>326</v>
      </c>
      <c r="C87" s="127" t="s">
        <v>327</v>
      </c>
      <c r="D87" s="116" t="s">
        <v>264</v>
      </c>
      <c r="E87" s="120">
        <v>1</v>
      </c>
      <c r="F87" s="120" t="s">
        <v>78</v>
      </c>
      <c r="G87" s="119"/>
      <c r="H87" s="22" t="s">
        <v>179</v>
      </c>
      <c r="I87" s="24" t="s">
        <v>326</v>
      </c>
      <c r="J87" s="23" t="s">
        <v>327</v>
      </c>
      <c r="K87" s="118" t="s">
        <v>81</v>
      </c>
      <c r="L87" s="119"/>
      <c r="M87" s="128">
        <v>0</v>
      </c>
      <c r="N87" s="124">
        <f t="shared" si="12"/>
        <v>0</v>
      </c>
      <c r="O87" s="128">
        <v>1049</v>
      </c>
      <c r="P87" s="125">
        <f t="shared" si="13"/>
        <v>1049</v>
      </c>
      <c r="Q87" s="124">
        <f t="shared" si="14"/>
        <v>1049</v>
      </c>
    </row>
    <row r="88" spans="1:17" ht="27.6" customHeight="1" x14ac:dyDescent="0.3">
      <c r="A88" s="120">
        <v>9</v>
      </c>
      <c r="B88" s="127" t="s">
        <v>158</v>
      </c>
      <c r="C88" s="127" t="s">
        <v>328</v>
      </c>
      <c r="D88" s="120" t="s">
        <v>127</v>
      </c>
      <c r="E88" s="120">
        <v>2400</v>
      </c>
      <c r="F88" s="120" t="s">
        <v>144</v>
      </c>
      <c r="G88" s="119"/>
      <c r="H88" s="22" t="s">
        <v>128</v>
      </c>
      <c r="I88" s="24" t="s">
        <v>329</v>
      </c>
      <c r="J88" s="29" t="s">
        <v>328</v>
      </c>
      <c r="K88" s="118" t="s">
        <v>81</v>
      </c>
      <c r="L88" s="119"/>
      <c r="M88" s="128">
        <v>2.16</v>
      </c>
      <c r="N88" s="124">
        <f t="shared" si="12"/>
        <v>5184</v>
      </c>
      <c r="O88" s="128">
        <v>4.41</v>
      </c>
      <c r="P88" s="129">
        <f t="shared" si="13"/>
        <v>10584</v>
      </c>
      <c r="Q88" s="124">
        <f t="shared" si="14"/>
        <v>15768</v>
      </c>
    </row>
    <row r="89" spans="1:17" ht="27.6" customHeight="1" x14ac:dyDescent="0.3">
      <c r="A89" s="120">
        <v>10</v>
      </c>
      <c r="B89" s="127" t="s">
        <v>158</v>
      </c>
      <c r="C89" s="127" t="s">
        <v>330</v>
      </c>
      <c r="D89" s="120" t="s">
        <v>127</v>
      </c>
      <c r="E89" s="120">
        <v>200</v>
      </c>
      <c r="F89" s="120" t="s">
        <v>144</v>
      </c>
      <c r="G89" s="119"/>
      <c r="H89" s="22" t="s">
        <v>128</v>
      </c>
      <c r="I89" s="24" t="s">
        <v>331</v>
      </c>
      <c r="J89" s="29" t="s">
        <v>330</v>
      </c>
      <c r="K89" s="118" t="s">
        <v>81</v>
      </c>
      <c r="L89" s="119"/>
      <c r="M89" s="128">
        <v>2.37</v>
      </c>
      <c r="N89" s="124">
        <f t="shared" si="12"/>
        <v>474</v>
      </c>
      <c r="O89" s="128">
        <v>4.5599999999999996</v>
      </c>
      <c r="P89" s="125">
        <f t="shared" si="13"/>
        <v>911.99999999999989</v>
      </c>
      <c r="Q89" s="124">
        <f t="shared" si="14"/>
        <v>1386</v>
      </c>
    </row>
    <row r="90" spans="1:17" ht="27.6" customHeight="1" x14ac:dyDescent="0.3">
      <c r="A90" s="120">
        <v>11</v>
      </c>
      <c r="B90" s="131" t="s">
        <v>167</v>
      </c>
      <c r="C90" s="127" t="s">
        <v>168</v>
      </c>
      <c r="D90" s="116" t="s">
        <v>169</v>
      </c>
      <c r="E90" s="120">
        <v>1000</v>
      </c>
      <c r="F90" s="120" t="s">
        <v>144</v>
      </c>
      <c r="G90" s="119"/>
      <c r="H90" s="22" t="s">
        <v>169</v>
      </c>
      <c r="I90" s="24" t="s">
        <v>170</v>
      </c>
      <c r="J90" s="23" t="s">
        <v>171</v>
      </c>
      <c r="K90" s="118" t="s">
        <v>81</v>
      </c>
      <c r="L90" s="119"/>
      <c r="M90" s="128">
        <v>9.7899999999999991</v>
      </c>
      <c r="N90" s="124">
        <f t="shared" si="12"/>
        <v>9790</v>
      </c>
      <c r="O90" s="128">
        <v>3.67</v>
      </c>
      <c r="P90" s="129">
        <f t="shared" si="13"/>
        <v>3670</v>
      </c>
      <c r="Q90" s="124">
        <f t="shared" si="14"/>
        <v>13460</v>
      </c>
    </row>
    <row r="91" spans="1:17" ht="27.6" customHeight="1" x14ac:dyDescent="0.3">
      <c r="B91" s="134" t="s">
        <v>332</v>
      </c>
      <c r="C91" s="118"/>
      <c r="D91" s="116"/>
      <c r="E91" s="119"/>
      <c r="F91" s="116"/>
      <c r="G91" s="119"/>
      <c r="H91" s="22"/>
      <c r="I91" s="24"/>
      <c r="J91" s="23"/>
      <c r="K91" s="118"/>
      <c r="L91" s="119"/>
      <c r="M91" s="119"/>
      <c r="N91" s="124">
        <f t="shared" si="12"/>
        <v>0</v>
      </c>
      <c r="O91" s="119"/>
      <c r="P91" s="125">
        <f t="shared" si="13"/>
        <v>0</v>
      </c>
      <c r="Q91" s="119"/>
    </row>
    <row r="92" spans="1:17" ht="27.6" customHeight="1" x14ac:dyDescent="0.3">
      <c r="A92" s="120">
        <v>1</v>
      </c>
      <c r="B92" s="127" t="s">
        <v>566</v>
      </c>
      <c r="C92" s="122" t="s">
        <v>333</v>
      </c>
      <c r="D92" s="120" t="s">
        <v>83</v>
      </c>
      <c r="E92" s="120">
        <v>1</v>
      </c>
      <c r="F92" s="120" t="s">
        <v>78</v>
      </c>
      <c r="G92" s="119"/>
      <c r="H92" s="25" t="s">
        <v>84</v>
      </c>
      <c r="I92" s="25" t="s">
        <v>85</v>
      </c>
      <c r="J92" s="23" t="s">
        <v>86</v>
      </c>
      <c r="K92" s="118" t="s">
        <v>81</v>
      </c>
      <c r="L92" s="119"/>
      <c r="M92" s="128">
        <v>131.84</v>
      </c>
      <c r="N92" s="124">
        <f t="shared" si="12"/>
        <v>131.84</v>
      </c>
      <c r="O92" s="128">
        <v>7240.88</v>
      </c>
      <c r="P92" s="129">
        <f t="shared" si="13"/>
        <v>7240.88</v>
      </c>
      <c r="Q92" s="124">
        <f t="shared" ref="Q92:Q109" si="15">ROUND((M92+O92)*E92,2)</f>
        <v>7372.72</v>
      </c>
    </row>
    <row r="93" spans="1:17" ht="27.6" customHeight="1" x14ac:dyDescent="0.3">
      <c r="A93" s="120">
        <v>2</v>
      </c>
      <c r="B93" s="127" t="s">
        <v>87</v>
      </c>
      <c r="C93" s="127" t="s">
        <v>88</v>
      </c>
      <c r="D93" s="120" t="s">
        <v>83</v>
      </c>
      <c r="E93" s="120">
        <v>9</v>
      </c>
      <c r="F93" s="120" t="s">
        <v>78</v>
      </c>
      <c r="G93" s="119"/>
      <c r="H93" s="25" t="s">
        <v>84</v>
      </c>
      <c r="I93" s="25" t="s">
        <v>89</v>
      </c>
      <c r="J93" s="23" t="s">
        <v>90</v>
      </c>
      <c r="K93" s="118" t="s">
        <v>81</v>
      </c>
      <c r="L93" s="119"/>
      <c r="M93" s="128">
        <v>32.96</v>
      </c>
      <c r="N93" s="124">
        <f t="shared" si="12"/>
        <v>296.64</v>
      </c>
      <c r="O93" s="128">
        <v>7424.7</v>
      </c>
      <c r="P93" s="129">
        <f t="shared" si="13"/>
        <v>66822.3</v>
      </c>
      <c r="Q93" s="124">
        <f t="shared" si="15"/>
        <v>67118.94</v>
      </c>
    </row>
    <row r="94" spans="1:17" ht="27.6" customHeight="1" x14ac:dyDescent="0.3">
      <c r="A94" s="120">
        <v>3</v>
      </c>
      <c r="B94" s="127" t="s">
        <v>91</v>
      </c>
      <c r="C94" s="142" t="s">
        <v>334</v>
      </c>
      <c r="D94" s="120" t="s">
        <v>83</v>
      </c>
      <c r="E94" s="120">
        <v>9</v>
      </c>
      <c r="F94" s="120" t="s">
        <v>78</v>
      </c>
      <c r="G94" s="119"/>
      <c r="H94" s="25" t="s">
        <v>94</v>
      </c>
      <c r="I94" s="25" t="s">
        <v>95</v>
      </c>
      <c r="J94" s="23" t="s">
        <v>92</v>
      </c>
      <c r="K94" s="118" t="s">
        <v>81</v>
      </c>
      <c r="L94" s="119"/>
      <c r="M94" s="128">
        <v>164.8</v>
      </c>
      <c r="N94" s="124">
        <f t="shared" si="12"/>
        <v>1483.2</v>
      </c>
      <c r="O94" s="128">
        <v>1485.31</v>
      </c>
      <c r="P94" s="129">
        <f t="shared" si="13"/>
        <v>13367.789999999999</v>
      </c>
      <c r="Q94" s="124">
        <f t="shared" si="15"/>
        <v>14850.99</v>
      </c>
    </row>
    <row r="95" spans="1:17" ht="27.6" customHeight="1" x14ac:dyDescent="0.3">
      <c r="A95" s="120">
        <v>4</v>
      </c>
      <c r="B95" s="127" t="s">
        <v>96</v>
      </c>
      <c r="C95" s="122" t="s">
        <v>97</v>
      </c>
      <c r="D95" s="120" t="s">
        <v>83</v>
      </c>
      <c r="E95" s="120">
        <v>9</v>
      </c>
      <c r="F95" s="120" t="s">
        <v>78</v>
      </c>
      <c r="G95" s="119"/>
      <c r="H95" s="22" t="s">
        <v>98</v>
      </c>
      <c r="I95" s="24" t="s">
        <v>99</v>
      </c>
      <c r="J95" s="23" t="s">
        <v>97</v>
      </c>
      <c r="K95" s="118" t="s">
        <v>81</v>
      </c>
      <c r="L95" s="119"/>
      <c r="M95" s="128">
        <v>21.63</v>
      </c>
      <c r="N95" s="124">
        <f t="shared" si="12"/>
        <v>194.67</v>
      </c>
      <c r="O95" s="128">
        <v>102.8</v>
      </c>
      <c r="P95" s="125">
        <f t="shared" si="13"/>
        <v>925.19999999999993</v>
      </c>
      <c r="Q95" s="124">
        <f t="shared" si="15"/>
        <v>1119.8699999999999</v>
      </c>
    </row>
    <row r="96" spans="1:17" ht="27.6" customHeight="1" x14ac:dyDescent="0.3">
      <c r="A96" s="120">
        <v>5</v>
      </c>
      <c r="B96" s="127" t="s">
        <v>335</v>
      </c>
      <c r="C96" s="127" t="s">
        <v>336</v>
      </c>
      <c r="D96" s="120" t="s">
        <v>83</v>
      </c>
      <c r="E96" s="120">
        <v>39</v>
      </c>
      <c r="F96" s="120" t="s">
        <v>78</v>
      </c>
      <c r="G96" s="119"/>
      <c r="H96" s="22" t="s">
        <v>84</v>
      </c>
      <c r="I96" s="24" t="s">
        <v>337</v>
      </c>
      <c r="J96" s="23" t="s">
        <v>336</v>
      </c>
      <c r="K96" s="118" t="s">
        <v>81</v>
      </c>
      <c r="L96" s="119"/>
      <c r="M96" s="128">
        <v>154.5</v>
      </c>
      <c r="N96" s="124">
        <f t="shared" si="12"/>
        <v>6025.5</v>
      </c>
      <c r="O96" s="128">
        <v>240.22</v>
      </c>
      <c r="P96" s="125">
        <f t="shared" si="13"/>
        <v>9368.58</v>
      </c>
      <c r="Q96" s="124">
        <f t="shared" si="15"/>
        <v>15394.08</v>
      </c>
    </row>
    <row r="97" spans="1:19" ht="27.6" customHeight="1" x14ac:dyDescent="0.3">
      <c r="A97" s="120">
        <v>6</v>
      </c>
      <c r="B97" s="127" t="s">
        <v>338</v>
      </c>
      <c r="C97" s="127" t="s">
        <v>339</v>
      </c>
      <c r="D97" s="123" t="s">
        <v>340</v>
      </c>
      <c r="E97" s="120">
        <v>14</v>
      </c>
      <c r="F97" s="120" t="s">
        <v>78</v>
      </c>
      <c r="G97" s="119"/>
      <c r="H97" s="22" t="s">
        <v>340</v>
      </c>
      <c r="I97" s="23"/>
      <c r="J97" s="23" t="s">
        <v>339</v>
      </c>
      <c r="K97" s="118" t="s">
        <v>81</v>
      </c>
      <c r="L97" s="119"/>
      <c r="M97" s="128">
        <v>154.5</v>
      </c>
      <c r="N97" s="124">
        <f t="shared" si="12"/>
        <v>2163</v>
      </c>
      <c r="O97" s="128">
        <v>352.46</v>
      </c>
      <c r="P97" s="129">
        <f t="shared" si="13"/>
        <v>4934.4399999999996</v>
      </c>
      <c r="Q97" s="124">
        <f t="shared" si="15"/>
        <v>7097.44</v>
      </c>
    </row>
    <row r="98" spans="1:19" ht="27.6" customHeight="1" x14ac:dyDescent="0.3">
      <c r="A98" s="120">
        <v>7</v>
      </c>
      <c r="B98" s="131" t="s">
        <v>125</v>
      </c>
      <c r="C98" s="127" t="s">
        <v>126</v>
      </c>
      <c r="D98" s="120" t="s">
        <v>127</v>
      </c>
      <c r="E98" s="116">
        <f>E92+E93</f>
        <v>10</v>
      </c>
      <c r="F98" s="120" t="s">
        <v>121</v>
      </c>
      <c r="G98" s="119"/>
      <c r="H98" s="22" t="s">
        <v>128</v>
      </c>
      <c r="I98" s="23" t="s">
        <v>129</v>
      </c>
      <c r="J98" s="24" t="s">
        <v>130</v>
      </c>
      <c r="K98" s="118" t="s">
        <v>81</v>
      </c>
      <c r="L98" s="119"/>
      <c r="M98" s="128">
        <v>97.85</v>
      </c>
      <c r="N98" s="124">
        <f t="shared" si="12"/>
        <v>978.5</v>
      </c>
      <c r="O98" s="128">
        <v>111.19</v>
      </c>
      <c r="P98" s="129">
        <f t="shared" si="13"/>
        <v>1111.9000000000001</v>
      </c>
      <c r="Q98" s="124">
        <f t="shared" si="15"/>
        <v>2090.4</v>
      </c>
    </row>
    <row r="99" spans="1:19" ht="27.6" customHeight="1" x14ac:dyDescent="0.3">
      <c r="A99" s="120">
        <v>8</v>
      </c>
      <c r="B99" s="131" t="s">
        <v>131</v>
      </c>
      <c r="C99" s="127" t="s">
        <v>132</v>
      </c>
      <c r="D99" s="116" t="s">
        <v>133</v>
      </c>
      <c r="E99" s="116">
        <f>E92+E93</f>
        <v>10</v>
      </c>
      <c r="F99" s="120" t="s">
        <v>134</v>
      </c>
      <c r="G99" s="119"/>
      <c r="H99" s="22" t="s">
        <v>135</v>
      </c>
      <c r="I99" s="24" t="s">
        <v>136</v>
      </c>
      <c r="J99" s="24" t="s">
        <v>137</v>
      </c>
      <c r="K99" s="118" t="s">
        <v>81</v>
      </c>
      <c r="L99" s="119"/>
      <c r="M99" s="128">
        <v>32.96</v>
      </c>
      <c r="N99" s="124">
        <f t="shared" si="12"/>
        <v>329.6</v>
      </c>
      <c r="O99" s="128">
        <v>182.53</v>
      </c>
      <c r="P99" s="129">
        <f t="shared" si="13"/>
        <v>1825.3</v>
      </c>
      <c r="Q99" s="124">
        <f t="shared" si="15"/>
        <v>2154.9</v>
      </c>
    </row>
    <row r="100" spans="1:19" ht="27.6" customHeight="1" x14ac:dyDescent="0.3">
      <c r="A100" s="120">
        <v>9</v>
      </c>
      <c r="B100" s="131" t="s">
        <v>138</v>
      </c>
      <c r="C100" s="127" t="s">
        <v>139</v>
      </c>
      <c r="D100" s="116" t="s">
        <v>133</v>
      </c>
      <c r="E100" s="116">
        <v>1</v>
      </c>
      <c r="F100" s="120" t="s">
        <v>121</v>
      </c>
      <c r="G100" s="119"/>
      <c r="H100" s="22" t="s">
        <v>135</v>
      </c>
      <c r="I100" s="24" t="s">
        <v>140</v>
      </c>
      <c r="J100" s="24" t="s">
        <v>141</v>
      </c>
      <c r="K100" s="118" t="s">
        <v>81</v>
      </c>
      <c r="L100" s="119"/>
      <c r="M100" s="128">
        <v>87.55</v>
      </c>
      <c r="N100" s="124">
        <f t="shared" si="12"/>
        <v>87.55</v>
      </c>
      <c r="O100" s="128">
        <v>543.38</v>
      </c>
      <c r="P100" s="129">
        <f t="shared" si="13"/>
        <v>543.38</v>
      </c>
      <c r="Q100" s="124">
        <f t="shared" si="15"/>
        <v>630.92999999999995</v>
      </c>
    </row>
    <row r="101" spans="1:19" ht="27.6" customHeight="1" x14ac:dyDescent="0.3">
      <c r="A101" s="120">
        <v>10</v>
      </c>
      <c r="B101" s="131" t="s">
        <v>142</v>
      </c>
      <c r="C101" s="127" t="s">
        <v>143</v>
      </c>
      <c r="D101" s="120" t="s">
        <v>127</v>
      </c>
      <c r="E101" s="120">
        <f>E99*300</f>
        <v>3000</v>
      </c>
      <c r="F101" s="120" t="s">
        <v>144</v>
      </c>
      <c r="G101" s="119"/>
      <c r="H101" s="22" t="s">
        <v>128</v>
      </c>
      <c r="I101" s="64" t="s">
        <v>577</v>
      </c>
      <c r="J101" s="23" t="s">
        <v>143</v>
      </c>
      <c r="K101" s="118" t="s">
        <v>81</v>
      </c>
      <c r="L101" s="119"/>
      <c r="M101" s="128">
        <v>2.73</v>
      </c>
      <c r="N101" s="124">
        <f t="shared" si="12"/>
        <v>8190</v>
      </c>
      <c r="O101" s="128">
        <v>1.84</v>
      </c>
      <c r="P101" s="125">
        <f t="shared" si="13"/>
        <v>5520</v>
      </c>
      <c r="Q101" s="124">
        <f t="shared" si="15"/>
        <v>13710</v>
      </c>
    </row>
    <row r="102" spans="1:19" ht="27.6" customHeight="1" x14ac:dyDescent="0.3">
      <c r="A102" s="120">
        <v>11</v>
      </c>
      <c r="B102" s="131" t="s">
        <v>145</v>
      </c>
      <c r="C102" s="127" t="s">
        <v>146</v>
      </c>
      <c r="D102" s="120" t="s">
        <v>127</v>
      </c>
      <c r="E102" s="120">
        <v>1</v>
      </c>
      <c r="F102" s="120" t="s">
        <v>121</v>
      </c>
      <c r="G102" s="119"/>
      <c r="H102" s="22" t="s">
        <v>128</v>
      </c>
      <c r="I102" s="23" t="s">
        <v>147</v>
      </c>
      <c r="J102" s="23" t="s">
        <v>146</v>
      </c>
      <c r="K102" s="118" t="s">
        <v>81</v>
      </c>
      <c r="L102" s="119"/>
      <c r="M102" s="128">
        <v>463.5</v>
      </c>
      <c r="N102" s="124">
        <f t="shared" si="12"/>
        <v>463.5</v>
      </c>
      <c r="O102" s="128">
        <v>503.52</v>
      </c>
      <c r="P102" s="129">
        <f t="shared" si="13"/>
        <v>503.52</v>
      </c>
      <c r="Q102" s="124">
        <f t="shared" si="15"/>
        <v>967.02</v>
      </c>
    </row>
    <row r="103" spans="1:19" ht="27.6" customHeight="1" x14ac:dyDescent="0.3">
      <c r="A103" s="120">
        <v>12</v>
      </c>
      <c r="B103" s="131" t="s">
        <v>148</v>
      </c>
      <c r="C103" s="127" t="s">
        <v>149</v>
      </c>
      <c r="D103" s="120" t="s">
        <v>127</v>
      </c>
      <c r="E103" s="120">
        <f>E99</f>
        <v>10</v>
      </c>
      <c r="F103" s="120" t="s">
        <v>121</v>
      </c>
      <c r="G103" s="119"/>
      <c r="H103" s="22" t="s">
        <v>128</v>
      </c>
      <c r="I103" s="24" t="s">
        <v>150</v>
      </c>
      <c r="J103" s="24" t="s">
        <v>149</v>
      </c>
      <c r="K103" s="118" t="s">
        <v>81</v>
      </c>
      <c r="L103" s="119"/>
      <c r="M103" s="128">
        <v>5.51</v>
      </c>
      <c r="N103" s="124">
        <f t="shared" si="12"/>
        <v>55.099999999999994</v>
      </c>
      <c r="O103" s="128">
        <v>23.08</v>
      </c>
      <c r="P103" s="125">
        <f t="shared" si="13"/>
        <v>230.79999999999998</v>
      </c>
      <c r="Q103" s="124">
        <f t="shared" si="15"/>
        <v>285.89999999999998</v>
      </c>
    </row>
    <row r="104" spans="1:19" ht="27.6" customHeight="1" x14ac:dyDescent="0.3">
      <c r="A104" s="120">
        <v>13</v>
      </c>
      <c r="B104" s="131" t="s">
        <v>151</v>
      </c>
      <c r="C104" s="127" t="s">
        <v>341</v>
      </c>
      <c r="D104" s="120" t="s">
        <v>127</v>
      </c>
      <c r="E104" s="120">
        <f>E99*2</f>
        <v>20</v>
      </c>
      <c r="F104" s="120" t="s">
        <v>121</v>
      </c>
      <c r="G104" s="119"/>
      <c r="H104" s="22" t="s">
        <v>128</v>
      </c>
      <c r="I104" s="24" t="s">
        <v>153</v>
      </c>
      <c r="J104" s="24" t="s">
        <v>152</v>
      </c>
      <c r="K104" s="118" t="s">
        <v>81</v>
      </c>
      <c r="L104" s="119"/>
      <c r="M104" s="128">
        <v>5.51</v>
      </c>
      <c r="N104" s="124">
        <f t="shared" si="12"/>
        <v>110.19999999999999</v>
      </c>
      <c r="O104" s="128">
        <v>16.78</v>
      </c>
      <c r="P104" s="129">
        <f t="shared" si="13"/>
        <v>335.6</v>
      </c>
      <c r="Q104" s="124">
        <f t="shared" si="15"/>
        <v>445.8</v>
      </c>
    </row>
    <row r="105" spans="1:19" ht="27.6" customHeight="1" x14ac:dyDescent="0.3">
      <c r="A105" s="120">
        <v>14</v>
      </c>
      <c r="B105" s="131" t="s">
        <v>342</v>
      </c>
      <c r="C105" s="127" t="s">
        <v>343</v>
      </c>
      <c r="D105" s="116" t="s">
        <v>154</v>
      </c>
      <c r="E105" s="116">
        <v>1</v>
      </c>
      <c r="F105" s="120" t="s">
        <v>78</v>
      </c>
      <c r="G105" s="119"/>
      <c r="H105" s="22" t="s">
        <v>155</v>
      </c>
      <c r="I105" s="64" t="s">
        <v>611</v>
      </c>
      <c r="J105" s="23" t="s">
        <v>612</v>
      </c>
      <c r="K105" s="118" t="s">
        <v>81</v>
      </c>
      <c r="L105" s="119"/>
      <c r="M105" s="128">
        <v>242.05</v>
      </c>
      <c r="N105" s="124">
        <f t="shared" si="12"/>
        <v>242.05</v>
      </c>
      <c r="O105" s="65">
        <v>4133</v>
      </c>
      <c r="P105" s="125">
        <f t="shared" si="13"/>
        <v>4133</v>
      </c>
      <c r="Q105" s="124">
        <f t="shared" si="15"/>
        <v>4375.05</v>
      </c>
      <c r="S105" s="21" t="s">
        <v>616</v>
      </c>
    </row>
    <row r="106" spans="1:19" ht="27.6" customHeight="1" x14ac:dyDescent="0.3">
      <c r="A106" s="120">
        <v>15</v>
      </c>
      <c r="B106" s="131" t="s">
        <v>156</v>
      </c>
      <c r="C106" s="127" t="s">
        <v>157</v>
      </c>
      <c r="D106" s="116" t="s">
        <v>154</v>
      </c>
      <c r="E106" s="120">
        <f>(E105)*2</f>
        <v>2</v>
      </c>
      <c r="F106" s="120" t="s">
        <v>121</v>
      </c>
      <c r="G106" s="143"/>
      <c r="H106" s="22" t="s">
        <v>155</v>
      </c>
      <c r="I106" s="23" t="s">
        <v>603</v>
      </c>
      <c r="J106" s="23" t="s">
        <v>604</v>
      </c>
      <c r="K106" s="118" t="s">
        <v>81</v>
      </c>
      <c r="L106" s="144"/>
      <c r="M106" s="145">
        <v>11.33</v>
      </c>
      <c r="N106" s="124">
        <f t="shared" si="12"/>
        <v>22.66</v>
      </c>
      <c r="O106" s="145">
        <v>110.15</v>
      </c>
      <c r="P106" s="125">
        <f t="shared" si="13"/>
        <v>220.3</v>
      </c>
      <c r="Q106" s="124">
        <f t="shared" si="15"/>
        <v>242.96</v>
      </c>
    </row>
    <row r="107" spans="1:19" ht="27.6" customHeight="1" x14ac:dyDescent="0.3">
      <c r="A107" s="120">
        <v>16</v>
      </c>
      <c r="B107" s="127" t="s">
        <v>158</v>
      </c>
      <c r="C107" s="127" t="s">
        <v>344</v>
      </c>
      <c r="D107" s="120" t="s">
        <v>127</v>
      </c>
      <c r="E107" s="120">
        <f>E96*70*1.1</f>
        <v>3003.0000000000005</v>
      </c>
      <c r="F107" s="146" t="s">
        <v>144</v>
      </c>
      <c r="G107" s="147"/>
      <c r="H107" s="31" t="s">
        <v>128</v>
      </c>
      <c r="I107" s="30" t="s">
        <v>345</v>
      </c>
      <c r="J107" s="29" t="s">
        <v>344</v>
      </c>
      <c r="K107" s="118" t="s">
        <v>81</v>
      </c>
      <c r="L107" s="119"/>
      <c r="M107" s="128">
        <v>2.52</v>
      </c>
      <c r="N107" s="124">
        <f t="shared" si="12"/>
        <v>7567.5600000000013</v>
      </c>
      <c r="O107" s="128">
        <v>5.98</v>
      </c>
      <c r="P107" s="125">
        <f t="shared" si="13"/>
        <v>17957.940000000002</v>
      </c>
      <c r="Q107" s="124">
        <f t="shared" si="15"/>
        <v>25525.5</v>
      </c>
    </row>
    <row r="108" spans="1:19" ht="27.6" customHeight="1" x14ac:dyDescent="0.3">
      <c r="A108" s="120">
        <v>17</v>
      </c>
      <c r="B108" s="127" t="s">
        <v>346</v>
      </c>
      <c r="C108" s="127" t="s">
        <v>163</v>
      </c>
      <c r="D108" s="120" t="s">
        <v>127</v>
      </c>
      <c r="E108" s="120">
        <f>E97*70*1.1</f>
        <v>1078</v>
      </c>
      <c r="F108" s="146" t="s">
        <v>144</v>
      </c>
      <c r="G108" s="147"/>
      <c r="H108" s="22" t="s">
        <v>128</v>
      </c>
      <c r="I108" s="30" t="s">
        <v>164</v>
      </c>
      <c r="J108" s="30" t="s">
        <v>163</v>
      </c>
      <c r="K108" s="118" t="s">
        <v>81</v>
      </c>
      <c r="L108" s="119"/>
      <c r="M108" s="128">
        <v>2.52</v>
      </c>
      <c r="N108" s="124">
        <f t="shared" si="12"/>
        <v>2716.56</v>
      </c>
      <c r="O108" s="128">
        <v>8.9700000000000006</v>
      </c>
      <c r="P108" s="125">
        <f t="shared" si="13"/>
        <v>9669.66</v>
      </c>
      <c r="Q108" s="124">
        <f t="shared" si="15"/>
        <v>12386.22</v>
      </c>
    </row>
    <row r="109" spans="1:19" ht="27.6" customHeight="1" x14ac:dyDescent="0.3">
      <c r="A109" s="120">
        <v>18</v>
      </c>
      <c r="B109" s="131" t="s">
        <v>167</v>
      </c>
      <c r="C109" s="127" t="s">
        <v>168</v>
      </c>
      <c r="D109" s="116" t="s">
        <v>169</v>
      </c>
      <c r="E109" s="120">
        <f>E107+E108</f>
        <v>4081.0000000000005</v>
      </c>
      <c r="F109" s="146" t="s">
        <v>144</v>
      </c>
      <c r="G109" s="147"/>
      <c r="H109" s="22" t="s">
        <v>169</v>
      </c>
      <c r="I109" s="24" t="s">
        <v>170</v>
      </c>
      <c r="J109" s="24" t="s">
        <v>171</v>
      </c>
      <c r="K109" s="118" t="s">
        <v>81</v>
      </c>
      <c r="L109" s="119"/>
      <c r="M109" s="128">
        <v>9.7899999999999991</v>
      </c>
      <c r="N109" s="124">
        <f t="shared" si="12"/>
        <v>39952.99</v>
      </c>
      <c r="O109" s="128">
        <v>3.67</v>
      </c>
      <c r="P109" s="129">
        <f t="shared" si="13"/>
        <v>14977.270000000002</v>
      </c>
      <c r="Q109" s="124">
        <f t="shared" si="15"/>
        <v>54930.26</v>
      </c>
    </row>
    <row r="110" spans="1:19" ht="27.6" customHeight="1" x14ac:dyDescent="0.3">
      <c r="A110" s="136">
        <v>19</v>
      </c>
      <c r="B110" s="137" t="s">
        <v>172</v>
      </c>
      <c r="C110" s="137" t="s">
        <v>173</v>
      </c>
      <c r="D110" s="138"/>
      <c r="E110" s="136">
        <v>1</v>
      </c>
      <c r="F110" s="149" t="s">
        <v>174</v>
      </c>
      <c r="G110" s="147"/>
      <c r="H110" s="148"/>
      <c r="I110" s="147"/>
      <c r="J110" s="147"/>
      <c r="K110" s="118" t="s">
        <v>81</v>
      </c>
      <c r="L110" s="119"/>
      <c r="M110" s="128">
        <v>7180</v>
      </c>
      <c r="N110" s="124">
        <f t="shared" si="12"/>
        <v>7180</v>
      </c>
      <c r="O110" s="128">
        <v>10490</v>
      </c>
      <c r="P110" s="129">
        <f t="shared" si="13"/>
        <v>10490</v>
      </c>
      <c r="Q110" s="124">
        <f>ROUND((M110+O110)*E110,2)</f>
        <v>17670</v>
      </c>
    </row>
    <row r="111" spans="1:19" ht="27.6" customHeight="1" x14ac:dyDescent="0.3">
      <c r="A111" s="116"/>
      <c r="B111" s="150" t="s">
        <v>347</v>
      </c>
      <c r="C111" s="118"/>
      <c r="D111" s="120"/>
      <c r="E111" s="120"/>
      <c r="F111" s="146"/>
      <c r="G111" s="147"/>
      <c r="H111" s="148"/>
      <c r="I111" s="147"/>
      <c r="J111" s="147"/>
      <c r="K111" s="118"/>
      <c r="L111" s="119"/>
      <c r="M111" s="119"/>
      <c r="N111" s="124">
        <f t="shared" si="12"/>
        <v>0</v>
      </c>
      <c r="O111" s="119"/>
      <c r="P111" s="125">
        <f t="shared" si="13"/>
        <v>0</v>
      </c>
      <c r="Q111" s="147"/>
    </row>
    <row r="112" spans="1:19" ht="27.6" customHeight="1" x14ac:dyDescent="0.3">
      <c r="A112" s="116">
        <v>1</v>
      </c>
      <c r="B112" s="127" t="s">
        <v>348</v>
      </c>
      <c r="C112" s="118"/>
      <c r="D112" s="120"/>
      <c r="E112" s="120">
        <v>1</v>
      </c>
      <c r="F112" s="146" t="s">
        <v>174</v>
      </c>
      <c r="G112" s="147"/>
      <c r="H112" s="148" t="s">
        <v>94</v>
      </c>
      <c r="I112" s="147"/>
      <c r="J112" s="147"/>
      <c r="K112" s="118" t="s">
        <v>81</v>
      </c>
      <c r="L112" s="119"/>
      <c r="M112" s="128">
        <v>57872</v>
      </c>
      <c r="N112" s="124">
        <f t="shared" si="12"/>
        <v>57872</v>
      </c>
      <c r="O112" s="128">
        <v>0</v>
      </c>
      <c r="P112" s="125">
        <f t="shared" si="13"/>
        <v>0</v>
      </c>
      <c r="Q112" s="151">
        <f t="shared" ref="Q112" si="16">ROUND((M112+O112)*E112,2)</f>
        <v>57872</v>
      </c>
    </row>
    <row r="113" spans="1:17" ht="27.6" customHeight="1" x14ac:dyDescent="0.3">
      <c r="A113" s="116"/>
      <c r="B113" s="121"/>
      <c r="C113" s="118"/>
      <c r="D113" s="116"/>
      <c r="E113" s="147"/>
      <c r="F113" s="152"/>
      <c r="G113" s="147"/>
      <c r="H113" s="148"/>
      <c r="I113" s="147"/>
      <c r="J113" s="147"/>
      <c r="K113" s="119"/>
      <c r="L113" s="119"/>
      <c r="M113" s="119"/>
      <c r="N113" s="119"/>
      <c r="O113" s="119"/>
      <c r="P113" s="119"/>
      <c r="Q113" s="147"/>
    </row>
    <row r="115" spans="1:17" ht="27.6" customHeight="1" x14ac:dyDescent="0.3">
      <c r="M115" s="155" t="s">
        <v>349</v>
      </c>
      <c r="N115" s="155">
        <f>SUM(N7:N114)</f>
        <v>1686597.9700000004</v>
      </c>
      <c r="O115" s="155"/>
      <c r="P115" s="155">
        <f>SUM(P7:P114)</f>
        <v>6822941.089999998</v>
      </c>
      <c r="Q115" s="155">
        <f>SUM(N115:P115)</f>
        <v>8509539.0599999987</v>
      </c>
    </row>
    <row r="116" spans="1:17" ht="27.6" customHeight="1" x14ac:dyDescent="0.3">
      <c r="M116" s="155"/>
      <c r="N116" s="155"/>
      <c r="O116" s="155"/>
      <c r="P116" s="155"/>
      <c r="Q116" s="155"/>
    </row>
    <row r="117" spans="1:17" ht="27.6" customHeight="1" x14ac:dyDescent="0.3">
      <c r="M117" s="155" t="s">
        <v>350</v>
      </c>
      <c r="N117" s="155">
        <f>'[1]硬件-报价明细'!$N$115</f>
        <v>1187731</v>
      </c>
      <c r="O117" s="155"/>
      <c r="P117" s="155">
        <f>'[1]硬件-报价明细'!$P$115</f>
        <v>6669628</v>
      </c>
      <c r="Q117" s="155">
        <f>SUM(N117:P117)</f>
        <v>7857359</v>
      </c>
    </row>
    <row r="119" spans="1:17" ht="27.6" customHeight="1" x14ac:dyDescent="0.3">
      <c r="M119" s="155" t="s">
        <v>351</v>
      </c>
      <c r="N119" s="155">
        <f>N115-N117</f>
        <v>498866.97000000044</v>
      </c>
      <c r="O119" s="155"/>
      <c r="P119" s="155">
        <f>P115-P117</f>
        <v>153313.08999999799</v>
      </c>
      <c r="Q119" s="155">
        <f>Q115-Q117</f>
        <v>652180.05999999866</v>
      </c>
    </row>
  </sheetData>
  <autoFilter ref="A2:XFD" xr:uid="{00000000-0009-0000-0000-000003000000}"/>
  <mergeCells count="5">
    <mergeCell ref="A1:F1"/>
    <mergeCell ref="B4:B6"/>
    <mergeCell ref="C4:C6"/>
    <mergeCell ref="D4:D6"/>
    <mergeCell ref="A4:A6"/>
  </mergeCells>
  <phoneticPr fontId="2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86"/>
  <sheetViews>
    <sheetView topLeftCell="A70" zoomScale="85" zoomScaleNormal="85" workbookViewId="0">
      <selection activeCell="D88" sqref="D88"/>
    </sheetView>
  </sheetViews>
  <sheetFormatPr defaultColWidth="10" defaultRowHeight="16.5" customHeight="1" x14ac:dyDescent="0.3"/>
  <cols>
    <col min="1" max="1" width="18.26953125" customWidth="1"/>
    <col min="2" max="2" width="17.36328125"/>
    <col min="3" max="3" width="16.453125" style="1" customWidth="1"/>
    <col min="4" max="4" width="32.81640625" style="1" customWidth="1"/>
    <col min="5" max="5" width="12.453125" style="1"/>
    <col min="6" max="6" width="29.453125" style="2" customWidth="1"/>
    <col min="7" max="7" width="6.54296875"/>
  </cols>
  <sheetData>
    <row r="1" spans="1:7" ht="16.5" customHeight="1" x14ac:dyDescent="0.3">
      <c r="A1" s="3" t="s">
        <v>352</v>
      </c>
      <c r="B1" s="3" t="s">
        <v>353</v>
      </c>
      <c r="C1" s="4" t="s">
        <v>2</v>
      </c>
      <c r="D1" s="4" t="s">
        <v>354</v>
      </c>
      <c r="E1" s="4" t="s">
        <v>64</v>
      </c>
      <c r="F1" s="4" t="s">
        <v>355</v>
      </c>
      <c r="G1" s="3"/>
    </row>
    <row r="2" spans="1:7" ht="16.5" customHeight="1" x14ac:dyDescent="0.3">
      <c r="A2" s="100" t="s">
        <v>356</v>
      </c>
      <c r="B2" s="100" t="s">
        <v>357</v>
      </c>
      <c r="C2" s="6">
        <v>1</v>
      </c>
      <c r="D2" s="6" t="s">
        <v>358</v>
      </c>
      <c r="E2" s="6" t="s">
        <v>359</v>
      </c>
      <c r="F2" s="7" t="s">
        <v>360</v>
      </c>
      <c r="G2" s="8"/>
    </row>
    <row r="3" spans="1:7" ht="41.25" customHeight="1" x14ac:dyDescent="0.3">
      <c r="A3" s="101"/>
      <c r="B3" s="101"/>
      <c r="C3" s="6">
        <v>2</v>
      </c>
      <c r="D3" s="6" t="s">
        <v>361</v>
      </c>
      <c r="E3" s="6" t="s">
        <v>362</v>
      </c>
      <c r="F3" s="7" t="s">
        <v>363</v>
      </c>
      <c r="G3" s="8"/>
    </row>
    <row r="4" spans="1:7" ht="16.5" customHeight="1" x14ac:dyDescent="0.3">
      <c r="A4" s="101"/>
      <c r="B4" s="101"/>
      <c r="C4" s="6">
        <v>3</v>
      </c>
      <c r="D4" s="6" t="s">
        <v>364</v>
      </c>
      <c r="E4" s="6" t="s">
        <v>365</v>
      </c>
      <c r="F4" s="7" t="s">
        <v>366</v>
      </c>
      <c r="G4" s="8"/>
    </row>
    <row r="5" spans="1:7" ht="27.75" customHeight="1" x14ac:dyDescent="0.3">
      <c r="A5" s="101"/>
      <c r="B5" s="101"/>
      <c r="C5" s="6">
        <v>4</v>
      </c>
      <c r="D5" s="6" t="s">
        <v>367</v>
      </c>
      <c r="E5" s="6" t="s">
        <v>365</v>
      </c>
      <c r="F5" s="7" t="s">
        <v>368</v>
      </c>
      <c r="G5" s="8"/>
    </row>
    <row r="6" spans="1:7" ht="16.5" customHeight="1" x14ac:dyDescent="0.3">
      <c r="A6" s="101"/>
      <c r="B6" s="101"/>
      <c r="C6" s="6">
        <v>5</v>
      </c>
      <c r="D6" s="6" t="s">
        <v>369</v>
      </c>
      <c r="E6" s="6" t="s">
        <v>370</v>
      </c>
      <c r="F6" s="7" t="s">
        <v>371</v>
      </c>
      <c r="G6" s="8"/>
    </row>
    <row r="7" spans="1:7" ht="16.5" customHeight="1" x14ac:dyDescent="0.3">
      <c r="A7" s="101"/>
      <c r="B7" s="101"/>
      <c r="C7" s="6">
        <v>6</v>
      </c>
      <c r="D7" s="6" t="s">
        <v>372</v>
      </c>
      <c r="E7" s="6" t="s">
        <v>373</v>
      </c>
      <c r="F7" s="7" t="s">
        <v>374</v>
      </c>
      <c r="G7" s="8"/>
    </row>
    <row r="8" spans="1:7" ht="27.75" customHeight="1" x14ac:dyDescent="0.3">
      <c r="A8" s="101"/>
      <c r="B8" s="101"/>
      <c r="C8" s="6">
        <v>7</v>
      </c>
      <c r="D8" s="6" t="s">
        <v>375</v>
      </c>
      <c r="E8" s="6" t="s">
        <v>373</v>
      </c>
      <c r="F8" s="7" t="s">
        <v>376</v>
      </c>
      <c r="G8" s="8"/>
    </row>
    <row r="9" spans="1:7" ht="16.5" customHeight="1" x14ac:dyDescent="0.3">
      <c r="A9" s="101"/>
      <c r="B9" s="101"/>
      <c r="C9" s="6">
        <v>8</v>
      </c>
      <c r="D9" s="6" t="s">
        <v>377</v>
      </c>
      <c r="E9" s="6" t="s">
        <v>378</v>
      </c>
      <c r="F9" s="7" t="s">
        <v>379</v>
      </c>
      <c r="G9" s="8"/>
    </row>
    <row r="10" spans="1:7" ht="16.5" customHeight="1" x14ac:dyDescent="0.3">
      <c r="A10" s="101"/>
      <c r="B10" s="101"/>
      <c r="C10" s="6">
        <v>9</v>
      </c>
      <c r="D10" s="6" t="s">
        <v>380</v>
      </c>
      <c r="E10" s="6" t="s">
        <v>381</v>
      </c>
      <c r="F10" s="7" t="s">
        <v>382</v>
      </c>
      <c r="G10" s="8"/>
    </row>
    <row r="11" spans="1:7" ht="27.75" customHeight="1" x14ac:dyDescent="0.3">
      <c r="A11" s="101"/>
      <c r="B11" s="101"/>
      <c r="C11" s="6">
        <v>10</v>
      </c>
      <c r="D11" s="6" t="s">
        <v>383</v>
      </c>
      <c r="E11" s="6" t="s">
        <v>384</v>
      </c>
      <c r="F11" s="7" t="s">
        <v>385</v>
      </c>
      <c r="G11" s="8"/>
    </row>
    <row r="12" spans="1:7" ht="27.75" customHeight="1" x14ac:dyDescent="0.3">
      <c r="A12" s="101"/>
      <c r="B12" s="101"/>
      <c r="C12" s="6">
        <v>11</v>
      </c>
      <c r="D12" s="6" t="s">
        <v>386</v>
      </c>
      <c r="E12" s="6" t="s">
        <v>387</v>
      </c>
      <c r="F12" s="7" t="s">
        <v>388</v>
      </c>
      <c r="G12" s="8"/>
    </row>
    <row r="13" spans="1:7" ht="41.25" customHeight="1" x14ac:dyDescent="0.3">
      <c r="A13" s="101"/>
      <c r="B13" s="101"/>
      <c r="C13" s="6">
        <v>12</v>
      </c>
      <c r="D13" s="6" t="s">
        <v>389</v>
      </c>
      <c r="E13" s="6" t="s">
        <v>390</v>
      </c>
      <c r="F13" s="7" t="s">
        <v>391</v>
      </c>
      <c r="G13" s="8"/>
    </row>
    <row r="14" spans="1:7" ht="27.75" customHeight="1" x14ac:dyDescent="0.3">
      <c r="A14" s="101"/>
      <c r="B14" s="101"/>
      <c r="C14" s="6">
        <v>13</v>
      </c>
      <c r="D14" s="6" t="s">
        <v>392</v>
      </c>
      <c r="E14" s="6" t="s">
        <v>393</v>
      </c>
      <c r="F14" s="7" t="s">
        <v>394</v>
      </c>
      <c r="G14" s="8"/>
    </row>
    <row r="15" spans="1:7" ht="16.5" customHeight="1" x14ac:dyDescent="0.3">
      <c r="A15" s="101"/>
      <c r="B15" s="101"/>
      <c r="C15" s="6">
        <v>14</v>
      </c>
      <c r="D15" s="6" t="s">
        <v>395</v>
      </c>
      <c r="E15" s="6" t="s">
        <v>396</v>
      </c>
      <c r="F15" s="7" t="s">
        <v>397</v>
      </c>
      <c r="G15" s="8"/>
    </row>
    <row r="16" spans="1:7" ht="16.5" customHeight="1" x14ac:dyDescent="0.3">
      <c r="A16" s="101"/>
      <c r="B16" s="102"/>
      <c r="C16" s="6">
        <v>15</v>
      </c>
      <c r="D16" s="6" t="s">
        <v>398</v>
      </c>
      <c r="E16" s="6" t="s">
        <v>399</v>
      </c>
      <c r="F16" s="7" t="s">
        <v>400</v>
      </c>
      <c r="G16" s="8"/>
    </row>
    <row r="17" spans="1:7" ht="16.5" customHeight="1" x14ac:dyDescent="0.3">
      <c r="A17" s="101"/>
      <c r="B17" s="100" t="s">
        <v>401</v>
      </c>
      <c r="C17" s="6">
        <v>16</v>
      </c>
      <c r="D17" s="6" t="s">
        <v>402</v>
      </c>
      <c r="E17" s="6" t="s">
        <v>403</v>
      </c>
      <c r="F17" s="7" t="s">
        <v>404</v>
      </c>
      <c r="G17" s="8"/>
    </row>
    <row r="18" spans="1:7" ht="16.5" customHeight="1" x14ac:dyDescent="0.3">
      <c r="A18" s="101"/>
      <c r="B18" s="102"/>
      <c r="C18" s="6">
        <v>17</v>
      </c>
      <c r="D18" s="6" t="s">
        <v>405</v>
      </c>
      <c r="E18" s="6" t="s">
        <v>406</v>
      </c>
      <c r="F18" s="7" t="s">
        <v>407</v>
      </c>
      <c r="G18" s="8"/>
    </row>
    <row r="19" spans="1:7" ht="16.5" customHeight="1" x14ac:dyDescent="0.3">
      <c r="A19" s="101"/>
      <c r="B19" s="100" t="s">
        <v>408</v>
      </c>
      <c r="C19" s="6">
        <v>18</v>
      </c>
      <c r="D19" s="6" t="s">
        <v>409</v>
      </c>
      <c r="E19" s="6" t="s">
        <v>410</v>
      </c>
      <c r="F19" s="7" t="s">
        <v>411</v>
      </c>
      <c r="G19" s="8"/>
    </row>
    <row r="20" spans="1:7" ht="16.5" customHeight="1" x14ac:dyDescent="0.3">
      <c r="A20" s="101"/>
      <c r="B20" s="102"/>
      <c r="C20" s="6">
        <v>19</v>
      </c>
      <c r="D20" s="6" t="s">
        <v>412</v>
      </c>
      <c r="E20" s="6" t="s">
        <v>413</v>
      </c>
      <c r="F20" s="7" t="s">
        <v>414</v>
      </c>
      <c r="G20" s="8"/>
    </row>
    <row r="21" spans="1:7" ht="16.5" customHeight="1" x14ac:dyDescent="0.3">
      <c r="A21" s="101"/>
      <c r="B21" s="8" t="s">
        <v>415</v>
      </c>
      <c r="C21" s="6"/>
      <c r="D21" s="6"/>
      <c r="E21" s="6"/>
      <c r="F21" s="7" t="s">
        <v>414</v>
      </c>
      <c r="G21" s="8"/>
    </row>
    <row r="22" spans="1:7" ht="16.5" customHeight="1" x14ac:dyDescent="0.3">
      <c r="A22" s="101"/>
      <c r="B22" s="100" t="s">
        <v>416</v>
      </c>
      <c r="C22" s="6">
        <v>20</v>
      </c>
      <c r="D22" s="6" t="s">
        <v>417</v>
      </c>
      <c r="E22" s="6"/>
      <c r="F22" s="7" t="s">
        <v>418</v>
      </c>
      <c r="G22" s="8"/>
    </row>
    <row r="23" spans="1:7" ht="16.5" customHeight="1" x14ac:dyDescent="0.3">
      <c r="A23" s="101"/>
      <c r="B23" s="101"/>
      <c r="C23" s="6">
        <v>21</v>
      </c>
      <c r="D23" s="6" t="s">
        <v>419</v>
      </c>
      <c r="E23" s="6" t="s">
        <v>420</v>
      </c>
      <c r="F23" s="7" t="s">
        <v>421</v>
      </c>
      <c r="G23" s="8"/>
    </row>
    <row r="24" spans="1:7" ht="16.5" customHeight="1" x14ac:dyDescent="0.3">
      <c r="A24" s="101"/>
      <c r="B24" s="102"/>
      <c r="C24" s="6">
        <v>22</v>
      </c>
      <c r="D24" s="6" t="s">
        <v>422</v>
      </c>
      <c r="E24" s="6"/>
      <c r="F24" s="7" t="s">
        <v>423</v>
      </c>
      <c r="G24" s="8"/>
    </row>
    <row r="25" spans="1:7" ht="16.5" customHeight="1" x14ac:dyDescent="0.3">
      <c r="A25" s="101"/>
      <c r="B25" s="100" t="s">
        <v>424</v>
      </c>
      <c r="C25" s="6">
        <v>23</v>
      </c>
      <c r="D25" s="6" t="s">
        <v>425</v>
      </c>
      <c r="E25" s="6" t="s">
        <v>396</v>
      </c>
      <c r="F25" s="7" t="s">
        <v>426</v>
      </c>
      <c r="G25" s="8"/>
    </row>
    <row r="26" spans="1:7" ht="27.75" customHeight="1" x14ac:dyDescent="0.3">
      <c r="A26" s="101"/>
      <c r="B26" s="102"/>
      <c r="C26" s="6">
        <v>24</v>
      </c>
      <c r="D26" s="6" t="s">
        <v>427</v>
      </c>
      <c r="E26" s="6" t="s">
        <v>428</v>
      </c>
      <c r="F26" s="7" t="s">
        <v>429</v>
      </c>
      <c r="G26" s="8"/>
    </row>
    <row r="27" spans="1:7" ht="27.75" customHeight="1" x14ac:dyDescent="0.3">
      <c r="A27" s="101"/>
      <c r="B27" s="8" t="s">
        <v>430</v>
      </c>
      <c r="C27" s="6"/>
      <c r="D27" s="6"/>
      <c r="E27" s="6"/>
      <c r="F27" s="7" t="s">
        <v>431</v>
      </c>
      <c r="G27" s="8"/>
    </row>
    <row r="28" spans="1:7" ht="27.75" customHeight="1" x14ac:dyDescent="0.3">
      <c r="A28" s="101"/>
      <c r="B28" s="100" t="s">
        <v>432</v>
      </c>
      <c r="C28" s="6">
        <v>25</v>
      </c>
      <c r="D28" s="6" t="s">
        <v>433</v>
      </c>
      <c r="E28" s="6"/>
      <c r="F28" s="7" t="s">
        <v>434</v>
      </c>
      <c r="G28" s="8"/>
    </row>
    <row r="29" spans="1:7" ht="27.75" customHeight="1" x14ac:dyDescent="0.3">
      <c r="A29" s="101"/>
      <c r="B29" s="101"/>
      <c r="C29" s="6">
        <v>26</v>
      </c>
      <c r="D29" s="6" t="s">
        <v>435</v>
      </c>
      <c r="E29" s="6"/>
      <c r="F29" s="7" t="s">
        <v>436</v>
      </c>
      <c r="G29" s="8"/>
    </row>
    <row r="30" spans="1:7" ht="16.5" customHeight="1" x14ac:dyDescent="0.3">
      <c r="A30" s="101"/>
      <c r="B30" s="101"/>
      <c r="C30" s="6">
        <v>27</v>
      </c>
      <c r="D30" s="6" t="s">
        <v>437</v>
      </c>
      <c r="E30" s="6"/>
      <c r="F30" s="7" t="s">
        <v>438</v>
      </c>
      <c r="G30" s="8"/>
    </row>
    <row r="31" spans="1:7" ht="16.5" customHeight="1" x14ac:dyDescent="0.3">
      <c r="A31" s="101"/>
      <c r="B31" s="101"/>
      <c r="C31" s="6"/>
      <c r="D31" s="6" t="s">
        <v>439</v>
      </c>
      <c r="E31" s="6"/>
      <c r="F31" s="7" t="s">
        <v>440</v>
      </c>
      <c r="G31" s="8"/>
    </row>
    <row r="32" spans="1:7" ht="16.5" customHeight="1" x14ac:dyDescent="0.3">
      <c r="A32" s="101"/>
      <c r="B32" s="101"/>
      <c r="C32" s="6"/>
      <c r="D32" s="6" t="s">
        <v>441</v>
      </c>
      <c r="E32" s="6"/>
      <c r="F32" s="7">
        <v>8</v>
      </c>
      <c r="G32" s="8"/>
    </row>
    <row r="33" spans="1:7" ht="16.5" customHeight="1" x14ac:dyDescent="0.3">
      <c r="A33" s="101"/>
      <c r="B33" s="101"/>
      <c r="C33" s="6"/>
      <c r="D33" s="6" t="s">
        <v>442</v>
      </c>
      <c r="E33" s="6"/>
      <c r="F33" s="7">
        <v>15</v>
      </c>
      <c r="G33" s="8"/>
    </row>
    <row r="34" spans="1:7" ht="16.5" customHeight="1" x14ac:dyDescent="0.3">
      <c r="A34" s="101"/>
      <c r="B34" s="101"/>
      <c r="C34" s="6"/>
      <c r="D34" s="6" t="s">
        <v>443</v>
      </c>
      <c r="E34" s="6"/>
      <c r="F34" s="7" t="s">
        <v>444</v>
      </c>
      <c r="G34" s="8"/>
    </row>
    <row r="35" spans="1:7" ht="16.5" customHeight="1" x14ac:dyDescent="0.3">
      <c r="A35" s="101"/>
      <c r="B35" s="102"/>
      <c r="C35" s="6"/>
      <c r="D35" s="6" t="s">
        <v>445</v>
      </c>
      <c r="E35" s="6"/>
      <c r="F35" s="7" t="s">
        <v>446</v>
      </c>
      <c r="G35" s="8"/>
    </row>
    <row r="36" spans="1:7" ht="27.75" customHeight="1" x14ac:dyDescent="0.3">
      <c r="A36" s="102"/>
      <c r="B36" s="8" t="s">
        <v>447</v>
      </c>
      <c r="C36" s="6">
        <v>28</v>
      </c>
      <c r="D36" s="6" t="s">
        <v>246</v>
      </c>
      <c r="E36" s="6"/>
      <c r="F36" s="7" t="s">
        <v>448</v>
      </c>
      <c r="G36" s="8"/>
    </row>
    <row r="37" spans="1:7" ht="16.5" customHeight="1" x14ac:dyDescent="0.3">
      <c r="A37" s="100" t="s">
        <v>16</v>
      </c>
      <c r="B37" s="100" t="s">
        <v>449</v>
      </c>
      <c r="C37" s="6">
        <v>29</v>
      </c>
      <c r="D37" s="6" t="s">
        <v>450</v>
      </c>
      <c r="E37" s="6"/>
      <c r="F37" s="7" t="s">
        <v>451</v>
      </c>
      <c r="G37" s="8"/>
    </row>
    <row r="38" spans="1:7" ht="27.75" customHeight="1" x14ac:dyDescent="0.3">
      <c r="A38" s="101"/>
      <c r="B38" s="101"/>
      <c r="C38" s="6">
        <v>30</v>
      </c>
      <c r="D38" s="6" t="s">
        <v>452</v>
      </c>
      <c r="E38" s="6"/>
      <c r="F38" s="7" t="s">
        <v>453</v>
      </c>
      <c r="G38" s="8"/>
    </row>
    <row r="39" spans="1:7" ht="27.75" customHeight="1" x14ac:dyDescent="0.3">
      <c r="A39" s="101"/>
      <c r="B39" s="101"/>
      <c r="C39" s="6">
        <v>31</v>
      </c>
      <c r="D39" s="6" t="s">
        <v>454</v>
      </c>
      <c r="E39" s="6"/>
      <c r="F39" s="7" t="s">
        <v>455</v>
      </c>
      <c r="G39" s="8"/>
    </row>
    <row r="40" spans="1:7" ht="16.5" customHeight="1" x14ac:dyDescent="0.3">
      <c r="A40" s="101"/>
      <c r="B40" s="100" t="s">
        <v>456</v>
      </c>
      <c r="C40" s="6">
        <v>32</v>
      </c>
      <c r="D40" s="6" t="s">
        <v>457</v>
      </c>
      <c r="E40" s="6"/>
      <c r="F40" s="7" t="s">
        <v>458</v>
      </c>
      <c r="G40" s="8"/>
    </row>
    <row r="41" spans="1:7" ht="16.5" customHeight="1" x14ac:dyDescent="0.3">
      <c r="A41" s="101"/>
      <c r="B41" s="101"/>
      <c r="C41" s="6">
        <v>33</v>
      </c>
      <c r="D41" s="6" t="s">
        <v>459</v>
      </c>
      <c r="E41" s="6"/>
      <c r="F41" s="7" t="s">
        <v>460</v>
      </c>
      <c r="G41" s="8"/>
    </row>
    <row r="42" spans="1:7" ht="16.5" customHeight="1" x14ac:dyDescent="0.3">
      <c r="A42" s="101"/>
      <c r="B42" s="102"/>
      <c r="C42" s="6">
        <v>34</v>
      </c>
      <c r="D42" s="6" t="s">
        <v>233</v>
      </c>
      <c r="E42" s="6"/>
      <c r="F42" s="7" t="s">
        <v>461</v>
      </c>
      <c r="G42" s="8"/>
    </row>
    <row r="43" spans="1:7" ht="16.5" customHeight="1" x14ac:dyDescent="0.3">
      <c r="A43" s="102"/>
      <c r="B43" s="8" t="s">
        <v>462</v>
      </c>
      <c r="C43" s="6">
        <v>35</v>
      </c>
      <c r="D43" s="6" t="s">
        <v>463</v>
      </c>
      <c r="E43" s="6"/>
      <c r="F43" s="7" t="s">
        <v>464</v>
      </c>
      <c r="G43" s="8"/>
    </row>
    <row r="44" spans="1:7" ht="16.5" customHeight="1" x14ac:dyDescent="0.3">
      <c r="A44" s="5"/>
      <c r="B44" s="8"/>
      <c r="C44" s="6"/>
      <c r="D44" s="6"/>
      <c r="E44" s="6"/>
      <c r="F44" s="7"/>
      <c r="G44" s="8"/>
    </row>
    <row r="45" spans="1:7" ht="16.5" customHeight="1" x14ac:dyDescent="0.3">
      <c r="A45" s="9" t="s">
        <v>465</v>
      </c>
      <c r="B45" s="9" t="s">
        <v>466</v>
      </c>
      <c r="C45" s="10" t="s">
        <v>467</v>
      </c>
      <c r="D45" s="10" t="s">
        <v>468</v>
      </c>
      <c r="E45" s="10"/>
      <c r="F45" s="11" t="s">
        <v>469</v>
      </c>
      <c r="G45" s="9" t="s">
        <v>470</v>
      </c>
    </row>
    <row r="46" spans="1:7" ht="27.75" customHeight="1" x14ac:dyDescent="0.3">
      <c r="A46" s="12" t="s">
        <v>471</v>
      </c>
      <c r="B46" s="12" t="s">
        <v>472</v>
      </c>
      <c r="C46" s="13" t="s">
        <v>473</v>
      </c>
      <c r="D46" s="13" t="s">
        <v>474</v>
      </c>
      <c r="E46" s="13"/>
      <c r="F46" s="14">
        <v>24</v>
      </c>
      <c r="G46" s="12" t="s">
        <v>475</v>
      </c>
    </row>
    <row r="47" spans="1:7" ht="27.75" customHeight="1" x14ac:dyDescent="0.3">
      <c r="A47" s="12" t="s">
        <v>471</v>
      </c>
      <c r="B47" s="12" t="s">
        <v>472</v>
      </c>
      <c r="C47" s="13" t="s">
        <v>476</v>
      </c>
      <c r="D47" s="13" t="s">
        <v>477</v>
      </c>
      <c r="E47" s="13"/>
      <c r="F47" s="14">
        <v>16</v>
      </c>
      <c r="G47" s="12" t="s">
        <v>475</v>
      </c>
    </row>
    <row r="48" spans="1:7" ht="27.75" customHeight="1" x14ac:dyDescent="0.3">
      <c r="A48" s="12" t="s">
        <v>471</v>
      </c>
      <c r="B48" s="12" t="s">
        <v>472</v>
      </c>
      <c r="C48" s="13" t="s">
        <v>478</v>
      </c>
      <c r="D48" s="13" t="s">
        <v>479</v>
      </c>
      <c r="E48" s="13"/>
      <c r="F48" s="14">
        <v>0</v>
      </c>
      <c r="G48" s="12" t="s">
        <v>480</v>
      </c>
    </row>
    <row r="49" spans="1:7" ht="27.75" customHeight="1" x14ac:dyDescent="0.3">
      <c r="A49" s="12" t="s">
        <v>471</v>
      </c>
      <c r="B49" s="12" t="s">
        <v>472</v>
      </c>
      <c r="C49" s="13" t="s">
        <v>481</v>
      </c>
      <c r="D49" s="13" t="s">
        <v>482</v>
      </c>
      <c r="E49" s="13"/>
      <c r="F49" s="14">
        <v>1</v>
      </c>
      <c r="G49" s="12" t="s">
        <v>480</v>
      </c>
    </row>
    <row r="50" spans="1:7" ht="27.75" customHeight="1" x14ac:dyDescent="0.3">
      <c r="A50" s="12" t="s">
        <v>471</v>
      </c>
      <c r="B50" s="12" t="s">
        <v>472</v>
      </c>
      <c r="C50" s="13" t="s">
        <v>483</v>
      </c>
      <c r="D50" s="13" t="s">
        <v>484</v>
      </c>
      <c r="E50" s="13"/>
      <c r="F50" s="14">
        <v>2</v>
      </c>
      <c r="G50" s="12" t="s">
        <v>480</v>
      </c>
    </row>
    <row r="51" spans="1:7" ht="27.75" customHeight="1" x14ac:dyDescent="0.3">
      <c r="A51" s="12" t="s">
        <v>471</v>
      </c>
      <c r="B51" s="12" t="s">
        <v>485</v>
      </c>
      <c r="C51" s="13" t="s">
        <v>486</v>
      </c>
      <c r="D51" s="13" t="s">
        <v>487</v>
      </c>
      <c r="E51" s="13"/>
      <c r="F51" s="14">
        <v>1</v>
      </c>
      <c r="G51" s="12" t="s">
        <v>480</v>
      </c>
    </row>
    <row r="52" spans="1:7" ht="27.75" customHeight="1" x14ac:dyDescent="0.3">
      <c r="A52" s="12" t="s">
        <v>471</v>
      </c>
      <c r="B52" s="12" t="s">
        <v>485</v>
      </c>
      <c r="C52" s="13" t="s">
        <v>488</v>
      </c>
      <c r="D52" s="13" t="s">
        <v>489</v>
      </c>
      <c r="E52" s="13"/>
      <c r="F52" s="14">
        <v>1</v>
      </c>
      <c r="G52" s="12" t="s">
        <v>480</v>
      </c>
    </row>
    <row r="53" spans="1:7" ht="27.75" customHeight="1" x14ac:dyDescent="0.3">
      <c r="A53" s="12" t="s">
        <v>471</v>
      </c>
      <c r="B53" s="12" t="s">
        <v>485</v>
      </c>
      <c r="C53" s="13" t="s">
        <v>490</v>
      </c>
      <c r="D53" s="13" t="s">
        <v>491</v>
      </c>
      <c r="E53" s="13"/>
      <c r="F53" s="14">
        <v>0</v>
      </c>
      <c r="G53" s="12" t="s">
        <v>475</v>
      </c>
    </row>
    <row r="54" spans="1:7" ht="27.75" customHeight="1" x14ac:dyDescent="0.3">
      <c r="A54" s="12" t="s">
        <v>471</v>
      </c>
      <c r="B54" s="12" t="s">
        <v>492</v>
      </c>
      <c r="C54" s="13" t="s">
        <v>493</v>
      </c>
      <c r="D54" s="13" t="s">
        <v>494</v>
      </c>
      <c r="E54" s="13"/>
      <c r="F54" s="14">
        <v>1</v>
      </c>
      <c r="G54" s="12" t="s">
        <v>475</v>
      </c>
    </row>
    <row r="55" spans="1:7" ht="27.75" customHeight="1" x14ac:dyDescent="0.3">
      <c r="A55" s="12" t="s">
        <v>471</v>
      </c>
      <c r="B55" s="12" t="s">
        <v>492</v>
      </c>
      <c r="C55" s="13" t="s">
        <v>495</v>
      </c>
      <c r="D55" s="13" t="s">
        <v>496</v>
      </c>
      <c r="E55" s="13"/>
      <c r="F55" s="14">
        <v>0</v>
      </c>
      <c r="G55" s="12" t="s">
        <v>475</v>
      </c>
    </row>
    <row r="56" spans="1:7" ht="16.5" customHeight="1" x14ac:dyDescent="0.3">
      <c r="A56" s="12" t="s">
        <v>471</v>
      </c>
      <c r="B56" s="12" t="s">
        <v>497</v>
      </c>
      <c r="C56" s="13" t="s">
        <v>498</v>
      </c>
      <c r="D56" s="13" t="s">
        <v>499</v>
      </c>
      <c r="E56" s="13"/>
      <c r="F56" s="14" t="s">
        <v>413</v>
      </c>
      <c r="G56" s="12" t="s">
        <v>480</v>
      </c>
    </row>
    <row r="57" spans="1:7" ht="41.25" customHeight="1" x14ac:dyDescent="0.3">
      <c r="A57" s="12" t="s">
        <v>471</v>
      </c>
      <c r="B57" s="12" t="s">
        <v>497</v>
      </c>
      <c r="C57" s="13" t="s">
        <v>500</v>
      </c>
      <c r="D57" s="13" t="s">
        <v>501</v>
      </c>
      <c r="E57" s="13"/>
      <c r="F57" s="14">
        <v>4</v>
      </c>
      <c r="G57" s="12" t="s">
        <v>475</v>
      </c>
    </row>
    <row r="58" spans="1:7" ht="41.25" customHeight="1" x14ac:dyDescent="0.3">
      <c r="A58" s="12" t="s">
        <v>471</v>
      </c>
      <c r="B58" s="12" t="s">
        <v>497</v>
      </c>
      <c r="C58" s="13" t="s">
        <v>502</v>
      </c>
      <c r="D58" s="13" t="s">
        <v>501</v>
      </c>
      <c r="E58" s="13"/>
      <c r="F58" s="14">
        <v>3</v>
      </c>
      <c r="G58" s="12" t="s">
        <v>475</v>
      </c>
    </row>
    <row r="59" spans="1:7" ht="41.25" customHeight="1" x14ac:dyDescent="0.3">
      <c r="A59" s="12" t="s">
        <v>471</v>
      </c>
      <c r="B59" s="12" t="s">
        <v>497</v>
      </c>
      <c r="C59" s="13" t="s">
        <v>503</v>
      </c>
      <c r="D59" s="13" t="s">
        <v>504</v>
      </c>
      <c r="E59" s="13"/>
      <c r="F59" s="14">
        <v>0</v>
      </c>
      <c r="G59" s="12" t="s">
        <v>480</v>
      </c>
    </row>
    <row r="60" spans="1:7" ht="41.25" customHeight="1" x14ac:dyDescent="0.3">
      <c r="A60" s="12" t="s">
        <v>471</v>
      </c>
      <c r="B60" s="12" t="s">
        <v>505</v>
      </c>
      <c r="C60" s="13" t="s">
        <v>506</v>
      </c>
      <c r="D60" s="13" t="s">
        <v>507</v>
      </c>
      <c r="E60" s="13"/>
      <c r="F60" s="14">
        <v>2</v>
      </c>
      <c r="G60" s="12" t="s">
        <v>475</v>
      </c>
    </row>
    <row r="61" spans="1:7" ht="16.5" customHeight="1" x14ac:dyDescent="0.3">
      <c r="A61" s="12" t="s">
        <v>471</v>
      </c>
      <c r="B61" s="12" t="s">
        <v>508</v>
      </c>
      <c r="C61" s="13" t="s">
        <v>509</v>
      </c>
      <c r="D61" s="13" t="s">
        <v>510</v>
      </c>
      <c r="E61" s="13"/>
      <c r="F61" s="14">
        <v>0</v>
      </c>
      <c r="G61" s="12" t="s">
        <v>480</v>
      </c>
    </row>
    <row r="62" spans="1:7" ht="27.75" customHeight="1" x14ac:dyDescent="0.3">
      <c r="A62" s="12" t="s">
        <v>471</v>
      </c>
      <c r="B62" s="12" t="s">
        <v>511</v>
      </c>
      <c r="C62" s="13" t="s">
        <v>512</v>
      </c>
      <c r="D62" s="13" t="s">
        <v>513</v>
      </c>
      <c r="E62" s="13"/>
      <c r="F62" s="14">
        <v>0</v>
      </c>
      <c r="G62" s="12" t="s">
        <v>480</v>
      </c>
    </row>
    <row r="63" spans="1:7" ht="27.75" customHeight="1" x14ac:dyDescent="0.3">
      <c r="A63" s="12" t="s">
        <v>471</v>
      </c>
      <c r="B63" s="12" t="s">
        <v>485</v>
      </c>
      <c r="C63" s="13" t="s">
        <v>514</v>
      </c>
      <c r="D63" s="13" t="s">
        <v>515</v>
      </c>
      <c r="E63" s="13"/>
      <c r="F63" s="14">
        <v>0</v>
      </c>
      <c r="G63" s="12" t="s">
        <v>480</v>
      </c>
    </row>
    <row r="64" spans="1:7" ht="27.75" customHeight="1" x14ac:dyDescent="0.3">
      <c r="A64" s="12" t="s">
        <v>471</v>
      </c>
      <c r="B64" s="12" t="s">
        <v>516</v>
      </c>
      <c r="C64" s="13" t="s">
        <v>517</v>
      </c>
      <c r="D64" s="13" t="s">
        <v>518</v>
      </c>
      <c r="E64" s="13"/>
      <c r="F64" s="14">
        <v>34</v>
      </c>
      <c r="G64" s="12" t="s">
        <v>480</v>
      </c>
    </row>
    <row r="65" spans="1:7" ht="27.75" customHeight="1" x14ac:dyDescent="0.3">
      <c r="A65" s="12" t="s">
        <v>471</v>
      </c>
      <c r="B65" s="12" t="s">
        <v>516</v>
      </c>
      <c r="C65" s="13" t="s">
        <v>517</v>
      </c>
      <c r="D65" s="13" t="s">
        <v>519</v>
      </c>
      <c r="E65" s="13"/>
      <c r="F65" s="14">
        <v>26</v>
      </c>
      <c r="G65" s="12" t="s">
        <v>480</v>
      </c>
    </row>
    <row r="66" spans="1:7" ht="16.5" customHeight="1" x14ac:dyDescent="0.3">
      <c r="A66" s="12" t="s">
        <v>471</v>
      </c>
      <c r="B66" s="12" t="s">
        <v>520</v>
      </c>
      <c r="C66" s="13" t="s">
        <v>521</v>
      </c>
      <c r="D66" s="13" t="s">
        <v>522</v>
      </c>
      <c r="E66" s="13"/>
      <c r="F66" s="14">
        <v>1</v>
      </c>
      <c r="G66" s="12" t="s">
        <v>480</v>
      </c>
    </row>
    <row r="67" spans="1:7" ht="16.5" customHeight="1" x14ac:dyDescent="0.3">
      <c r="A67" s="12" t="s">
        <v>471</v>
      </c>
      <c r="B67" s="12" t="s">
        <v>520</v>
      </c>
      <c r="C67" s="13" t="s">
        <v>523</v>
      </c>
      <c r="D67" s="13" t="s">
        <v>524</v>
      </c>
      <c r="E67" s="13"/>
      <c r="F67" s="14">
        <v>1</v>
      </c>
      <c r="G67" s="12" t="s">
        <v>480</v>
      </c>
    </row>
    <row r="68" spans="1:7" ht="16.5" customHeight="1" x14ac:dyDescent="0.3">
      <c r="A68" s="12" t="s">
        <v>471</v>
      </c>
      <c r="B68" s="12" t="s">
        <v>520</v>
      </c>
      <c r="C68" s="13" t="s">
        <v>525</v>
      </c>
      <c r="D68" s="13" t="s">
        <v>526</v>
      </c>
      <c r="E68" s="13"/>
      <c r="F68" s="14">
        <v>3</v>
      </c>
      <c r="G68" s="12" t="s">
        <v>480</v>
      </c>
    </row>
    <row r="69" spans="1:7" ht="16.5" customHeight="1" x14ac:dyDescent="0.3">
      <c r="A69" s="12" t="s">
        <v>471</v>
      </c>
      <c r="B69" s="12" t="s">
        <v>520</v>
      </c>
      <c r="C69" s="13" t="s">
        <v>527</v>
      </c>
      <c r="D69" s="13" t="s">
        <v>528</v>
      </c>
      <c r="E69" s="13"/>
      <c r="F69" s="14">
        <v>3</v>
      </c>
      <c r="G69" s="12" t="s">
        <v>480</v>
      </c>
    </row>
    <row r="70" spans="1:7" ht="16.5" customHeight="1" x14ac:dyDescent="0.3">
      <c r="A70" s="12" t="s">
        <v>471</v>
      </c>
      <c r="B70" s="12" t="s">
        <v>520</v>
      </c>
      <c r="C70" s="13" t="s">
        <v>529</v>
      </c>
      <c r="D70" s="13" t="s">
        <v>491</v>
      </c>
      <c r="E70" s="13"/>
      <c r="F70" s="14">
        <v>3</v>
      </c>
      <c r="G70" s="12" t="s">
        <v>475</v>
      </c>
    </row>
    <row r="71" spans="1:7" ht="41.25" customHeight="1" x14ac:dyDescent="0.3">
      <c r="A71" s="12" t="s">
        <v>471</v>
      </c>
      <c r="B71" s="12" t="s">
        <v>530</v>
      </c>
      <c r="C71" s="13" t="s">
        <v>531</v>
      </c>
      <c r="D71" s="13" t="s">
        <v>532</v>
      </c>
      <c r="E71" s="13"/>
      <c r="F71" s="14">
        <v>311</v>
      </c>
      <c r="G71" s="12" t="s">
        <v>475</v>
      </c>
    </row>
    <row r="72" spans="1:7" ht="16.5" customHeight="1" x14ac:dyDescent="0.3">
      <c r="A72" s="8"/>
      <c r="B72" s="8"/>
      <c r="C72" s="6"/>
      <c r="D72" s="6"/>
      <c r="E72" s="6"/>
      <c r="F72" s="7"/>
      <c r="G72" s="8"/>
    </row>
    <row r="73" spans="1:7" ht="16.5" customHeight="1" x14ac:dyDescent="0.3">
      <c r="A73" s="15" t="s">
        <v>465</v>
      </c>
      <c r="B73" s="15" t="s">
        <v>466</v>
      </c>
      <c r="C73" s="16" t="s">
        <v>467</v>
      </c>
      <c r="D73" s="16" t="s">
        <v>468</v>
      </c>
      <c r="E73" s="16"/>
      <c r="F73" s="16" t="s">
        <v>469</v>
      </c>
      <c r="G73" s="15" t="s">
        <v>470</v>
      </c>
    </row>
    <row r="74" spans="1:7" ht="16.5" customHeight="1" x14ac:dyDescent="0.3">
      <c r="A74" s="17" t="s">
        <v>533</v>
      </c>
      <c r="B74" s="17" t="s">
        <v>531</v>
      </c>
      <c r="C74" s="18" t="s">
        <v>534</v>
      </c>
      <c r="D74" s="18" t="s">
        <v>535</v>
      </c>
      <c r="E74" s="18"/>
      <c r="F74" s="19">
        <v>311</v>
      </c>
      <c r="G74" s="17" t="s">
        <v>536</v>
      </c>
    </row>
    <row r="75" spans="1:7" ht="16.5" customHeight="1" x14ac:dyDescent="0.3">
      <c r="A75" s="17" t="s">
        <v>449</v>
      </c>
      <c r="B75" s="17" t="s">
        <v>537</v>
      </c>
      <c r="C75" s="18" t="s">
        <v>534</v>
      </c>
      <c r="D75" s="18" t="s">
        <v>538</v>
      </c>
      <c r="E75" s="18"/>
      <c r="F75" s="19">
        <v>92</v>
      </c>
      <c r="G75" s="17" t="s">
        <v>480</v>
      </c>
    </row>
    <row r="76" spans="1:7" ht="16.5" customHeight="1" x14ac:dyDescent="0.3">
      <c r="A76" s="17" t="s">
        <v>539</v>
      </c>
      <c r="B76" s="17" t="s">
        <v>540</v>
      </c>
      <c r="C76" s="18" t="s">
        <v>534</v>
      </c>
      <c r="D76" s="18" t="s">
        <v>541</v>
      </c>
      <c r="E76" s="18"/>
      <c r="F76" s="19">
        <v>0</v>
      </c>
      <c r="G76" s="17" t="s">
        <v>475</v>
      </c>
    </row>
    <row r="77" spans="1:7" ht="16.5" customHeight="1" x14ac:dyDescent="0.3">
      <c r="A77" s="17" t="s">
        <v>542</v>
      </c>
      <c r="B77" s="17" t="s">
        <v>543</v>
      </c>
      <c r="C77" s="18" t="s">
        <v>534</v>
      </c>
      <c r="D77" s="18" t="s">
        <v>435</v>
      </c>
      <c r="E77" s="18"/>
      <c r="F77" s="19">
        <v>150</v>
      </c>
      <c r="G77" s="17" t="s">
        <v>536</v>
      </c>
    </row>
    <row r="78" spans="1:7" ht="16.5" customHeight="1" x14ac:dyDescent="0.3">
      <c r="A78" s="17" t="s">
        <v>544</v>
      </c>
      <c r="B78" s="17" t="s">
        <v>545</v>
      </c>
      <c r="C78" s="18" t="s">
        <v>546</v>
      </c>
      <c r="D78" s="18" t="s">
        <v>547</v>
      </c>
      <c r="E78" s="18"/>
      <c r="F78" s="19">
        <v>7</v>
      </c>
      <c r="G78" s="17" t="s">
        <v>475</v>
      </c>
    </row>
    <row r="79" spans="1:7" ht="16.5" customHeight="1" x14ac:dyDescent="0.3">
      <c r="A79" s="17"/>
      <c r="B79" s="17" t="s">
        <v>548</v>
      </c>
      <c r="C79" s="18" t="s">
        <v>549</v>
      </c>
      <c r="D79" s="18" t="s">
        <v>550</v>
      </c>
      <c r="E79" s="18"/>
      <c r="F79" s="19">
        <v>6</v>
      </c>
      <c r="G79" s="17" t="s">
        <v>475</v>
      </c>
    </row>
    <row r="80" spans="1:7" ht="16.5" customHeight="1" x14ac:dyDescent="0.3">
      <c r="A80" s="17" t="s">
        <v>551</v>
      </c>
      <c r="B80" s="17" t="s">
        <v>545</v>
      </c>
      <c r="C80" s="18" t="s">
        <v>546</v>
      </c>
      <c r="D80" s="18" t="s">
        <v>551</v>
      </c>
      <c r="E80" s="18"/>
      <c r="F80" s="19">
        <v>28</v>
      </c>
      <c r="G80" s="17" t="s">
        <v>475</v>
      </c>
    </row>
    <row r="81" spans="1:7" ht="16.5" customHeight="1" x14ac:dyDescent="0.3">
      <c r="A81" s="17"/>
      <c r="B81" s="17" t="s">
        <v>548</v>
      </c>
      <c r="C81" s="18" t="s">
        <v>549</v>
      </c>
      <c r="D81" s="18" t="s">
        <v>552</v>
      </c>
      <c r="E81" s="18"/>
      <c r="F81" s="19">
        <v>28</v>
      </c>
      <c r="G81" s="17" t="s">
        <v>475</v>
      </c>
    </row>
    <row r="82" spans="1:7" ht="16.5" customHeight="1" x14ac:dyDescent="0.3">
      <c r="A82" s="17" t="s">
        <v>372</v>
      </c>
      <c r="B82" s="17" t="s">
        <v>545</v>
      </c>
      <c r="C82" s="18" t="s">
        <v>546</v>
      </c>
      <c r="D82" s="18" t="s">
        <v>553</v>
      </c>
      <c r="E82" s="18"/>
      <c r="F82" s="19">
        <v>9</v>
      </c>
      <c r="G82" s="17" t="s">
        <v>475</v>
      </c>
    </row>
    <row r="83" spans="1:7" ht="16.5" customHeight="1" x14ac:dyDescent="0.3">
      <c r="A83" s="17" t="s">
        <v>375</v>
      </c>
      <c r="B83" s="17" t="s">
        <v>545</v>
      </c>
      <c r="C83" s="18" t="s">
        <v>546</v>
      </c>
      <c r="D83" s="18" t="s">
        <v>554</v>
      </c>
      <c r="E83" s="18"/>
      <c r="F83" s="19">
        <v>28</v>
      </c>
      <c r="G83" s="17" t="s">
        <v>475</v>
      </c>
    </row>
    <row r="84" spans="1:7" ht="16.5" customHeight="1" x14ac:dyDescent="0.3">
      <c r="A84" s="17" t="s">
        <v>377</v>
      </c>
      <c r="B84" s="17" t="s">
        <v>457</v>
      </c>
      <c r="C84" s="18" t="s">
        <v>555</v>
      </c>
      <c r="D84" s="18" t="s">
        <v>556</v>
      </c>
      <c r="E84" s="18"/>
      <c r="F84" s="19">
        <v>30</v>
      </c>
      <c r="G84" s="17" t="s">
        <v>475</v>
      </c>
    </row>
    <row r="85" spans="1:7" ht="16.5" customHeight="1" x14ac:dyDescent="0.3">
      <c r="A85" s="17" t="s">
        <v>380</v>
      </c>
      <c r="B85" s="17" t="s">
        <v>557</v>
      </c>
      <c r="C85" s="18" t="s">
        <v>558</v>
      </c>
      <c r="D85" s="18" t="s">
        <v>556</v>
      </c>
      <c r="E85" s="18"/>
      <c r="F85" s="19">
        <v>200</v>
      </c>
      <c r="G85" s="17" t="s">
        <v>475</v>
      </c>
    </row>
    <row r="86" spans="1:7" ht="16.5" customHeight="1" x14ac:dyDescent="0.3">
      <c r="A86" s="17" t="s">
        <v>559</v>
      </c>
      <c r="B86" s="17" t="s">
        <v>560</v>
      </c>
      <c r="C86" s="18" t="s">
        <v>561</v>
      </c>
      <c r="D86" s="18" t="s">
        <v>562</v>
      </c>
      <c r="E86" s="18"/>
      <c r="F86" s="19">
        <v>13</v>
      </c>
      <c r="G86" s="17" t="s">
        <v>475</v>
      </c>
    </row>
  </sheetData>
  <mergeCells count="10">
    <mergeCell ref="A2:A36"/>
    <mergeCell ref="A37:A43"/>
    <mergeCell ref="B2:B16"/>
    <mergeCell ref="B17:B18"/>
    <mergeCell ref="B19:B20"/>
    <mergeCell ref="B22:B24"/>
    <mergeCell ref="B25:B26"/>
    <mergeCell ref="B28:B35"/>
    <mergeCell ref="B37:B39"/>
    <mergeCell ref="B40:B42"/>
  </mergeCells>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总价汇总表</vt:lpstr>
      <vt:lpstr>硬件-报价汇总表</vt:lpstr>
      <vt:lpstr>硬件-报价说明</vt:lpstr>
      <vt:lpstr>硬件-报价明细</vt:lpstr>
      <vt:lpstr>附录五硬件场景需求表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2026-09-08T03:32:50Z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AF0ABBD3FB3C44528AE483A3A5504FF9_12</vt:lpwstr>
  </property>
  <property fmtid="{D5CDD505-2E9C-101B-9397-08002B2CF9AE}" pid="3" name="KSOProductBuildVer">
    <vt:lpwstr>2052-12.1.0.28505</vt:lpwstr>
  </property>
  <property fmtid="{D5CDD505-2E9C-101B-9397-08002B2CF9AE}" pid="4" name="CalculationRule">
    <vt:i4>0</vt:i4>
  </property>
</Properties>
</file>