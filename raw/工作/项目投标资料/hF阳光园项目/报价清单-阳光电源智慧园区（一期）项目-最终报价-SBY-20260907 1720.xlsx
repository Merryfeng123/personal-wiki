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work\鹏网\26年\阳光电源\IOC平台\联想\123\"/>
    </mc:Choice>
  </mc:AlternateContent>
  <xr:revisionPtr revIDLastSave="0" documentId="13_ncr:1_{31ED654A-CF4F-44B7-9965-B509F82BABD2}" xr6:coauthVersionLast="47" xr6:coauthVersionMax="47" xr10:uidLastSave="{00000000-0000-0000-0000-000000000000}"/>
  <bookViews>
    <workbookView xWindow="-28920" yWindow="-120" windowWidth="29040" windowHeight="15840" tabRatio="701" firstSheet="1" activeTab="3" xr2:uid="{00000000-000D-0000-FFFF-FFFF00000000}"/>
  </bookViews>
  <sheets>
    <sheet name="总价汇总表" sheetId="1" r:id="rId1"/>
    <sheet name="硬件-报价汇总表" sheetId="2" r:id="rId2"/>
    <sheet name="硬件-报价说明" sheetId="3" r:id="rId3"/>
    <sheet name="硬件-报价明细" sheetId="4" r:id="rId4"/>
    <sheet name="软件-报价汇总表" sheetId="5" r:id="rId5"/>
    <sheet name="软件-产品费用报价明细" sheetId="6" r:id="rId6"/>
    <sheet name="软件-实施费用报价明细" sheetId="7" r:id="rId7"/>
    <sheet name="附录五硬件场景需求表" sheetId="8" r:id="rId8"/>
  </sheets>
  <definedNames>
    <definedName name="_xlnm._FilterDatabase" localSheetId="3" hidden="1">'硬件-报价明细'!$2:$1048575</definedName>
  </definedNames>
  <calcPr calcId="191029" iterateDelta="1E-4"/>
</workbook>
</file>

<file path=xl/calcChain.xml><?xml version="1.0" encoding="utf-8"?>
<calcChain xmlns="http://schemas.openxmlformats.org/spreadsheetml/2006/main">
  <c r="N54" i="4" l="1"/>
  <c r="P54" i="4"/>
  <c r="Q54" i="4"/>
  <c r="N36" i="7" l="1"/>
  <c r="L36" i="7"/>
  <c r="N35" i="7"/>
  <c r="L35" i="7"/>
  <c r="N34" i="7"/>
  <c r="L34" i="7"/>
  <c r="N33" i="7"/>
  <c r="L33" i="7"/>
  <c r="N32" i="7"/>
  <c r="L32" i="7"/>
  <c r="N31" i="7"/>
  <c r="L31" i="7"/>
  <c r="N30" i="7"/>
  <c r="L30" i="7"/>
  <c r="N29" i="7"/>
  <c r="L29" i="7"/>
  <c r="N28" i="7"/>
  <c r="L28" i="7"/>
  <c r="N27" i="7"/>
  <c r="L27" i="7"/>
  <c r="N26" i="7"/>
  <c r="L26" i="7"/>
  <c r="N25" i="7"/>
  <c r="L25" i="7"/>
  <c r="N24" i="7"/>
  <c r="L24" i="7"/>
  <c r="N23" i="7"/>
  <c r="L23" i="7"/>
  <c r="N22" i="7"/>
  <c r="L22" i="7"/>
  <c r="N21" i="7"/>
  <c r="L21" i="7"/>
  <c r="N20" i="7"/>
  <c r="L20" i="7"/>
  <c r="N19" i="7"/>
  <c r="L19" i="7"/>
  <c r="N18" i="7"/>
  <c r="L18" i="7"/>
  <c r="N17" i="7"/>
  <c r="L17" i="7"/>
  <c r="N16" i="7"/>
  <c r="L16" i="7"/>
  <c r="N15" i="7"/>
  <c r="L15" i="7"/>
  <c r="N14" i="7"/>
  <c r="L14" i="7"/>
  <c r="N13" i="7"/>
  <c r="L13" i="7"/>
  <c r="N12" i="7"/>
  <c r="L12" i="7"/>
  <c r="N11" i="7"/>
  <c r="L11" i="7"/>
  <c r="N10" i="7"/>
  <c r="L10" i="7"/>
  <c r="N9" i="7"/>
  <c r="L9" i="7"/>
  <c r="N8" i="7"/>
  <c r="L8" i="7"/>
  <c r="N7" i="7"/>
  <c r="L7" i="7"/>
  <c r="N6" i="7"/>
  <c r="L6" i="7"/>
  <c r="G11" i="6"/>
  <c r="G10" i="6"/>
  <c r="A10" i="6"/>
  <c r="G9" i="6"/>
  <c r="A9" i="6"/>
  <c r="G8" i="6"/>
  <c r="A8" i="6"/>
  <c r="G7" i="6"/>
  <c r="A7" i="6"/>
  <c r="G6" i="6"/>
  <c r="A6" i="6"/>
  <c r="G5" i="6"/>
  <c r="A5" i="6"/>
  <c r="G4" i="6"/>
  <c r="A4" i="6"/>
  <c r="G3" i="6"/>
  <c r="A3" i="6"/>
  <c r="G2" i="6"/>
  <c r="A2" i="6"/>
  <c r="H7" i="5"/>
  <c r="G7" i="5"/>
  <c r="H6" i="5"/>
  <c r="G6" i="5"/>
  <c r="F6" i="5"/>
  <c r="H5" i="5"/>
  <c r="G5" i="5"/>
  <c r="F5" i="5"/>
  <c r="H4" i="5"/>
  <c r="G4" i="5"/>
  <c r="F4" i="5"/>
  <c r="P113" i="4"/>
  <c r="N113" i="4"/>
  <c r="Q112" i="4"/>
  <c r="P112" i="4"/>
  <c r="N112" i="4"/>
  <c r="P111" i="4"/>
  <c r="N111" i="4"/>
  <c r="Q110" i="4"/>
  <c r="P110" i="4"/>
  <c r="N110" i="4"/>
  <c r="E108" i="4"/>
  <c r="Q108" i="4" s="1"/>
  <c r="E107" i="4"/>
  <c r="E106" i="4"/>
  <c r="Q106" i="4" s="1"/>
  <c r="Q105" i="4"/>
  <c r="P105" i="4"/>
  <c r="N105" i="4"/>
  <c r="Q102" i="4"/>
  <c r="P102" i="4"/>
  <c r="N102" i="4"/>
  <c r="Q100" i="4"/>
  <c r="P100" i="4"/>
  <c r="N100" i="4"/>
  <c r="E99" i="4"/>
  <c r="E98" i="4"/>
  <c r="Q98" i="4" s="1"/>
  <c r="Q97" i="4"/>
  <c r="P97" i="4"/>
  <c r="N97" i="4"/>
  <c r="Q96" i="4"/>
  <c r="P96" i="4"/>
  <c r="N96" i="4"/>
  <c r="Q95" i="4"/>
  <c r="P95" i="4"/>
  <c r="N95" i="4"/>
  <c r="Q94" i="4"/>
  <c r="P94" i="4"/>
  <c r="N94" i="4"/>
  <c r="Q93" i="4"/>
  <c r="P93" i="4"/>
  <c r="N93" i="4"/>
  <c r="Q92" i="4"/>
  <c r="P92" i="4"/>
  <c r="N92" i="4"/>
  <c r="P91" i="4"/>
  <c r="N91" i="4"/>
  <c r="Q90" i="4"/>
  <c r="P90" i="4"/>
  <c r="N90" i="4"/>
  <c r="Q89" i="4"/>
  <c r="P89" i="4"/>
  <c r="N89" i="4"/>
  <c r="Q88" i="4"/>
  <c r="P88" i="4"/>
  <c r="N88" i="4"/>
  <c r="Q87" i="4"/>
  <c r="P87" i="4"/>
  <c r="N87" i="4"/>
  <c r="Q86" i="4"/>
  <c r="P86" i="4"/>
  <c r="N86" i="4"/>
  <c r="Q85" i="4"/>
  <c r="P85" i="4"/>
  <c r="N85" i="4"/>
  <c r="Q84" i="4"/>
  <c r="P84" i="4"/>
  <c r="N84" i="4"/>
  <c r="Q83" i="4"/>
  <c r="P83" i="4"/>
  <c r="N83" i="4"/>
  <c r="Q82" i="4"/>
  <c r="P82" i="4"/>
  <c r="N82" i="4"/>
  <c r="Q81" i="4"/>
  <c r="P81" i="4"/>
  <c r="N81" i="4"/>
  <c r="Q80" i="4"/>
  <c r="P80" i="4"/>
  <c r="N80" i="4"/>
  <c r="P79" i="4"/>
  <c r="N79" i="4"/>
  <c r="Q78" i="4"/>
  <c r="P78" i="4"/>
  <c r="N78" i="4"/>
  <c r="Q77" i="4"/>
  <c r="P77" i="4"/>
  <c r="N77" i="4"/>
  <c r="Q76" i="4"/>
  <c r="P76" i="4"/>
  <c r="N76" i="4"/>
  <c r="Q75" i="4"/>
  <c r="P75" i="4"/>
  <c r="N75" i="4"/>
  <c r="Q74" i="4"/>
  <c r="P74" i="4"/>
  <c r="N74" i="4"/>
  <c r="Q73" i="4"/>
  <c r="P73" i="4"/>
  <c r="N73" i="4"/>
  <c r="Q72" i="4"/>
  <c r="P72" i="4"/>
  <c r="N72" i="4"/>
  <c r="Q71" i="4"/>
  <c r="P71" i="4"/>
  <c r="N71" i="4"/>
  <c r="Q70" i="4"/>
  <c r="P70" i="4"/>
  <c r="N70" i="4"/>
  <c r="Q69" i="4"/>
  <c r="P69" i="4"/>
  <c r="N69" i="4"/>
  <c r="P68" i="4"/>
  <c r="N68" i="4"/>
  <c r="Q67" i="4"/>
  <c r="P67" i="4"/>
  <c r="N67" i="4"/>
  <c r="Q66" i="4"/>
  <c r="P66" i="4"/>
  <c r="N66" i="4"/>
  <c r="Q65" i="4"/>
  <c r="P65" i="4"/>
  <c r="N65" i="4"/>
  <c r="Q64" i="4"/>
  <c r="P64" i="4"/>
  <c r="N64" i="4"/>
  <c r="P63" i="4"/>
  <c r="N63" i="4"/>
  <c r="Q62" i="4"/>
  <c r="P62" i="4"/>
  <c r="N62" i="4"/>
  <c r="Q61" i="4"/>
  <c r="P61" i="4"/>
  <c r="N61" i="4"/>
  <c r="Q60" i="4"/>
  <c r="P60" i="4"/>
  <c r="N60" i="4"/>
  <c r="P59" i="4"/>
  <c r="N59" i="4"/>
  <c r="Q58" i="4"/>
  <c r="P58" i="4"/>
  <c r="N58" i="4"/>
  <c r="Q57" i="4"/>
  <c r="P57" i="4"/>
  <c r="N57" i="4"/>
  <c r="Q55" i="4"/>
  <c r="P55" i="4"/>
  <c r="N55" i="4"/>
  <c r="E53" i="4"/>
  <c r="Q53" i="4" s="1"/>
  <c r="Q52" i="4"/>
  <c r="P52" i="4"/>
  <c r="N52" i="4"/>
  <c r="E51" i="4"/>
  <c r="Q51" i="4" s="1"/>
  <c r="Q49" i="4"/>
  <c r="P49" i="4"/>
  <c r="N49" i="4"/>
  <c r="Q48" i="4"/>
  <c r="P48" i="4"/>
  <c r="N48" i="4"/>
  <c r="Q47" i="4"/>
  <c r="P47" i="4"/>
  <c r="N47" i="4"/>
  <c r="Q46" i="4"/>
  <c r="P46" i="4"/>
  <c r="N46" i="4"/>
  <c r="Q45" i="4"/>
  <c r="P45" i="4"/>
  <c r="N45" i="4"/>
  <c r="Q44" i="4"/>
  <c r="P44" i="4"/>
  <c r="N44" i="4"/>
  <c r="Q43" i="4"/>
  <c r="P43" i="4"/>
  <c r="N43" i="4"/>
  <c r="Q42" i="4"/>
  <c r="P42" i="4"/>
  <c r="N42" i="4"/>
  <c r="Q41" i="4"/>
  <c r="P41" i="4"/>
  <c r="N41" i="4"/>
  <c r="Q40" i="4"/>
  <c r="P40" i="4"/>
  <c r="N40" i="4"/>
  <c r="Q39" i="4"/>
  <c r="P39" i="4"/>
  <c r="N39" i="4"/>
  <c r="Q38" i="4"/>
  <c r="P38" i="4"/>
  <c r="N38" i="4"/>
  <c r="Q37" i="4"/>
  <c r="P37" i="4"/>
  <c r="N37" i="4"/>
  <c r="Q36" i="4"/>
  <c r="P36" i="4"/>
  <c r="N36" i="4"/>
  <c r="P35" i="4"/>
  <c r="N35" i="4"/>
  <c r="P34" i="4"/>
  <c r="N34" i="4"/>
  <c r="Q33" i="4"/>
  <c r="P33" i="4"/>
  <c r="N33" i="4"/>
  <c r="Q32" i="4"/>
  <c r="P32" i="4"/>
  <c r="N32" i="4"/>
  <c r="Q31" i="4"/>
  <c r="P31" i="4"/>
  <c r="N31" i="4"/>
  <c r="Q30" i="4"/>
  <c r="P30" i="4"/>
  <c r="N30" i="4"/>
  <c r="Q29" i="4"/>
  <c r="P29" i="4"/>
  <c r="N29" i="4"/>
  <c r="Q28" i="4"/>
  <c r="P28" i="4"/>
  <c r="N28" i="4"/>
  <c r="Q27" i="4"/>
  <c r="P27" i="4"/>
  <c r="N27" i="4"/>
  <c r="Q26" i="4"/>
  <c r="P26" i="4"/>
  <c r="N26" i="4"/>
  <c r="E25" i="4"/>
  <c r="Q25" i="4" s="1"/>
  <c r="E24" i="4"/>
  <c r="N24" i="4" s="1"/>
  <c r="Q23" i="4"/>
  <c r="P23" i="4"/>
  <c r="N23" i="4"/>
  <c r="Q22" i="4"/>
  <c r="P22" i="4"/>
  <c r="N22" i="4"/>
  <c r="Q21" i="4"/>
  <c r="P21" i="4"/>
  <c r="N21" i="4"/>
  <c r="Q20" i="4"/>
  <c r="P20" i="4"/>
  <c r="N20" i="4"/>
  <c r="Q19" i="4"/>
  <c r="P19" i="4"/>
  <c r="N19" i="4"/>
  <c r="Q18" i="4"/>
  <c r="P18" i="4"/>
  <c r="N18" i="4"/>
  <c r="Q17" i="4"/>
  <c r="P17" i="4"/>
  <c r="N17" i="4"/>
  <c r="Q16" i="4"/>
  <c r="P16" i="4"/>
  <c r="N16" i="4"/>
  <c r="Q15" i="4"/>
  <c r="P15" i="4"/>
  <c r="N15" i="4"/>
  <c r="Q14" i="4"/>
  <c r="P14" i="4"/>
  <c r="N14" i="4"/>
  <c r="Q13" i="4"/>
  <c r="P13" i="4"/>
  <c r="N13" i="4"/>
  <c r="Q12" i="4"/>
  <c r="P12" i="4"/>
  <c r="N12" i="4"/>
  <c r="Q11" i="4"/>
  <c r="P11" i="4"/>
  <c r="N11" i="4"/>
  <c r="Q10" i="4"/>
  <c r="P10" i="4"/>
  <c r="N10" i="4"/>
  <c r="Q9" i="4"/>
  <c r="P9" i="4"/>
  <c r="N9" i="4"/>
  <c r="Q8" i="4"/>
  <c r="P8" i="4"/>
  <c r="N8" i="4"/>
  <c r="Q7" i="4"/>
  <c r="P7" i="4"/>
  <c r="N7" i="4"/>
  <c r="Q6" i="4"/>
  <c r="P6" i="4"/>
  <c r="N6" i="4"/>
  <c r="Q5" i="4"/>
  <c r="P5" i="4"/>
  <c r="N5" i="4"/>
  <c r="Q4" i="4"/>
  <c r="P4" i="4"/>
  <c r="N4" i="4"/>
  <c r="D6" i="2"/>
  <c r="E5" i="1"/>
  <c r="D5" i="1"/>
  <c r="Q99" i="4" l="1"/>
  <c r="E101" i="4"/>
  <c r="N106" i="4"/>
  <c r="P24" i="4"/>
  <c r="E109" i="4"/>
  <c r="Q109" i="4" s="1"/>
  <c r="E103" i="4"/>
  <c r="N103" i="4" s="1"/>
  <c r="P98" i="4"/>
  <c r="N51" i="4"/>
  <c r="N99" i="4"/>
  <c r="P99" i="4"/>
  <c r="Q24" i="4"/>
  <c r="D4" i="2" s="1"/>
  <c r="E56" i="4"/>
  <c r="E104" i="4"/>
  <c r="N107" i="4"/>
  <c r="P107" i="4"/>
  <c r="N25" i="4"/>
  <c r="Q107" i="4"/>
  <c r="P25" i="4"/>
  <c r="E50" i="4"/>
  <c r="N53" i="4"/>
  <c r="N98" i="4"/>
  <c r="P53" i="4"/>
  <c r="N108" i="4"/>
  <c r="P108" i="4"/>
  <c r="P51" i="4"/>
  <c r="P106" i="4"/>
  <c r="P101" i="4" l="1"/>
  <c r="N101" i="4"/>
  <c r="Q101" i="4"/>
  <c r="N109" i="4"/>
  <c r="P109" i="4"/>
  <c r="P103" i="4"/>
  <c r="Q103" i="4"/>
  <c r="Q104" i="4"/>
  <c r="P104" i="4"/>
  <c r="N104" i="4"/>
  <c r="Q50" i="4"/>
  <c r="P50" i="4"/>
  <c r="N50" i="4"/>
  <c r="Q56" i="4"/>
  <c r="P56" i="4"/>
  <c r="N56" i="4"/>
  <c r="N115" i="4" l="1"/>
  <c r="P115" i="4"/>
  <c r="D5" i="2"/>
  <c r="D7" i="2" s="1"/>
  <c r="D4" i="1" s="1"/>
  <c r="Q113" i="4"/>
  <c r="D6" i="1" l="1"/>
  <c r="E4" i="1"/>
</calcChain>
</file>

<file path=xl/sharedStrings.xml><?xml version="1.0" encoding="utf-8"?>
<sst xmlns="http://schemas.openxmlformats.org/spreadsheetml/2006/main" count="1474" uniqueCount="720">
  <si>
    <t>密级：公开</t>
  </si>
  <si>
    <t>阳光电源智慧园区一期建设清单报价清单-汇总表</t>
  </si>
  <si>
    <t>序号</t>
  </si>
  <si>
    <t>系统名称</t>
  </si>
  <si>
    <t>税率</t>
  </si>
  <si>
    <t>不含税总价</t>
  </si>
  <si>
    <t>含税总价</t>
  </si>
  <si>
    <t>备注</t>
  </si>
  <si>
    <t>硬件部分</t>
  </si>
  <si>
    <t>软件部分</t>
  </si>
  <si>
    <t>总计（元）</t>
  </si>
  <si>
    <t>按此未税金额投标</t>
  </si>
  <si>
    <t>阳光电源智慧园区一期建设清单（硬件）报价清单</t>
  </si>
  <si>
    <t>智慧消防及物联系统</t>
  </si>
  <si>
    <t>智慧安防系统</t>
  </si>
  <si>
    <t>等保测评</t>
  </si>
  <si>
    <t>不含税总计（元）</t>
  </si>
  <si>
    <r>
      <rPr>
        <sz val="11"/>
        <color rgb="FF000000"/>
        <rFont val="等线"/>
        <family val="3"/>
        <charset val="134"/>
      </rPr>
      <t>报价须知：
1、报价前请仔细阅读《硬件-报价说明》。
2、付款方式：</t>
    </r>
    <r>
      <rPr>
        <sz val="11"/>
        <color rgb="FFFF0000"/>
        <rFont val="等线"/>
        <family val="3"/>
        <charset val="134"/>
      </rPr>
      <t>电汇，合同签订后预付合同对应金额的20%，初验完成后支付合同对应金额的50%（且累积支付不超实际产值70%），终验决算完成支付至决算对应金额的90%，剩余10%作为质保金，自竣工验收通过满1年后如无质量问题、无发生甲方代扣代付维修费用，甲方无息支付质保金。</t>
    </r>
  </si>
  <si>
    <t>阳光电源智慧园区一期建设清单（硬件） 投标报价说明</t>
  </si>
  <si>
    <t>说明</t>
  </si>
  <si>
    <t>本报价说明作为投标文件的重要组成部分，与招标文件、技术规格书及合同具有同等效力。投标人须仔细阅读并充分理解所有条款，报价提交后视为已完全响应。</t>
  </si>
  <si>
    <t>一、报价范围与计价模式</t>
  </si>
  <si>
    <t>总价包含范围</t>
  </si>
  <si>
    <t>1、投标总价含设备、材料等运输、卸货、搬用、保存、安装、集成调试，通断测试，福禄克测试，质保期内保证项目稳定运行的所需全部费用。</t>
  </si>
  <si>
    <t>2、投标总价含设备、线缆、柜、箱体等的机打标签、整理等工作，达到《阳光电源弱电施工工艺参考图册》、《阳光电源厂区及办公区弱电标识标签规则》要求。</t>
  </si>
  <si>
    <r>
      <rPr>
        <sz val="12"/>
        <color rgb="FF000000"/>
        <rFont val="宋体"/>
        <family val="3"/>
        <charset val="134"/>
      </rPr>
      <t>3、投标总价含施工、技术支持、操作人员培训等，含3年原厂质保运维服务等，</t>
    </r>
    <r>
      <rPr>
        <sz val="12"/>
        <color rgb="FFFE0300"/>
        <rFont val="宋体"/>
        <family val="3"/>
        <charset val="134"/>
      </rPr>
      <t>故障1小时响应，故障处理6小时内完成。</t>
    </r>
  </si>
  <si>
    <r>
      <rPr>
        <sz val="12"/>
        <color rgb="FF000000"/>
        <rFont val="宋体"/>
        <family val="3"/>
        <charset val="134"/>
      </rPr>
      <t>4、投标总价含材料费、施工费、调试费、措施费、安全文明施工费、税金、总包管理服务费、施工用水电费用、辅材、</t>
    </r>
    <r>
      <rPr>
        <sz val="12"/>
        <color rgb="FFFE0300"/>
        <rFont val="宋体"/>
        <family val="3"/>
        <charset val="134"/>
      </rPr>
      <t>实现平台功能前端设备调整（角度、位置等）</t>
    </r>
    <r>
      <rPr>
        <sz val="12"/>
        <color rgb="FF000000"/>
        <rFont val="宋体"/>
        <family val="3"/>
        <charset val="134"/>
      </rPr>
      <t>等项目交付前一切费用，辅材包括但不限于六类非屏蔽水晶头、音频接插头、各种螺丝、吊卡、丝杆、铁皮卡、自攻螺丝、膨胀管、绝缘子、接线端子、弓背、管道支持柱、拉爆三件套、膨胀螺栓、机柜螺丝、垫片、绝缘胶布、透明胶布、扎带、标签纸、魔术贴、网线固线器、标签机、钩钉、刚性卡箍、螺丝杆帽、PVC线槽、自喷漆、明装86盒、明装86盒盖板、弯管器、</t>
    </r>
    <r>
      <rPr>
        <sz val="12"/>
        <color rgb="FFFE0300"/>
        <rFont val="宋体"/>
        <family val="3"/>
        <charset val="134"/>
      </rPr>
      <t>墙面开孔及开槽及修复、地面开挖及绿化恢复、</t>
    </r>
    <r>
      <rPr>
        <sz val="12"/>
        <color rgb="FF000000"/>
        <rFont val="宋体"/>
        <family val="3"/>
        <charset val="134"/>
      </rPr>
      <t>其他施工工具等辅材。</t>
    </r>
  </si>
  <si>
    <t>“实体净量+量价分离”计价规则</t>
  </si>
  <si>
    <t>本项目所有强弱电管、线、桥架类材料实行“实体净量+量价分离”计价模式，清单工程量仅依据设计图纸标注的水平/垂直投影净长度计算，施工中必然发生的桥架（含管道）内敷设弯曲、桥架上翻下翻、机柜与终端处的预留长度，以及各类管、线、桥架类材料的合理损耗等，其工程量与费用均视为投标人施工技术的一部分，须在编制综合单价时一并考虑（相关费用在材料单价中体现），结算时不再单独计量。</t>
  </si>
  <si>
    <t>综合单价包干</t>
  </si>
  <si>
    <t>综合单价为包干价，包括但不限于完成工程量清单子目特征描述、工作内容描述等全部内容所需的人工费、材料费（甲供材除外）、机械费、管理费、利润、税金等全部费用，特征描述中不完善，但按常规属于完成该对应子目所必须有的工作内容，视为已包含在综合单价中。</t>
  </si>
  <si>
    <t>二、技术要求与执行标准</t>
  </si>
  <si>
    <t>工艺与标签规范</t>
  </si>
  <si>
    <t>施工须符合《阳光电源弱电施工工艺参考图册》、《阳光电源厂区及办公区弱电标识标签规则》，含设备、线缆、柜体等机打标签及整理。</t>
  </si>
  <si>
    <t>施工界面与现场踏勘</t>
  </si>
  <si>
    <t>投标人应踏勘现场，充分了解施工移交界面及标准（如地面、墙面找平层厚度可能产生的变化），相关费用包含在报价中。</t>
  </si>
  <si>
    <t>深化设计与规范要求</t>
  </si>
  <si>
    <t>本工程工程量清单项目仅列出主要包含范围，投标单位应结合设计图及标准作法进行理解，投标单位需按规范及设计要求深化施工工艺及对应施工工艺作法，本部分费用已含在本合同总价中。</t>
  </si>
  <si>
    <t>三、投标报价与格式要求</t>
  </si>
  <si>
    <t>报价格式</t>
  </si>
  <si>
    <t>报价时按照甲方提供表格格式要求进行报价；乙方提供excel表格报价电子档文件（可编辑版本即可），并提供word版本盖章报价扫描件（包含表头：序号、项目名称、工程量、单位、投标品牌、投标型号、参数（响应/正偏离/负偏离）、正/负偏离参数项、材料未税单价、施工未税单价、未税小计、备注）。</t>
  </si>
  <si>
    <t>单价一致性</t>
  </si>
  <si>
    <t>清单中所列相同项目，投标单位报价须保持一致，若投标报价不一致，则以报价较低的单价计算并调整总价。</t>
  </si>
  <si>
    <t>链接正确性</t>
  </si>
  <si>
    <t>投标清单中的链接由投标人自行负责核实。</t>
  </si>
  <si>
    <t>金额精度</t>
  </si>
  <si>
    <t>工程量清单内所有工程量及金额均需保留两位小数，并以显示精度为准。</t>
  </si>
  <si>
    <t>四、风险与变更条款</t>
  </si>
  <si>
    <t>未尽事宜</t>
  </si>
  <si>
    <t>其他未尽事宜详见招标技术规格书及其他招标材料。</t>
  </si>
  <si>
    <t>设计冲突处理</t>
  </si>
  <si>
    <t>清单中的所有主材要求详见图纸说明、技术规范书要求及清单描述，如相关描述有冲突时，按高标准执行。</t>
  </si>
  <si>
    <t>材料及品牌更换</t>
  </si>
  <si>
    <t>材料如招标人提出替换时，费用只计算材料价差和税金，不再计取其他费用。</t>
  </si>
  <si>
    <t>施工风险</t>
  </si>
  <si>
    <t>1、投标人已综合考虑施工中可能发生的各类风险（如材料损耗、预留长度、现场条件变化等），相关费用已包含在报价中。</t>
  </si>
  <si>
    <t>2、合同期内人工、材料、机械和临时设施及施工水电费的费用、费率等价格要素的波动，合同执行期内一律不予调整。</t>
  </si>
  <si>
    <t>3、施工费含白天施工、夜间施工、节假日施工等。</t>
  </si>
  <si>
    <t>乙方必填项</t>
  </si>
  <si>
    <t>设备名称</t>
  </si>
  <si>
    <t>技术参数要求</t>
  </si>
  <si>
    <t>推荐品牌</t>
  </si>
  <si>
    <t>数量</t>
  </si>
  <si>
    <t>单位</t>
  </si>
  <si>
    <t>投标品牌</t>
  </si>
  <si>
    <t>投标型号</t>
  </si>
  <si>
    <t>投标参数</t>
  </si>
  <si>
    <t>参数（响应/正偏离/负偏离）</t>
  </si>
  <si>
    <t>正/负偏离
参数项</t>
  </si>
  <si>
    <t>施工未税单价</t>
  </si>
  <si>
    <t>施工小计未税</t>
  </si>
  <si>
    <t>材料未税单价</t>
  </si>
  <si>
    <t>材料小计未税</t>
  </si>
  <si>
    <t>未税小计</t>
  </si>
  <si>
    <t>一、智慧消防及物联系统</t>
  </si>
  <si>
    <t>用户信息传输装置</t>
  </si>
  <si>
    <t>壁挂式，用于消防远程监控，通过RS232端口实时监测所连接火灾报警控制器的报警信息，并通过有线网络传递到监控平台。满足GB26875-2011标准。</t>
  </si>
  <si>
    <t>主机信号采集数量：青鸟自动报警主机*20，青岛鼎信自动报警主机*1，利达自动报警主机*1，各品牌需对应使用适配的用户信息传输硬件</t>
  </si>
  <si>
    <t>台</t>
  </si>
  <si>
    <t>青鸟</t>
  </si>
  <si>
    <t>JBF-TD803</t>
  </si>
  <si>
    <t>下行：RS232串口（三芯电缆，长度&lt;15米）
上行：TCP/IP网络（标准网线，长度&lt;50米）;                                                                                                                                     最多可记录 100,000 条历史事件;                                                                                                                                                   主电：AC 187~242V, 50Hz
备电：DC 12V / 4Ah（支持主备电自动切换）;                                                                                                                                        2组 DC12V 200mA 有源输出（驱动继电器）
1组 DC12V 200mA 电源（内部模块供电）
1组 DC5V 1A 电源（内部模块供电）;                                                                                                                                          壁挂式安装，上进线;                                                                                                                                                           尺寸310mm(长) × 110mm(宽) × 420mm(高)                                                                                                   满足GB26875-2011标准。</t>
  </si>
  <si>
    <t>响应</t>
  </si>
  <si>
    <t>/</t>
  </si>
  <si>
    <t>鼎信</t>
  </si>
  <si>
    <t>TS-CS-8101</t>
  </si>
  <si>
    <t>利达</t>
  </si>
  <si>
    <t>LD6920</t>
  </si>
  <si>
    <t>全局网络控制器</t>
  </si>
  <si>
    <t>霍尼韦尔、江森、西门子</t>
  </si>
  <si>
    <t>霍尼韦尔</t>
  </si>
  <si>
    <t>WEB-8050-U</t>
  </si>
  <si>
    <t>1GHz处理器，1024MB内存，4096MB闪存，支持50个Device且数据点不大于2,500点，2条总线</t>
  </si>
  <si>
    <t>可编程网络控制器</t>
  </si>
  <si>
    <t>PUC5533-PB2</t>
  </si>
  <si>
    <t>BACnet现场控制器DDC 5UI,5DI,3AO,3DO</t>
  </si>
  <si>
    <t>可编程控制盘</t>
  </si>
  <si>
    <t>国产一线品牌，空开品牌为良信、正泰、公牛</t>
  </si>
  <si>
    <t>正泰</t>
  </si>
  <si>
    <t>定制成套</t>
  </si>
  <si>
    <t>含空开、导轨及接线端子，国产优质箱体，根据实际安装设备测量后成套定制</t>
  </si>
  <si>
    <t>电源模块</t>
  </si>
  <si>
    <t>输入：85–264VAC（全球宽压），50/60Hz
输出：24VDC 可调（约 24–26V）
电流：1.3A / 2.5A / 4A（常用 4A 配 DDC）
保护：过压、短路、过载、过热（自恢复）
EMC：EN61000-6-2、EN61000-4 系列，工业级
安装：35mm DIN 导轨
外壳：UL94 V-0 阻燃塑料
工作温度：-20℃ ~ +60℃</t>
  </si>
  <si>
    <t>施耐德</t>
  </si>
  <si>
    <t>ABL2REM12100D</t>
  </si>
  <si>
    <t>‌输入‌：90~264VAC全球宽压，适配50/60Hz工业电网
‌输出‌：24VDC，额定电流5A，总功率120W，输出电压支持24~28V微调
‌转换效率‌：最高可达87.5%，满载运行温升可控
‌防护机制‌：集成过压、短路、过载、过热四重自恢复保护，故障消除后自动恢复运行
‌安装方式‌：适配标准35mm DIN导轨，卡扣式安装无需额外固定
‌外壳与环境‌：UL94 V-0阻燃塑料外壳，工作温度范围-20℃~+65℃
‌合规认证‌：通过UL508工业控制设备认证，满足EN61000-6-2工业级EMC抗扰标准</t>
  </si>
  <si>
    <t>液位开关</t>
  </si>
  <si>
    <t>电缆长度：3M；电缆类型：PVC（聚氯乙烯）；包装形式：纸箱批量简易包装；</t>
  </si>
  <si>
    <t>HSL-LS05</t>
  </si>
  <si>
    <t>浮球液位开关,延长线缆长度5m</t>
  </si>
  <si>
    <t>压力变送器</t>
  </si>
  <si>
    <r>
      <rPr>
        <sz val="11"/>
        <color rgb="FF000000"/>
        <rFont val="宋体"/>
        <family val="3"/>
        <charset val="134"/>
      </rPr>
      <t>输出信号：4-20MA；量程范围：</t>
    </r>
    <r>
      <rPr>
        <sz val="11"/>
        <color rgb="FFFF0000"/>
        <rFont val="宋体"/>
        <family val="3"/>
        <charset val="134"/>
      </rPr>
      <t>0-25 bar；</t>
    </r>
    <r>
      <rPr>
        <sz val="11"/>
        <color rgb="FF000000"/>
        <rFont val="宋体"/>
        <family val="3"/>
        <charset val="134"/>
      </rPr>
      <t>过程连接：1/4 NPT；电气连接：1M；</t>
    </r>
  </si>
  <si>
    <t>HSP-W</t>
  </si>
  <si>
    <t>量程0-16Bar，精度：±1%FS ；信号0-10VDC，电源14-30VDC；  IP65；3线制；G1/4 male</t>
  </si>
  <si>
    <t>流量传感器</t>
  </si>
  <si>
    <r>
      <rPr>
        <sz val="11"/>
        <color rgb="FF000000"/>
        <rFont val="宋体"/>
        <family val="3"/>
        <charset val="134"/>
      </rPr>
      <t>电源:10 to 35 VDC；电源消耗:最大40mA；输出:脉冲:NPN开集方波输出，最大60V@50mA;频率:3.2至200Hz。脉冲宽度:2.5毫秒+25%，4-20mA:4mA是0fts，20 mA是25 fts。过程连接:标准配置为1-1/2”NPT外螺纹，可选2“NPT外螺纹。</t>
    </r>
    <r>
      <rPr>
        <sz val="11"/>
        <color rgb="FFFE0300"/>
        <rFont val="宋体"/>
        <family val="3"/>
        <charset val="134"/>
      </rPr>
      <t>管径满足现场环境</t>
    </r>
  </si>
  <si>
    <t>PFT-IDN-B111-S</t>
  </si>
  <si>
    <t>供电与功耗：10-35 VDC，最大 40mA。
- 脉冲输出：NPN 开集方波，最大 60V@50mA，频率 3.2-200Hz，脉宽 2.5ms±25%。
• 模拟输出：4mA 对应 0 ft/s，20mA 对应 25 ft/s。
- 过程连接：标准 1½" NPT 外螺纹。
• 材质与量程：黄铜本体，流速范围 1.2-25 ft/s（0.37-7.62 m/s）</t>
  </si>
  <si>
    <t>氧浓度监测传感器</t>
  </si>
  <si>
    <t>工作温度 -20~50℃
工作湿度 5~95% RH 无冷凝
压力范围 90~110KPa
稳定性 ≤5% 信号值 / 年
响应时间 ≤10S
预热时间 ≥5 分钟
零点漂移（-20~40℃） ±0.3%Vol
重复性 ≤1%
使用寿命 ≥24 个月
量程 0~25% VOL
精度 ±2%FS
分辨率 0.1%VOL</t>
  </si>
  <si>
    <t>G3Ex121</t>
  </si>
  <si>
    <t>电源：DC24V±25%
输出：0~10V，4~20mA(三线)，RS485/Modbus
负载：≥2kΩ(0~10V)，≤500Ω(4~20mA)
开关输出：1×SPST，3A/30VDC
显示：LED 数码管显示，电源/故障/报警LED 指示灯
应用环境：-20~55°C，10~95%RH(非冷凝)，压力86~106kPa
外壳材料：铸铝外壳，不锈钢探头和不锈钢网烧结过滤器</t>
  </si>
  <si>
    <t>温湿度传感器</t>
  </si>
  <si>
    <t>精度：±2%RH；湿度输出：0-10V；温度输出：NTC20K，±0.2°C @25°C；温度量程：0~50℃；继电器输出：无；LCD显示无；</t>
  </si>
  <si>
    <t>HSH-RV3B</t>
  </si>
  <si>
    <t>壁挂式温湿度传感器，NTC20K温度输出，3%湿度精度，0~10V</t>
  </si>
  <si>
    <t>管道风速监测传感器</t>
  </si>
  <si>
    <r>
      <rPr>
        <sz val="11"/>
        <color rgb="FFFE0300"/>
        <rFont val="宋体"/>
        <family val="3"/>
        <charset val="134"/>
      </rPr>
      <t>量程：0–20 m/s（0–4000 ft/min），精度：±0.2 m/s（≤10 m/s）；±2% FS（&gt;10 m/s），输出信号：0–10VDC（线性对应量程），供电：24VDC ±10%（BA 标准供电）</t>
    </r>
    <r>
      <rPr>
        <sz val="10"/>
        <rFont val="宋体"/>
        <family val="3"/>
        <charset val="134"/>
      </rPr>
      <t xml:space="preserve">
</t>
    </r>
    <r>
      <rPr>
        <sz val="11"/>
        <color rgb="FF000000"/>
        <rFont val="宋体"/>
        <family val="3"/>
        <charset val="134"/>
      </rPr>
      <t>材质 / 防护：ABS 外壳，探杆 304 不锈钢；IP65</t>
    </r>
    <r>
      <rPr>
        <sz val="10"/>
        <rFont val="宋体"/>
        <family val="3"/>
        <charset val="134"/>
      </rPr>
      <t xml:space="preserve">
</t>
    </r>
    <r>
      <rPr>
        <sz val="11"/>
        <color rgb="FF000000"/>
        <rFont val="宋体"/>
        <family val="3"/>
        <charset val="134"/>
      </rPr>
      <t>温度：-10℃~+50℃（耐高温款可达 80℃）</t>
    </r>
    <r>
      <rPr>
        <sz val="10"/>
        <rFont val="宋体"/>
        <family val="3"/>
        <charset val="134"/>
      </rPr>
      <t xml:space="preserve">
</t>
    </r>
    <r>
      <rPr>
        <sz val="11"/>
        <color rgb="FF000000"/>
        <rFont val="宋体"/>
        <family val="3"/>
        <charset val="134"/>
      </rPr>
      <t>安装：法兰开孔插入式，带密封圈，漏风小</t>
    </r>
  </si>
  <si>
    <t>AVT25101</t>
  </si>
  <si>
    <t>风速变送器，风管型风速变送器，输出：0-10VDC&amp;4-20mA</t>
  </si>
  <si>
    <t>继电器</t>
  </si>
  <si>
    <t>适配电磁阀信号选配</t>
  </si>
  <si>
    <t>个</t>
  </si>
  <si>
    <t>西门子</t>
  </si>
  <si>
    <t>ER2EL - D24</t>
  </si>
  <si>
    <t>8脚 5A 2开2闭 DC24V</t>
  </si>
  <si>
    <t>交流电流变送器</t>
  </si>
  <si>
    <t>输出4-20mA三相模块RS485信号</t>
  </si>
  <si>
    <t>CSNK500M</t>
  </si>
  <si>
    <t>输出4-20mA，三相模块，RS485信号</t>
  </si>
  <si>
    <t>光纤熔接盒（含光纤熔纤）</t>
  </si>
  <si>
    <t>SC4芯单模满配含熔接尾纤、法兰、SC光跳线</t>
  </si>
  <si>
    <t>一舟、普天天纪、罗格朗</t>
  </si>
  <si>
    <t>一舟</t>
  </si>
  <si>
    <t>S953-4X+S905-3*4+S812*4</t>
  </si>
  <si>
    <t>光纤收发器</t>
  </si>
  <si>
    <t>1个10/100M/1000M网口，1个1000Mbps光口（SC），工作波长：1550nm（发送）、1310nm（接收），20km。</t>
  </si>
  <si>
    <t>TP-LINK、山泽、烽火</t>
  </si>
  <si>
    <t>对</t>
  </si>
  <si>
    <t>TP-LINK</t>
  </si>
  <si>
    <t>TL-FC311A-20+TL-FC311B-20</t>
  </si>
  <si>
    <t>光纤收发器架</t>
  </si>
  <si>
    <t>14槽光纤收发器机架；标准机柜安装；</t>
  </si>
  <si>
    <t>TL-FC1400</t>
  </si>
  <si>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</si>
  <si>
    <t>m</t>
  </si>
  <si>
    <t>D173-4</t>
  </si>
  <si>
    <t>24口光纤配线架（含尾纤、LC双工耦合器、熔接）</t>
  </si>
  <si>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</si>
  <si>
    <t>S952-12X+S905-7-1*12+S813*24</t>
  </si>
  <si>
    <t>光纤跳线</t>
  </si>
  <si>
    <t>单模双芯SC-LC优质2米光纤跳线；</t>
  </si>
  <si>
    <t>S928</t>
  </si>
  <si>
    <t>六类非屏蔽跳线（2m）</t>
  </si>
  <si>
    <t>SF200-GY</t>
  </si>
  <si>
    <t>24口接入交换机-单电源</t>
  </si>
  <si>
    <t>★在不插板卡情况下，单设备交换容量≥336Gbps，包转发率≥120Mpps，提供≥24个千兆电接口、≥4个千兆SFP光接口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★18、考虑设备兼容性、项目实施、交付及售后服务，采用与核心交换机同一品牌。</t>
  </si>
  <si>
    <t>华三、锐捷（非睿易）</t>
  </si>
  <si>
    <t>锐捷</t>
  </si>
  <si>
    <t>RG-S2910-24GT4SFP-L</t>
  </si>
  <si>
    <t>24个10/100/1000Base-T自适应以太网接口，4个1GE SFP接口；
交换容量:598Gbps/5.98Tbps;包转发率:126Mpps;
支持4K 802.1Q VLAN，支持Port based VLAN，支持MAC based VLAN，支持Voice VLAN，支持GVRP；
支持STP、RSTP、MSTP；
支持DHCP Server ，支持DHCP Client ，支持DHCP Snooping，支持DHCP Relay；
支持VSU虚拟化技术，支持本地堆叠和远程堆叠，支持通过标准业务口实现虚拟化；
支持IPv4/IPv6静态路由、可扩展支持RIP、RIPng、OSPF、OSPFv3协议;
支持端口流量识别，支持端口流量限速，支持802.1p/DSCP/TOS流量分类，支持SP、WRR、DRR、SP+WFQ、 SP+WRR、SP+DRR、RED/WRED队列调度；
支持过滤非法的MAC地址，支持广播风暴抑制，支持BPDU Guard，支持CPP、NFPP，支持端口保护；
支持SNMP、CLI(Telnet/Console)、RMON、SSH、Syslog/Debug、NTP/SNTP、FTP、TFTP、Web、WIS公有云平台管理;</t>
  </si>
  <si>
    <t>千兆单模光模块</t>
  </si>
  <si>
    <t>LC接口，单模千兆光纤（和交换机同品牌）</t>
  </si>
  <si>
    <t>MINI-GBIC-LX-SM1310</t>
  </si>
  <si>
    <t>1000BASE-LX mini GBIC转换模块（1310nm），10km</t>
  </si>
  <si>
    <t>信号线</t>
  </si>
  <si>
    <t>国标，RVV2*1.0</t>
  </si>
  <si>
    <t>G1807_60227 IEC 53(RVV) 2x1.0</t>
  </si>
  <si>
    <t>国标，RVVP2*1.0</t>
  </si>
  <si>
    <t>G4407_RVVP2x1.0</t>
  </si>
  <si>
    <t>国标，RVVP4*1.0</t>
  </si>
  <si>
    <t>G4607_RVVP4*1.0</t>
  </si>
  <si>
    <t>国标，RVVP6*1.0</t>
  </si>
  <si>
    <t>G4807_RVVP6x1.0</t>
  </si>
  <si>
    <t>JDG20管</t>
  </si>
  <si>
    <t>JDG管，壁厚不小于1.0MM,φ20；含主材、接头、固定扣件（含钢结构扣件）等辅材</t>
  </si>
  <si>
    <t>国产</t>
  </si>
  <si>
    <t>JDG20*1.0</t>
  </si>
  <si>
    <t>JDG管，壁厚不小于1.0MM,φ20；含主材、接头、固定扣件（含钢结构扣件）</t>
  </si>
  <si>
    <t>辅材</t>
  </si>
  <si>
    <t>设备安装配套辅材，水晶头，扎带等</t>
  </si>
  <si>
    <t>项</t>
  </si>
  <si>
    <t>二、智慧安防系统</t>
  </si>
  <si>
    <t>2.1、视频监控系统</t>
  </si>
  <si>
    <t>抗振防抖场景专用摄像机</t>
  </si>
  <si>
    <t>1.设备采用金属机身，主要接口：1个M12航空头网络接口、1个CVBS接口、1个音频输入接口，1个音频输出接口、1个RS485接口、1个报警输入接口、1个报警输出接口、1个SD卡卡槽（内置）
2.内置1/1.8英寸，400万像素CMOS传感器；最大亮度鉴别等级试验≥11级；最大帧率60fps；延时试验小于200ms；照度适应范围不小于140dB
3.外壳防护等级IP66/IP68
4.机身部分碰撞防护等级IK10
5.摄像机应能在额定电源电压DC9V-DC36V范围内正常工作，支持POE供电
6.设备支持红外和暖光补光灯，可通过IE浏览器或客户端切换补光灯类型
7.最低照度试验：彩色：0.0005 lx，黑白：0.0001 lx
8.支持开启、关闭畸变矫正功能
9.防抖功能检查：在水平X轴方向随机抖动频率范围5Hz-62Hz，加速度有效值：5.6m/s²，最大振幅3.39mm；相机配置：2560X1440，最大焦距，座装安装，镜头方向朝下；在图像中指定4个像素点，最大偏移应不超过±1%。
10.防抖功能检查：在水平Y轴方向随机抖动频率范围5Hz-62Hz，加速度有效值：5.6m/s²，最大振幅3.39mm；相机配置：2560X1440，最大焦距，座装安装，镜头方向朝下；在图像中指定4个像素点，最大偏移应不超过±1%。
11.防抖功能检查：在垂直Z轴方向随机抖动频率范围5Hz-26Hz，加速度有效值：5.6m/s²，最大振幅3.39mm；相机配置：2560X1440，最大焦距，座装安装，镜头方向朝下；在图像中指定4个像素点，最大偏移应不超过±1.5%。
12.在彩色模式下，当照度降低至一定值时，设备可自动开启白光灯补光，设备在白天、夜晚均可输出彩色视频图像
13.可通过扫描预览界面上生产的二维码获取设备资料。
14.当移动侦测、进入区域、离开区域、越界区域或区域入侵报警类型设置为人和/或车时，仅当检测区域中出现对应的人和/或车时，才触发报警；当报警产生时，可触发联动白光灯闪烁，白光灯闪烁的时间和频率可设置
15.设备具有APP管理功能，支持在线导入APP、删除APP、加载运行APP、配置APP操作，APP管理操作无需重启设备，操作期间预览画面无中断。
16.设备支持用户自定义最多16个AI算法库，可设置当前生效的算法库和显示当前算法库的运行状态，并支持修改、删除算法库及自定义算法库名称。
17.设备具有良好的环境适应性，工作温度范围可达-40℃～60℃。</t>
  </si>
  <si>
    <t>海康</t>
  </si>
  <si>
    <t>海康威视</t>
  </si>
  <si>
    <t>DS-2XC7245/KZ</t>
  </si>
  <si>
    <t>1.设备采用金属机身，主要接口：1个M12航空头网络接口、1个CVBS接口、1个音频输入接口，1个音频输出接口、1个RS485接口、1个报警输入接口、1个报警输出接口、1个SD卡卡槽（内置）。
2.内置1/1.8英寸，400万像素CMOS传感器。
3.最大亮度鉴别等级试验≥11级。
4.最大帧率60fps。
5.延时试验小于200ms。
6.照度适应范围不小于140dB。
7.外壳防护等级IP66/IP68。
8.机身部分碰撞防护等级IK10。
9.摄像机应能在额定电源电压DC9V-DC36V范围内正常工作，支持POE供电。
10.设备支持红外和暖光补光灯，可通过IE浏览器或客户端切换补光灯类型。
11.最低照度试验：彩色：0.0005 lx，黑白：0.0001 lx。
12.支持开启、关闭畸变矫正功能。
13.防抖功能检查：在水平X轴方向随机抖动频率范围5Hz-62Hz，加速度有效值：5.6m/s²，最大振幅3.39mm；相机配置：2560X1440，最大焦距，座装安装，镜头方向朝下；在图像中指定4个像素点，最大偏移应不超过±1%。
14.防抖功能检查：在水平Y轴方向随机抖动频率范围5Hz-62Hz，加速度有效值：5.6m/s²，最大振幅3.39mm；相机配置：2560X1440，最大焦距，座装安装，镜头方向朝下；在图像中指定4个像素点，最大偏移应不超过±1%。
15.防抖功能检查：在垂直Z轴方向随机抖动频率范围5Hz-26Hz，加速度有效值：5.6m/s²，最大振幅3.39mm；相机配置：2560X1440，最大焦距，座装安装，镜头方向朝下；在图像中指定4个像素点，最大偏移应不超过±1.5%。
16.在彩色模式下，当照度降低至一定值时，设备可自动开启白光灯补光，设备在白天、夜晚均可输出彩色视频图像
17.可通过扫描预览界面上生产的二维码获取设备资料。
18.当移动侦测、进入区域、离开区域、越界区域或区域入侵报警类型设置为人和/或车时，仅当检测区域中出现对应的人和/或车时，才触发报警；当报警产生时，可触发联动白光灯闪烁，白光灯闪烁的时间和频率可设置
19.设备具有APP管理功能，支持在线导入APP、删除APP、加载运行APP、配置APP操作，APP管理操作无需重启设备，操作期间预览画面无中断。
20.设备支持用户自定义最多16个AI算法库，可设置当前生效的算法库和显示当前算法库的运行状态，并支持修改、删除算法库及自定义算法库名称。
21.设备具有良好的环境适应性，工作温度范围可达-40℃～60℃。</t>
  </si>
  <si>
    <t>400万变焦筒型网络摄像机</t>
  </si>
  <si>
    <t>1.支持输出图像分辨率不低于2560x1440
2.最低照度彩色：0.005 lx，最大亮度鉴别等级不小于11级
3.补光距离：红外不低于50 m，白光不低于30 m
4.支持电动变焦
5.具备区域入侵、越界、进入区域、离开区域、人员聚集、快速移动、徘徊、物品移除、物品遗留、停车智能分析功能，当以上智能分析行为达到设定的阈值时，可通过客户端软件或IE浏览器给出报警提示
6.同一场景相同图像质量下设备在H.264或H265编码方式时，开启智能编码功能和不开启智能编码相比，码率节约80%
7.靶面尺寸为1/2.7英寸，内置1个麦克风，具有1个RJ45 网络接口，1路音频输入、1路音频输出、1路报警输入、1路报警输出、1 个复位按钮、1个 SD 卡槽、1个 DC12V 电压输出接口
8.支持H.264、H.265视频编码格式，且具有High Profile编码能力
9.支持电源电源在DC12V±25%范围内变化时正常工作，支持POE
10.IP67防护等级</t>
  </si>
  <si>
    <t>DS-2CD2645V3-FD</t>
  </si>
  <si>
    <t>1.支持输出图像分辨率不低于2560x1440
2.支持电动变焦；焦距&amp;视场角：2.7~13.5 mm，水平视场角：100.2°~33.3°，垂直视场角：53.3°~18.7°，对角视场角：119.0°~38.1°
3.最低照度彩色：0.005 lx，最大亮度鉴别等级不小于11级
4.补光距离：红外不低于50 m，白光不低于30 m
5.具备区域入侵、越界、进入区域、离开区域、人员聚集、快速移动、徘徊、物品移除、物品遗留、停车智能分析功能，当以上智能分析行为达到设定的阈值时，可通过客户端软件或IE浏览器给出报警提示
6.同一场景相同图像质量下设备在H.264或H265编码方式时，开启智能编码功能和不开启智能编码相比，码率节约80%
7.靶面尺寸为1/2.7英寸，内置1个麦克风，具有1个RJ45 网络接口，1路音频输入、1路音频输出、1路报警输入、1路报警输出、1 个复位按钮、1个 SD 卡槽、1个 DC12V 电压输出接口
8.支持H.264、H.265视频编码格式，且具有High Profile编码能力
9.支持电源电源在DC12V±25%范围内变化时正常工作，支持POE
10.IP67防护等级</t>
  </si>
  <si>
    <t>热成像摄像机</t>
  </si>
  <si>
    <r>
      <rPr>
        <sz val="11"/>
        <color rgb="FF000000"/>
        <rFont val="宋体"/>
        <family val="3"/>
        <charset val="134"/>
      </rPr>
      <t>★热成像：分辨率：256×192；焦距：</t>
    </r>
    <r>
      <rPr>
        <sz val="11"/>
        <color rgb="FFFE0300"/>
        <rFont val="宋体"/>
        <family val="3"/>
        <charset val="134"/>
      </rPr>
      <t>焦距可选：3/7/10mm</t>
    </r>
    <r>
      <rPr>
        <sz val="11"/>
        <color rgb="FF000000"/>
        <rFont val="宋体"/>
        <family val="3"/>
        <charset val="134"/>
      </rPr>
      <t>；</t>
    </r>
    <r>
      <rPr>
        <sz val="10"/>
        <rFont val="宋体"/>
        <family val="3"/>
        <charset val="134"/>
      </rPr>
      <t xml:space="preserve">
</t>
    </r>
    <r>
      <rPr>
        <sz val="11"/>
        <color rgb="FF000000"/>
        <rFont val="宋体"/>
        <family val="3"/>
        <charset val="134"/>
      </rPr>
      <t>可见光：分辨率：2688*1520，400万；</t>
    </r>
    <r>
      <rPr>
        <sz val="11"/>
        <color rgb="FFFE0300"/>
        <rFont val="宋体"/>
        <family val="3"/>
        <charset val="134"/>
      </rPr>
      <t>焦距：焦距可选：4mm/8mm/12.4mm</t>
    </r>
    <r>
      <rPr>
        <sz val="11"/>
        <color rgb="FF000000"/>
        <rFont val="宋体"/>
        <family val="3"/>
        <charset val="134"/>
      </rPr>
      <t>；</t>
    </r>
    <r>
      <rPr>
        <sz val="10"/>
        <rFont val="宋体"/>
        <family val="3"/>
        <charset val="134"/>
      </rPr>
      <t xml:space="preserve">
</t>
    </r>
    <r>
      <rPr>
        <sz val="11"/>
        <color rgb="FF000000"/>
        <rFont val="宋体"/>
        <family val="3"/>
        <charset val="134"/>
      </rPr>
      <t>支持1路音频输入，1路音频输出；</t>
    </r>
    <r>
      <rPr>
        <sz val="10"/>
        <rFont val="宋体"/>
        <family val="3"/>
        <charset val="134"/>
      </rPr>
      <t xml:space="preserve">
</t>
    </r>
    <r>
      <rPr>
        <sz val="11"/>
        <color rgb="FF000000"/>
        <rFont val="宋体"/>
        <family val="3"/>
        <charset val="134"/>
      </rPr>
      <t>支持2路报警输入，2路报警输出；</t>
    </r>
    <r>
      <rPr>
        <sz val="10"/>
        <rFont val="宋体"/>
        <family val="3"/>
        <charset val="134"/>
      </rPr>
      <t xml:space="preserve">
</t>
    </r>
    <r>
      <rPr>
        <sz val="11"/>
        <color rgb="FF000000"/>
        <rFont val="宋体"/>
        <family val="3"/>
        <charset val="134"/>
      </rPr>
      <t>外壳防护等级：IP67；</t>
    </r>
    <r>
      <rPr>
        <sz val="10"/>
        <rFont val="宋体"/>
        <family val="3"/>
        <charset val="134"/>
      </rPr>
      <t xml:space="preserve">
</t>
    </r>
    <r>
      <rPr>
        <sz val="11"/>
        <color rgb="FF000000"/>
        <rFont val="宋体"/>
        <family val="3"/>
        <charset val="134"/>
      </rPr>
      <t>电源电压在DC12V±20%范围内变化时，能正常工作；</t>
    </r>
    <r>
      <rPr>
        <sz val="10"/>
        <rFont val="宋体"/>
        <family val="3"/>
        <charset val="134"/>
      </rPr>
      <t xml:space="preserve">
</t>
    </r>
    <r>
      <rPr>
        <sz val="11"/>
        <color rgb="FF000000"/>
        <rFont val="宋体"/>
        <family val="3"/>
        <charset val="134"/>
      </rPr>
      <t>可通过IE浏览器在热成像画面中设置点、线段、区域测温规则；</t>
    </r>
    <r>
      <rPr>
        <sz val="10"/>
        <rFont val="宋体"/>
        <family val="3"/>
        <charset val="134"/>
      </rPr>
      <t xml:space="preserve">
</t>
    </r>
    <r>
      <rPr>
        <sz val="11"/>
        <color rgb="FF000000"/>
        <rFont val="宋体"/>
        <family val="3"/>
        <charset val="134"/>
      </rPr>
      <t>点测温、线测温、区域测温中存在高于或者低于报警或预报警温度时，可在客户端显示不同的报警颜色进行报警提示，联动报警输出，联动录像及联动抓拍；</t>
    </r>
    <r>
      <rPr>
        <sz val="10"/>
        <rFont val="宋体"/>
        <family val="3"/>
        <charset val="134"/>
      </rPr>
      <t xml:space="preserve">
</t>
    </r>
    <r>
      <rPr>
        <sz val="11"/>
        <color rgb="FF000000"/>
        <rFont val="宋体"/>
        <family val="3"/>
        <charset val="134"/>
      </rPr>
      <t>支持声音联动报警功能。可对智能行为、温度超过阈值、出现高温点等行为进行检测并报警，报警声音可设置，同时支持自定义；</t>
    </r>
    <r>
      <rPr>
        <sz val="10"/>
        <rFont val="宋体"/>
        <family val="3"/>
        <charset val="134"/>
      </rPr>
      <t xml:space="preserve">
</t>
    </r>
    <r>
      <rPr>
        <sz val="11"/>
        <color rgb="FF000000"/>
        <rFont val="宋体"/>
        <family val="3"/>
        <charset val="134"/>
      </rPr>
      <t>★噪声等效温差为8mk，最小可分辨温差为200mk（（公京检第2401130038号第100条）</t>
    </r>
    <r>
      <rPr>
        <sz val="10"/>
        <rFont val="宋体"/>
        <family val="3"/>
        <charset val="134"/>
      </rPr>
      <t xml:space="preserve">
</t>
    </r>
    <r>
      <rPr>
        <sz val="11"/>
        <color rgb="FF000000"/>
        <rFont val="宋体"/>
        <family val="3"/>
        <charset val="134"/>
      </rPr>
      <t>热成像视频图像具有白热、黑热、融合1、融合2、彩虹1、铁红2、深褐色等42种显示模式</t>
    </r>
    <r>
      <rPr>
        <sz val="10"/>
        <rFont val="宋体"/>
        <family val="3"/>
        <charset val="134"/>
      </rPr>
      <t xml:space="preserve">
</t>
    </r>
    <r>
      <rPr>
        <sz val="11"/>
        <color rgb="FF000000"/>
        <rFont val="宋体"/>
        <family val="3"/>
        <charset val="134"/>
      </rPr>
      <t>含安装支架</t>
    </r>
  </si>
  <si>
    <t>HM-TD2628-XX/T1A</t>
  </si>
  <si>
    <t>1.热成像分辨率：256 × 192；热成像焦距可选值：3mm/7mm/10 mm
2.可见光分辨率：2688 × 1520；可见光焦距可选值：4mm/8mm/12.4 mm
3.报警输入：支持2路DC 0~5 V报警输入；报警输出：支持2路常开型继电器输出，报警类型可设置
4.音频输入：1路3.5 mm Mic in/Line in interface. Line input: 2-2.4 V[p-p]；音频输出：1路3.5mm Impedance: 600Ω
5.电源输入：12 VDC ± 25%，PoE (802.3at, class 4)
6.防护等级：IP67
7.可通过IE浏览器在热成像画面中设置点、线段、区域测温规则
8.点测温、线测温、区域测温中存在高于或者低于报警或预报警温度时，可在客户端显示不同的报警颜色进行报警提示，联动报警输出，联动录像及联动抓拍
9.支持声音联动报警功能。可对智能行为、温度超过阈值、出现高温点等行为进行检测并报警，报警声音可设置，同时支持自定义
10.噪声等效温差(NETD)检验：热成像视频图像噪声等效温差(NETD)≤8mK
11.最小可分辨温差(MRTD)检验：热成像视频图像最小可分辨温差(MRTD)≤200mk
12.热成像视频图像具有白热、黑热、融合1、融合2、彩虹1、铁红2、深褐色等42种显示模式
13.画面分割功能检验：可通过IE浏览器开启或关闭画面分割功能，开启后会将画面平分为12宫格，每个宫格均可输出最高温、最低温及平均温数值                                             含支架安装</t>
  </si>
  <si>
    <t>高空球型鹰眼</t>
  </si>
  <si>
    <t>1.全景通道最高分辨率不小于6072 x 2640，细节通道最高分辨率不小于3840x2160。
2.全景通道内置4个镜头、靶面尺寸不小于1/1.8英寸的CMOS传感器，细节通道内置1个镜头，靶面尺寸不小于1/1.2英寸的CMOS传感器。
3.设备在全景拼接模式下，垂直视场角不小于110°，水平视场角不小于180°。可将4个全景视频图像进行拼接，实现不小于180°拼接画面显示，并抓拍拼接后的图片。
4.细节通道内置镜头支持不小于45倍光学变倍，镜头最大焦距不小于320mm。
5.设备具有光学防抖功能，将镜头倍率设置为最大，快门设置为1/25s，在振动台振幅不大于0.3°，振动频率不大于10Hz情况下，设备视场角应无明显变化，视频图像在振动过程中应保持稳定清晰
6.设备内置2个雨刷器，雨刷器1可清洁全景通道镜头表面玻璃，雨刷器2可清洁细节通道镜头表面玻璃。
7.设备细节通道水平手控最大速度不小于500°/s，垂直手控最大速度不小于350°/s。
8.设备具备双安装接口，一个为快速旋转安装接口，一个为多孔稳定安装接口。
9.支持不小于300个预置位，支持预置位冻结功能。
10.内置不少于3个GPU芯片。
11.支持智能行为分析功能，智能分析行为类型为区域入侵、越界入侵、进入区域、离开区域等，支持行为分析触发后联动聚焦、联动目标跟踪、报警上传等多种报警触发方式。
12.设备在全景视频图像中点击或框选移动目标至设备开始转动的时间小于0.3s，全景图像检测到且框选出移动目标至设备开始转动时间小于0.3s。
13.设备全景通道支持人员密度检测功能，可开启、关闭人员密度检测功能，最多可设置8个多边形（3～10条边）人员密度检测区域。每个区域的名称、人员数量报警阈值等级（低、中、高等级）可自定义。
14.设备全景通道车辆拥堵检测功能，开启车辆拥堵检测功能后，当设置区域内的车辆滞留时间超过设定值时，可通过IE浏览器给出报警提示。
15.设备可切换智能模式，当更换当前智能模式时设备不需重启，新智能模式即可生效。
16.设备全景通道具有默认拼接、手动拼接、自动拼接3种拼接模式；自动拼接模式下设备可自动获取特征并进行拼接。
17.设备具有AI-ISP图像质量提升功能，在低照度环境下，可自动调节预览场景视频画面中人脸、人体、车辆等目标及预览场景视频画面的区域曝光、亮度、色彩饱和度、对比度、锐度等。
18.设备具有不少于1个RJ45网络接口、1个光纤接口、7路报警输入、2路报警输出、1路音频输入、1路音频输出。内置的北斗定位模块，具有定位功能，可自动获取设备所在位置经纬度信息。
19.防护等级不低于IP67。</t>
  </si>
  <si>
    <t>DS-2DP1618XS-LD</t>
  </si>
  <si>
    <t>1.全景通道最高分辨率不小于6072 x 2640，细节通道最高分辨率不小于3840x2160。
2.全景通道内置4个镜头、靶面尺寸不小于1/1.8英寸的CMOS传感器，细节通道内置1个镜头，靶面尺寸不小于1/1.2英寸的CMOS传感器。
3.设备在全景拼接模式下，垂直视场角不小于110°，水平视场角不小于180°。可将4个全景视频图像进行拼接，实现不小于180°拼接画面显示，并抓拍拼接后的图片。
4.细节通道内置镜头支持不小于45倍光学变倍，镜头最大焦距不小于320mm。
5.设备具有光学防抖功能，将镜头倍率设置为最大，快门设置为1/25s，在振动台振幅不大于0.3°，振动频率不大于10Hz情况下，设备视场角应无明显变化，视频图像在振动过程中应保持稳定清晰。
6.设备内置2个雨刷器，雨刷器1可清洁全景通道镜头表面玻璃，雨刷器2可清洁细节通道镜头表面玻璃。
7.设备细节通道水平手控最大速度不小于500°/s，垂直手控最大速度不小于350°/s。
8.设备具备双安装接口，一个为快速旋转安装接口，一个为多孔稳定安装接口。
9.支持不小于300个预置位，支持预置位冻结功能。
10.内置不少于3个GPU芯片。
11.支持智能行为分析功能，智能分析行为类型为区域入侵、越界入侵、进入区域、离开区域等，支持行为分析触发后联动聚焦、联动目标跟踪、报警上传等多种报警触发方式。
12.设备在全景视频图像中点击或框选移动目标至设备开始转动的时间小于0.3s，全景图像检测到且框选出移动目标至设备开始转动时间小于0.3s。
13.设备全景通道支持人员密度检测功能，可开启、关闭人员密度检测功能，最多可设置8个多边形（3～10条边）人员密度检测区域。每个区域的名称、人员数量报警阈值等级（低、中、高等级）可自定义。
14.设备全景通道车辆拥堵检测功能，开启车辆拥堵检测功能后，当设置区域内的车辆滞留时间超过设定值时，可通过IE浏览器给出报警提示。
15.设备可切换智能模式，当更换当前智能模式时设备不需重启，新智能模式即可生效。
16.设备水平安装在8m高度时，可通过全景通道监控设备正下方8m且水平距离0.5m处的行人目标。
17.设备全景通道具有默认拼接、手动拼接、自动拼接3种拼接模式；自动拼接模式下设备可自动获取特征并进行拼接。
18.设备具有AI-ISP图像质量提升功能，在低照度环境下，可自动调节预览场景视频画面中人脸、人体、车辆等目标及预览场景视频画面的区域曝光、亮度、色彩饱和度、对比度、锐度等。
19.设备支持画中画功能，可通过IE浏览器在细节图像中叠加全景视频图像进行预览。
20.设备可在立体防控系统平台上添加、修改、删除和标注AR标签，包括警务站视频标签、建筑物视频标签、卡口视频标签和普通视频标签，最多可添加500个标签。可通过客户端软件在视频画面上添加定点标签、区域标签、矢量标签和方向标签，并可对标签进行联动操作。
21.当设备调焦或转动时，立体防控系统平台上的AR视频标签应与所标记物体保持相对静止。
22.当通过标签名称对标签进行搜索并选中指定标签时，设备应转动至指定标签方向并聚焦，当点击指定标签时，可查看标签信息并对相关联的设备视频图像进行预览和放大等操作。
23.设备具有偏色矫正功能，可通过手动或自动的方式对采集到的视频进行偏色矫正。
24.设备可对全景通道、细节通道监控画面中的移动标签进行跟踪且跟踪时间、跟踪倍率可设，在跟踪过程中，移动标签始终位于画面中心位置。在细节通道上添加或删除指定标签时，全景通道的相同位置应自动添加或删除该标签。
25.开启补光灯，可识别距设备不小于500m处的人体轮廓。
26.设备具有不少于1个RJ45网络接口、1个光纤接口、7路报警输入、2路报警输出、1路音频输入、1路音频输出。内置的北斗定位模块，具有定位功能，可自动获取设备所在位置经纬度信息。
27.防护等级不低于IP67。</t>
  </si>
  <si>
    <t>人脸识别布控球</t>
  </si>
  <si>
    <t>1.单北斗5G双摄便携球套装
2.支持双摄：40倍光学变倍机芯，最大分辨率2560*1440，图像清晰、细腻，低照度，彩色0.0001Lux；全景镜头8M，分辨率2160×3840
3.支持自动彩转黑功能，实现昼夜监控
4.支持人脸比对，可存储30W张人脸名单（含一张1TB TF卡）
5.支持车辆检测及抓拍
6.支持抽烟、佩戴安全帽、玩手机、未穿工作服检测
7.支持3D-DNR
8.支持双TF卡存储
9.支持5G模块（天线内置），可额外扩展1个4G模块
10.配置可拆卸电池，单电池可支持8-9小时连续工作
11.支持双MIC、双扬声器，可选配支持LINE IN\LINE OUT
12.支持自定义语音导入，可关联智能分析报警
13.自带2.4寸LCD显示屏，可支持视频预览，云台控制等，可显示当前电池电量、定位状态、3G/4G/5G状态、录像状态、存储容量、蓝牙状态、平台连接状态、Wi-Fi状态、智能算法模式等
14.底部配置高吸力磁铁，安装便捷</t>
  </si>
  <si>
    <t>iDS-MCD402-MF/40X+TF-P1/1T/TAY</t>
  </si>
  <si>
    <t>1.单北斗5G双摄便携球套装
2.支持双摄：40倍光学变倍机芯，最大分辨率2560*1440，图像清晰、细腻，低照度，彩色0.0001Lux；全景镜头8M，分辨率2160×3840；
3.支持自动彩转黑功能，实现昼夜监控
4.支持人脸比对，可存储30W张人脸名单（已配置1张1TB TF卡）
5.支持车辆检测及抓拍
6.支持抽烟、佩戴安全帽、玩手机、未穿工作服检测
7.支持3D-DNR
8.支持双TF卡存储
9.支持5G模块（天线内置），可额外扩展1个4G模块
10.配置可拆卸电池，单电池可支持8-9小时连续工作
11.支持双MIC、双扬声器，可选配支持LINE IN\LINE OUT
12.支持自定义语音导入，可关联智能分析报警
13.自带2.4寸LCD显示屏，可支持视频预览，云台控制等，可显示当前电池电量、定位状态、3G/4G/5G状态、录像状态、存储容量、蓝牙状态、平台连接状态、Wi-Fi状态、智能算法模式等
14.底部配置高吸力磁铁，安装便捷</t>
  </si>
  <si>
    <t>智能融合应用主机</t>
  </si>
  <si>
    <t>1.整机最大支持512路普通视频流(2MP)接入或768路文搜相机(2MP/4MP)接入，实现大模型以文搜图算法、人脸算法、结构化算法并行分析
2.整机共搭载8张GPU计算卡，其中4张抓拍卡，用于视频全目标抓拍；4张计算卡，共6个虚拟引擎，可自定义配置以文搜图算法、人脸算法、结构化算法
3.设备支持1亿条目标抓拍图片、结构化属性、模型存储（人脸+结构化）
4.集成GCN聚类算法，实现二级人员聚类方案，提供更优的人员目标聚类效果
5.大模型以文搜图算法；支持1亿条图片数据秒级文本搜图
6.大模型文本预警：支持文本描述目标关键特征，快速开启布防任务；支持1000条文本语义预警布防；最大支持50路视频流文本预警
7.大模型文本微调：支持对搜索结果进行快速标定和文本微调训练，提升文本搜图和预警效果；单次最大支持50张图片进行微调
8.人脸应用：支持目标抓拍、比对报警，以图搜图、属性检索，高频报警，1V1比对，人员档案
9.支持300万人脸静态库，300万人脸名单库比对报警，128个名单库，1亿条抓拍数据秒级检索
10.结构化应用：支持人体/车辆/非机动车抓拍、建模，以图搜图、属性检索
11.CPU：2颗64位多核处理器
12.GPU：8张GPU计算卡
13.系统内存：160GB DDR4内存
14.系统盘：2×240GB SSD
15.数据盘：1×1.92T SSD（M.2 NVMe），1× 4TB SATA盘，8× 8TB SATA盘
16.网络接口：2×千兆电口 + 2×万兆光口
17.其它接口：2×VGA接口，4×USB接口
18.整机电源：1200W ，1+1冗余电源</t>
  </si>
  <si>
    <t>DS-IX2512-U/SF</t>
  </si>
  <si>
    <t>【智能应用】
整机最大支持512路普通视频流(2MP)接入或768路文搜相机(2MP/4MP)接入，实现智能目标抓拍、大模型以文搜图算法、人脸算法、结构化算法并行分析。
整机共搭载8张GPU计算卡，其中4张抓拍卡，用于视频全目标抓拍；4张计算卡，共6个虚拟引擎，可自定义配置以文搜图算法、人脸算法、结构化算法；
设备支持1亿条目标抓拍图片、结构化属性、模型存储（人脸+结构化）
集成GCN聚类算法，实现二级人员聚类方案，提供更优的人员目标聚类效果
支持以下3大类算法：
1、大模型以文搜图算法
实时视频流/历史视频流：最大支持512路分析（512路2MP/256路4MP/128路8MP 视频流）
图片流：建模性能90张/秒（目标小图或 2MP/4MP大图+坐标）或65张/秒（8MP大图+坐标）
大模型图文建模：支持对目标进行大模型建模，通过建模引擎将目标图片转化成语义数据模型
大模型文本搜图：输入搜索目标的文本描述，可快速搜索对应的视图内容，支持搜人、车、非机动车、物品；
支持1亿条图片数据秒级文本搜图
大模型文本预警：支持文本描述目标关键特征，快速开启布防任务；支持1000条文本语义预警布防；最大支持50路视频流文本预警
大模型文本微调：支持对搜索结果进行快速标定和文本微调训练，提升文本搜图和预警效果；单次最大支持50张图片进行微调
单个虚拟引擎：90张/秒（目标小图或 2MP/4MP大图+坐标）或65张/秒（8MP大图+坐标），预分配1个虚拟引擎
2、人脸算法
人脸应用：支持目标抓拍、比对报警，以图搜图、属性检索，高频报警，1V1比对，人员档案
实时视频流/历史视频流：最大支持512路分析（512路2MP/256路4MP/128路8MP 视频流）
图片流：支持384张/秒（建模+比对+聚类）
离线录像导入，支持1TB空间，最大支持128倍速分析（128倍速2MP/64倍速4MP/32倍速8MP 视频文件）
支持300万人脸静态库，300万人脸名单库比对报警，128个名单库，1亿条抓拍数据秒级检索
单个虚拟引擎：128张/秒（建模+比对+聚类），预分配3个虚拟引擎
3、结构化算法
结构化应用：支持人体/车辆/非机动车抓拍、建模，以图搜图、属性检索
实时视频流/历史视频流：最大支持512路分析（512路2MP/256路4MP/128路8MP 视频流）
图片流：支持260张/秒
单个虚拟引擎：最大130张/秒，预分配2个虚拟引擎
离线录像导入，支持1TB空间，最大支持128倍速分析（128倍速2MP/64倍速4MP/32倍速8MP 视频文件）
【硬件规格】
CPU：2颗64位多核处理器
GPU：8张GPU计算卡
系统内存：160GB DDR4内存
系统盘：2×240GB SSD
数据盘：1×1.92TB SSD（M.2 NVMe），1× 4TB SATA盘，8× 8TB SATA盘
网络接口：2×千兆电口 + 2×万兆光口
其它接口：2×VGA接口，4×USB接口
整机电源：1200W ，1+1冗余电源
机箱尺寸：87.5 mm(高) × 446.6 mm（宽） × 835 mm（深）</t>
  </si>
  <si>
    <t>AI服务器</t>
  </si>
  <si>
    <r>
      <rPr>
        <sz val="11"/>
        <color rgb="FF000000"/>
        <rFont val="宋体"/>
        <family val="3"/>
        <charset val="134"/>
      </rPr>
      <t>主处理器：配置2颗KP920处理器，核数≥24核，主频≥2.5GHz；</t>
    </r>
    <r>
      <rPr>
        <sz val="10"/>
        <rFont val="宋体"/>
        <family val="3"/>
        <charset val="134"/>
      </rPr>
      <t xml:space="preserve">
</t>
    </r>
    <r>
      <rPr>
        <sz val="11"/>
        <color rgb="FF000000"/>
        <rFont val="宋体"/>
        <family val="3"/>
        <charset val="134"/>
      </rPr>
      <t>操作系统：openEuler-22.03-LTS-aarch64</t>
    </r>
    <r>
      <rPr>
        <sz val="10"/>
        <rFont val="宋体"/>
        <family val="3"/>
        <charset val="134"/>
      </rPr>
      <t xml:space="preserve">
</t>
    </r>
    <r>
      <rPr>
        <sz val="11"/>
        <color rgb="FF000000"/>
        <rFont val="宋体"/>
        <family val="3"/>
        <charset val="134"/>
      </rPr>
      <t>智能卡数量：配置8张Atlas 300V 智能卡；最大可支持8个智能卡</t>
    </r>
    <r>
      <rPr>
        <sz val="10"/>
        <rFont val="宋体"/>
        <family val="3"/>
        <charset val="134"/>
      </rPr>
      <t xml:space="preserve">
</t>
    </r>
    <r>
      <rPr>
        <sz val="11"/>
        <color rgb="FFFE0300"/>
        <rFont val="宋体"/>
        <family val="3"/>
        <charset val="134"/>
      </rPr>
      <t>场景以本表格《附录五硬件场景需求表》为准</t>
    </r>
    <r>
      <rPr>
        <sz val="10"/>
        <rFont val="宋体"/>
        <family val="3"/>
        <charset val="134"/>
      </rPr>
      <t xml:space="preserve">
</t>
    </r>
    <r>
      <rPr>
        <sz val="11"/>
        <color rgb="FFFE0300"/>
        <rFont val="宋体"/>
        <family val="3"/>
        <charset val="134"/>
      </rPr>
      <t>要求算法识别准确率、设备监测准确率不低于95%</t>
    </r>
  </si>
  <si>
    <t>DS-IF2008/AI</t>
  </si>
  <si>
    <t>处理器：配置2颗KP920 7260处理器，核数≥64核，主频≥2.6GHz；支持2颗鲲鹏920处理器（每颗处理器32/48/64核，主频2.6GHz）
内存：配置 384G DDR4；最大支持32根内存插槽，其中32核机型16个DDR4内存插槽，48/64核机型32个DDR4内存插槽
存储方案：配置1块480G SSD；最多配置16个3.5英寸SAS/SATA硬盘
独显&amp;GPU扩展：配置8张Atlas 300V Pro加速卡；最大可支持8个半高半长单宽AI加速卡
存储控制器：标配SAS_HBA 卡，支持RAID 0/1/10；可选支持 RAID 0, 1, 5, 6, 10, 50, 60，可选支持超级电容掉电保护
网络控制器：配置2个千兆电口、2个万兆光口；支持2个板载网络插卡，每个插卡支持4*G电口或者2*10GE/25GE光口；或支持2个OCP3.0网卡
PCI&amp;PCI E扩展槽：最大可支持11个标准PCIe槽位；或2个PCIe4.0 x16+5个PCIe 4.0 x8；或9个PCIe 4.0 x8标准插槽
散热系统：支持4个热拔插风扇模组，支持N+1冗余
电源方案：配置2000W(1+1)冗余电源；2个热插拔900W或2000W交流电源模块；支持1+1冗余
其它端口：前面板提供2个USB3.0 、1个VGA、1个Type-C接口；
后面板提供2个USB3.0端口、1个DB15 VGA端口、1个3.5mm串口、1个RJ45系统管理端口
机箱尺寸：447 mm*814 mm*86.1 mm（宽*深*高）
操作系统兼容：HIKOS、openEuler、SUSE、Ubuntu、CentOS、中标麒麟、银河麒麟、普华、统信、中科红旗、麒麟信安、拓林思等操作系统等操作系统
管理功能：BMC支持IPMI、SOL、KVM over IP以及虚拟媒体，提供1个10/100/1000Mbps的RJ45管理网口</t>
  </si>
  <si>
    <t>存储服务器</t>
  </si>
  <si>
    <t>1.服务器配置： 1颗64位多核处理器，8GB内存，内存支持扩展到≥256GB，内置SSD固态硬盘（可以扩展到4个SSD作为缓存盘），配置8个风扇，风扇支持热插拔并可冗余温控调速；支持热插拔1+1AC220V电源或1+1直流冗余电源供电
2. 设备具备1个定位灯、1个电源灯、1个设备报警灯、1个就绪灯、1个网络状态灯、1个系统盘状态灯、1个硬盘状态灯，机箱具备防尘滤网，采用双立柱防震设计。设备左右侧面各2个抬手，具备前面板抽拉标签卡
3. 4个2.5Gb网口，支持2个前置 USB2.0接口、2个后置USB3.0接口，支持1个前置VGA接口、1个后置HDMI接口，支持1个RS-232串口，支持4个PCI-E3.0 
4. 可接入2T/3T/4T/6T/8T/10T/12T/14T/16T/18T/20T/25T/26T/30T SATA/SAS硬盘；支持NL-SAS 硬盘、HDD硬盘、SSD硬盘、氦气硬盘、空气硬盘；支持 CMR或SMR硬盘；支持硬盘交错/分时启动
5.支持SATA和SAS混插，支持不同品牌（希捷、西数、东芝、海康威视）的硬盘混插；支持不同大小的硬盘混合使用，可显示硬盘的总容量（各个硬盘容量之和）
6. 应能接入并存储总码流不超过4096Mbps的2048路2Mbps码流或1024路4Mbps码流的视(音)频图像;同时转发总码流不超过4096Mbps的2048路2MbpS码流或1024路4Mbps码流的视(音)频图像;同时下载总码流不超过4096Mbps的2Mbps码流的视(音)频图像;同时回放总码流不超过1400 Mbps的视(音)频图像。当RAID处于降级或重构状态时，存储业务正常。在转发模式下，可进行4096路2Mbps视频码流转发，在总带宽不变的情况下，接入、转发、回放间的性能值可自由调整
7. 支持 ONVIF、PSIA、TCP/IP、UDP、SIP、SIP2.0、RTSP、RTP、RTCP、iSCSI、CIFS(SMB)、NFS、FTP、HTTP、AFP、RSYNC、SNMP、IPV4、IPV6、HLS、S3、OSS等协议，支持IP组播
8.抓拍图片、弹出报警画面、发送语音提示、上传中心、蜂鸣报警以及日志
9.可扩展支持将前端一路视频流同时存入两台存储；支持双机间编码器和录像同步，故障时可进行互相接管
10.可对视音频、图片、结构化数据、对象等文件进行混合存储，并可通过http和https方式下载 
11.支持查看硬盘体检报告、硬盘深度体检和磁盘档案；支持下载单个硬盘或批量硬盘的报告，支持按时间显示硬盘的坏扇区、温度、振动变化趋势的曲线图；支持硬盘体检报告打印输出；支持查看硬盘体检的历史记录、硬盘健康状态，包括健康、亚健康、故障等；
12.更换系统盘并配置好信息后，再次开机无需人工介入，可自动恢复业务，历史数据不应丢失。
13.配置48块8T硬盘</t>
  </si>
  <si>
    <t>DS-A71148R/GR</t>
  </si>
  <si>
    <t>1.设备配置：≥1颗64位多核处理器，≥8GB内存，内存支持扩展到≥256GB，内置SSD固态硬盘（可以扩展到4个SSD作为缓存盘），配置≥8个风扇，风扇支持热插拔并可冗余温控调速；支持热插拔1+1AC220V电源或1+1直流冗余电源供电
2.设备标配：≥4个2.5Gb网口，支持2个前置 USB2.0接口、2个后置USB3.0接口，支持1个前置VGA接口、1个后置HDMI接口，支持1个RS-232串口，支持4个PCI-E扩展槽
3.具有48个硬盘热插拔插槽；支持硬盘热插拔设备在读写数据时，热插拔设备内的任意块硬盘，设备正常运行不宕机，硬盘不损坏，数据不丢失，业务不中断（本次已配置48块8TB硬盘）
4.设备具备1个定位灯、1个电源灯、1个设备报警灯、1个就绪灯、1个网络状态灯、1个系统盘状态灯、1个硬盘状态灯，机箱具备防尘滤网，采用双立柱防震设计。设备左右侧面各2个抬手，具备前面板抽拉标签卡
5. 可接入2T/3T/4T/6T/8T/10T/12T/14T/16T/18T/20T/25T/26T/30T SATA/SAS硬盘；支持NL-SAS 硬盘、HDD硬盘、SSD硬盘、氦气硬盘、空气硬盘；支持 CMR或SMR硬盘；支持硬盘交错/分时启动
6.支持视音频、图片、智能数据流进行混合直存，无须存储服务器和图片服务器的参与，平台服务器宕机时，存储业务正常；支持国际GB/T 28181和Onvif视频流直存模式
7.支持 ONVIF、PSIA、TCP/IP、UDP、SIP、SIP2.0、RTSP、RTP、RTCP、iSCSI、CIFS(SMB)、NFS、FTP、HTTP、AFP、RSYNC、SNMP、IPV4、IPV6、HLS、S3、OSS等协议，支持IP组播
8.支持网络RAID纠删码技术，多台存储设备组建网络RAID，设置为负载均衡；单台或多台存储设备组建网络RAID，允许每组RAID中任意1-18个磁盘发生故障，数据不丢失，存储服务不中断；允许每组RAID中任意20块硬盘发生故障，业务不中断
9.设备支持版本回退功能，在当前版本出现故障或操作失误后，可进行回退到历史版本，回退后录像正常回放，且历史录像完整
10.设备支持MAID2.0磁盘节能功能，当磁盘不工作时，可根据设置的时间自动启动磁盘降速或磁盘休眠指令，降低磁盘驱动能耗
11.设备支持硬盘的多级工作模式，包括性能模式、空闲模式（A\B\C，A：硬盘短时空闲，可以正常响应IO；B：较多空闲，磁头不再移动，硬盘满转；C:硬盘完全空闲，磁头不再移动，硬盘降速）、休眠模式（硬盘不再旋转，新下发IO需要唤醒）
12.BMC支持复杂密码，设备首次使用默认密码登录BMC时，提示修改密码，并且需要强制修改完密码后重新登陆，否则无法进入BMC web</t>
  </si>
  <si>
    <t>原有安防监控平台扩容</t>
  </si>
  <si>
    <t>本次项目新增的前端摄像机需接入原有监控管理平台进行统一管理，并实现如下功能：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t>
  </si>
  <si>
    <t>路</t>
  </si>
  <si>
    <t>视频监控软件</t>
  </si>
  <si>
    <t>视频监控应用提供视频管理服务，支持编码设备通过海康设备网络SDK协议、海康Ehome协议、海康ISUP5.0协议、GB28181协议、ONVIF协议、大华设备网络SDK协议、萤石协议接入平台，实现视频预览、录像回放、视频上墙、视频事件监控服务能力，并且在网络带宽不足、有流量限制的网络环境下可以通过以图片替代视频的模式提供监控服务。
【功能介绍】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
【规格参数】
1、支持监控点数量10W个（超过5000需要分布式部署）；
2、支持并发取流带宽2000M，例如以2M/路计算最大并发路数为1000路 （以千兆服务器为例，每台服务器并发取流带宽为600M，超过600M需要分布式部署）；
3、解码能力：在i7、GTX1070的PC上，解码H264、720P的视频36路；
4、支持电视墙最大场景数128个；
5、单个电视墙最大支持数量25*25个；
6、单个窗口最大分割数量16个。</t>
  </si>
  <si>
    <t>8口POE接入交换机（带光口）</t>
  </si>
  <si>
    <t>千兆以太网交换机，PoE交换机；
端口描述：不低于10个10/100/1000M电口，不低于2个SFP口，1个console口；
背板带宽：不低于336Gbps/3.36Tbps；
包转发率：不低于27Mpps/102Mpps；
支持Console，Telnet，WEB，SNMP；
PoE：1-8口支持（整机PoE供电不低于125W，最大同时支持8个PoE端口）
PoE+：1-8口支持（整机PoE供电不低于125W，最大同时支持4个PoE+端口）</t>
  </si>
  <si>
    <t>RG-S2906-10GT2MS-P-L</t>
  </si>
  <si>
    <t>10个10/100/1000M自适应电口，2个1G/2.5G SFP光口，固化单交流电源，无风扇，1-8端口支持PoE/PoE+远程供电，125W POE供电
交换容量：432Gbps/4.32Tbps
包转发率：30/108Mpps
支持过滤地址，支持静态地址；
支持4K 802.1Q VLAN，支持Port based VLAN，支持Voice VLAN；
过滤非法的MAC地址，支持硬件CPP、NFPP；
IPv4/IPv6静态路由
支持MAC扩展ACL，支持ACL80，支持全局ACL，支持ACL重定向；
支持IEEE 802.3az标准的EEE（Energy Efficient Ethernet，节能以太网）技术；
SNMP、CLI(Telnet/Console)、Syslog/Debug、NTP、TFTP、Web、WIS公有云平台管理</t>
  </si>
  <si>
    <t>24口POE接入交换机-单电源</t>
  </si>
  <si>
    <t>1.在不插板卡情况下，单设备交换容量≥336Gbps，包转发率≥126Mpps，提供≥24个千兆电接口、≥4个万兆SFP+光接口。
2.支持支持802.3at/POE+供电标准。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★15、提供真实有效的工信部入网证复印件；
★16、原厂质保≥3年</t>
  </si>
  <si>
    <t>RG-S2910-24GT4XS-P-L</t>
  </si>
  <si>
    <t>24个10/100/1000Base-T自适应以太网接口（POE+），4个1GE/10GE SFP+接口；
交换容量:672Gbps/6.72Tbps;包转发率:126Mpps;单端口最大供电30W，整机最大供电370W；
支持4K 802.1Q VLAN，支持Port based VLAN，支持MAC based VLAN，支持Voice VLAN，支持GVRP；
支持STP、RSTP、MSTP；
支持DHCP Server ，支持DHCP Client ，支持DHCP Snooping，支持DHCP Relay；
支持VSU虚拟化技术，支持本地堆叠和远程堆叠，支持通过标准业务口实现虚拟化；
支持IPv4/IPv6静态路由、可扩展支持RIP、RIPng、OSPF、OSPFv3协议;
支持端口流量识别，支持端口流量限速，支持802.1p/DSCP/TOS流量分类，支持SP、WRR、DRR、SP+WFQ、 SP+WRR、SP+DRR、RED/WRED队列调度；
支持过滤非法的MAC地址，支持广播风暴抑制，支持BPDU Guard，支持CPP、NFPP，支持端口保护；
支持SNMP、CLI(Telnet/Console)、RMON、SSH、Syslog/Debug、NTP/SNTP、FTP、TFTP、Web、WIS公有云平台管理;</t>
  </si>
  <si>
    <t>万兆单模光模块</t>
  </si>
  <si>
    <t>SFP+万兆模块(1310nm,10km,LC)</t>
  </si>
  <si>
    <t>XG-SFP-LR-SM1310-I</t>
  </si>
  <si>
    <t>万兆LC接口模块（1310nm），10km，适用于SFP+接口</t>
  </si>
  <si>
    <t>六类非屏蔽双绞线</t>
  </si>
  <si>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</si>
  <si>
    <t>D165-D</t>
  </si>
  <si>
    <t>电源线</t>
  </si>
  <si>
    <t>国标，RVV3*2.5</t>
  </si>
  <si>
    <t>G1910_60227 IEC 53(RVV) 3x2.5</t>
  </si>
  <si>
    <t>背包箱</t>
  </si>
  <si>
    <t>1.尺寸：不低于400mmX300mmX500mm
2.配置空开、插线板，设备的安装附件和安装螺钉；满足现场使用需求。
3.结构：整体结构采用拼焊结构，牢固、钢性好、牢固可靠，表面采用热镀锌处理。
4.防护等级不低于IP55，保护内部设备不受外界恶劣环境的干扰；
5.箱体采用1.2mm的标号201不锈钢板，整体喷塑。
颜色和立杆保持一致。</t>
  </si>
  <si>
    <t>400mmX300mmX500mm</t>
  </si>
  <si>
    <t>尺寸：400mmX300mmX500mm
防护等级不低于IP55
箱体采用1.2mm的标号201不锈钢板</t>
  </si>
  <si>
    <t>3.5米监控立杆</t>
  </si>
  <si>
    <t>1.3.5米监控立杆，含地笼及混凝土基础；
2.颜色和背包箱保持一致。</t>
  </si>
  <si>
    <t>3.5米</t>
  </si>
  <si>
    <t>3.5米监控立杆，含地笼及混凝土基础；</t>
  </si>
  <si>
    <t>SC4芯单模满配含熔接尾纤、法兰、SC光跳线。</t>
  </si>
  <si>
    <t>单模双芯LC-LC优质3米光纤跳线；</t>
  </si>
  <si>
    <t>S936</t>
  </si>
  <si>
    <t>无人机</t>
  </si>
  <si>
    <t>最大飞行时间（无风环境）：＞50分钟
环境适应性：防护等级≥ IP55，最大抗风速度≥12 米/秒
环境感知：全向双目视觉系统，辅以机身底部三维红外传感器
广角：1/1.3 英寸 CMOS，有效像素 4800 万
中长焦：1/1.3 英寸 CMOS，有效像素 4800 万
长焦：1/1.5 英寸 CMOS，有效像素 4800 万
热成像相机：1280 × 1024@30fps
激光测距：正入射量程 1800 米（1 Hz）@20% 反射率目标
线缆级自动避障</t>
  </si>
  <si>
    <t>大疆、道通、复亚智能、云圣智能</t>
  </si>
  <si>
    <t>大疆</t>
  </si>
  <si>
    <t>1.DJI Matrice 4TD（中国版）
2.DJI AL1 探照灯
3.DJI AS1 喊话器
4.DJI Matrice 4 避障雷达</t>
  </si>
  <si>
    <t>最大飞行时间（无风环境）：54分钟
环境适应性：防护等级： IP55，最大抗风速度：12 米/秒
环境感知：全向双目视觉系统，辅以机身底部三维红外传感器
广角：1/1.3 英寸 CMOS，有效像素 4800 万
中长焦：1/1.3 英寸 CMOS，有效像素 4800 万
长焦：1/1.5 英寸 CMOS，有效像素 4800 万
热成像相机：1280 × 1024@30fps
激光测距：正入射量程 1800 米（1 Hz）@20% 反射率目标
线缆级自动避障</t>
  </si>
  <si>
    <t>环境适应性：工作温度为 -30℃ 至 50℃ ，防护等级为 IP56
最大作业半径≥5 公里
充电时间＜30 分钟
舱内可直播相机分辨率：1920 × 1080
机巢图传系统
依据现场情况自行评估是否需要增加中继设备</t>
  </si>
  <si>
    <t>套</t>
  </si>
  <si>
    <t>1.大疆机场3
2.DJI 增强图传模块
3.大疆O4地面站
4.DJI Care 行业无忧旗舰版（DJI O4 地面站）中国版
5.设备安装与部署</t>
  </si>
  <si>
    <t>环境适应性：工作温度为 -30℃ 至 50℃ ，防护等级为 IP56
最大作业半径：10 公里
充电时间:27分钟
舱内可直播相机分辨率：1920 × 1080
机巢图传系统
依据现场情况自行评估需要增加中继设备</t>
  </si>
  <si>
    <t>私有化平台，支持算法和大模型，支持二次开发，可视化界面操作
支持本地建模，支持一键起飞，多航线设定（巡检航线和指令航线）
支持自定义模糊查找、导出照片
接入智慧安防系统
巡查管理支持无人机航线绘制和飞行任务管理，同时提供飞行实时监控：
1、航线绘制：
提供自定义航线，支持手动在地图上绘制航电，生成航线
2、飞行任务管理：
提供基础巡查任务管理，对指定航线进行巡检，支持单次、重复、定时、连续等飞行策略
3、飞行监控：支持全局视角、无人机视角多视角展示：
1）支持以2.5D地图可视化呈现无人机、机库、手持地面站、飞手等地理位置及相关信息，对禁飞区、电子围栏等区域分布进行图上统计展示。
2）支持展示地面站数量、无人机数量、任务数量、飞行里程、飞行架次、飞行时长等。
3）支持对当前执飞无人机进行实时动态监测，展示无人机当前位置、高度、速度等信息，可以查看当前无人机挂载视频实时画面。
4）支持无人机远程控制，包含一键起飞、一键返航等操作，可以针对无人机挂载设备进行广播喊话、拍照、云台控制等操作。
5）支持展示任务信息、航线信息、预警信息、地面站信息等。
6）支持按飞机、按飞手、按任务查询对应飞行任务的图片档案信息。
7）支持飞机、按飞手、按任务查询对应飞行任务的视频档案信息。</t>
  </si>
  <si>
    <t>1.大疆司空 2 一体机套装（中国标准版）
2.烟雾识别
3.明火识别
4.消防通道占用识别
5.违规堆放识别</t>
  </si>
  <si>
    <t>私有化平台，支持算法和大模型，支持二次开发，可视化界面操作
支持本地建模，支持一键起飞，多航线设定（巡检航线和指令航线）
支持自定义模糊查找、导出照片
接入智慧安防系统
巡查管理支持无人机航线绘制和飞行任务管理，同时提供飞行实时监控：
1、航线绘制：
提供自定义航线，支持手动在地图上绘制航电，生成航线
2、飞行任务管理：
提供基础巡查任务管理，对指定航线进行巡检，支持单次、重复、定时、连续等飞行策略
3、飞行监控：支持全局视角、无人机视角多视角展示：
1）支持以2.5D地图可视化呈现无人机、机库、手持地面站、飞手等地理位置及相关信息，对禁飞区、电子围栏等区域分布进行图上统计展示。
2）支持展示地面站数量、无人机数量、任务数量、飞行里程、飞行架次、飞行时长等。
3）支持对当前执飞无人机进行实时动态监测，展示无人机当前位置、高度、速度等信息，可以查看当前无人机挂载视频实时画面。
4）支持无人机远程控制，包含一键起飞、一键返航等操作，可以针对无人机挂载设备进行广播喊话、拍照、云台控制等操作。
5）支持展示任务信息、航线信息、预警信息、地面站信息等。
6）支持按飞机、按飞手、按任务查询对应飞行任务的图片档案信息。
7）支持飞机、按飞手、按任务查询对应飞行任务的视频档案信息。</t>
  </si>
  <si>
    <t>手持设备</t>
  </si>
  <si>
    <t>1.ARM八核2.0GHz处理器，4GB RAM，64GB ROM
2.图像采集：前置摄像头500万像素；后置摄像头1300万像素
3.支持二维码、NFC读卡、室外GPS定位+电子地图巡更方案
4.内置高灵敏度卫星定位模块，支持北斗，GPS，Glonass定位
5.防水、防尘、防摔（IP68）,支持1.5米防摔，适合全天候野外作业
6.支持NFC协议；支持ISO15693、ISO14443A/B
7.支持远程巡更任务接收，巡更任务管理
8.支持巡更人员登录注册，进行权限管理
9.支持巡更任务查询，巡更任务提醒等协助巡更的功能
10.有网络环境下支持巡更记录实时上传，无网络环境下支持巡更记录断点续传</t>
  </si>
  <si>
    <t>蓝卡、广拓、海康</t>
  </si>
  <si>
    <t>DS-MDT102/MF</t>
  </si>
  <si>
    <t>巡更手持机(C)
ARM八核2.0GHz处理器，4GB RAM，64GB ROM
图像采集：前置摄像头500万像素；后置摄像头1300万像素
支持二维码、NFC读卡、室外GPS定位+电子地图巡更方案
内置高灵敏度卫星定位模块，支持北斗，GPS，Glonass定位
防水、防尘、防摔（IP68）,支持1.5米防摔，适合全天候野外作业
支持NFC协议；支持ISO15693、ISO14443A/B
支持远程巡更任务接收，巡更任务管理
支持巡更人员登录注册，进行权限管理
支持巡更任务查询，巡更任务提醒等协助巡更的功能
有网络环境下支持巡更记录实时上传，无网络环境下支持巡更记录断点续传</t>
  </si>
  <si>
    <t>1.NFC巡更打卡，使用单兵设备可直接进行巡更打卡
2.二维码扫描，通过系统权限验证的用户，可通过扫描二维码查看巡更记录
3.抬头预留空窗，可根据需求自主印刷
4.工作温度：-40℃～85℃
5.工作湿度：5%～95% 无冷凝</t>
  </si>
  <si>
    <t>DS-TRC100-8/X</t>
  </si>
  <si>
    <t>巡更牌
NFC巡更打卡，使用单兵设备可直接进行巡更打卡
二维码扫描，通过系统权限验证的用户，可通过扫描二维码查看巡更记录；
抬头预留空窗，可根据需求自主印刷
工作温度：-40℃～85℃
工作湿度：5%～95% 无冷凝</t>
  </si>
  <si>
    <t>1.支持发卡类型：ID卡、IC卡、身份证物料卡号（序列号）、普通CPU卡、国密CPU卡
2.USB2.0接口
3.具有2个Sim卡尺寸的PSAM卡座
4.工作电压：DC 5V
5.工作电流：0.2A</t>
  </si>
  <si>
    <t>DS-K1F100K</t>
  </si>
  <si>
    <t>支持发卡类型：ID卡、IC卡、身份证物料卡号（序列号）、普通CPU卡、国密CPU卡；
USB2.0接口；
具有2个Sim卡尺寸的PSAM卡座；
工作电压：DC 5V；
工作电流：0.2A；
尺寸：117*67.5*14.3mm</t>
  </si>
  <si>
    <t>巡更管理软件</t>
  </si>
  <si>
    <t>一、巡更点
1、支持将门禁设备、近距离射频识别NFC、二维码等多种方式设置为巡更点打卡凭证；
2、支持根据实际管理需求自定义扩展巡更点类型；
二、巡更计划
1、支持有序巡更与无序巡更两种现场巡更模式。
2、支持对巡更计划进行全流程管理，可配置计划名称、有效期、任务执行周期（支持每天/每周/每月/每年或指定日期）、巡更点及执行人。执行人支持按具体人员、角色或组织进行灵活分配。
3、支持查看巡更计划列表，显示信息包括计划名称、巡更区域、巡更点数量、计划有效期等；同时支持按计划名称、状态、计划有效期、创建时间、巡更区域等多条件对计划进行检索。
三、巡更任务
1、支持系统根据巡更计划自动执行巡更任务的生成。
2、支持管理人员手动触发基于巡更计划的巡更任务生成。
3、支持通过待办任务方式提醒巡更人员按时执行巡更任务。
4、支持查看巡更任务列表，显示信息包括巡更任务编号、所属巡更计划、所属区域、任务类型、巡更点数量、发现问题数、任务开始时间等；同时支持按任务状态、任务类型、任务开始时间等多条件对任务进行检索。
3、支持离线巡更模式，可通过专用巡更棒或现场移动APP执行打卡操作。
四、巡更记录
1、支持查看巡更任务记录，显示信息包括巡更任务编号、所属区域、巡更计划模板、任务时间、巡更对象数等，并支持按条件检索及数据导出。
2、支持查看单次巡更任务的详细报告，并可支持打印。</t>
  </si>
  <si>
    <t>1.光纤类型: 4芯单模光纤
2.纤芯类型: G.652D 9/125μm 非色散位移单模光纤
3.光缆外径: 8.6mm(±5%)
4.抗压系数: 短期：1000N/10cm
5.长期：300N/10cm
6.拉伸强度: 短期：1500N
7.长期：600N
8.最小弯曲半径: 光缆外径的10倍（静态）
9.光缆外径的20倍（动态）
10.光缆传输衰减: 1310nm≤0.36dB/km；1550nm≤0.22dB/km
11.工作温度: -40~70℃
12.工作湿度: 0~95%R.H
13.防护等级: IP68</t>
  </si>
  <si>
    <t>福科斯、广拓、海康</t>
  </si>
  <si>
    <t>DS-PO2-iDFM/S4/G</t>
  </si>
  <si>
    <t>【基本参数】
光纤类型: 4芯单模光纤
纤芯类型: G.652D
光缆外径: 8.6mm(±5%)
抗压系数: 短期：1000N/10cm
长期：300N/10cm
拉伸强度: 短期：1500N
长期：600N
最小弯曲半径: 光缆外径的10倍（静态）
光缆外径的20倍（动态）
光缆传输衰减: 1310nm≤0.36dB/km
1550nm≤0.22dB/km
【一般规范】
工作温度: -40~70℃
工作湿度: 0~95%R.H
防护等级: IP68</t>
  </si>
  <si>
    <t>1.当在布防区域模拟触发入侵报警时，在1s的时间内输出入侵报警信号。
2.当出现断纤时，在1s的时间内通过系统输出断纤报警信号，且可通过显示/指示单元显示距光纤始端最近的断纤位置，该信号的输出形式应在说明书中明示且应区别于其他报警信号。
3.分布式定位型振动光纤系统的外壳设有防拆保护装置,当外壳被打开到足以触及其中的任何控制部件或机械固定的调节器时,防拆保护装置动作,并输出防拆报警信号,该信号的输出形式应区别于其他报瞥信号。
4.通道开关按键16个，支持通过通道开关按键启用/关闭通道功能
5.系统支持报警分级功能，共分为3个级别，由3至1报警紧迫或重要程度逐级增加。系统支持各等级独立设置阈值参数。
6.系统支持与摄像机联动，并支持通过摄像机对图片、视频进行分析复核
7.定位精度（检测结果）：探测距离≤5km，定位精度±2.0m；探测距离＞5km且≤20km，定位精度±5.0m；探测距离＞20km且≤40km，定位精度±5.0m；探测距离＞40km且≤80km，定位精度±5.0m
8.在固定的振动激励条件下（振幅及频率不变），系统探测到的振动幅度最大偏差在±10%以内。
9.在固定声源激励敏感部件的条件下，系统支持音频信号还原及播放。
10.抗风干扰符合III级风速干扰条件下，不产生误报警和漏报警：Ill级：7～8级风速、Ih、17.1m/s～20.7m/s
11.抗雨干扰符合满足III级暴雨干扰条件下，不产生误报警和漏报警：Ill级：暴雨、每24h降水强度100mm、lh
12.主机应支持至少8路输入(开关量),至少8路输出(开关量)接口扩展。
13.系统应具有远程参数配置与程序更新功能;应具有集中维护管理功能,应可在远端进行系统设备的日常维护管理。
14.单通道瀑布图数据应每分钟实时上报；瀑布图原始数据采样分辨率应能达到0.4m，时间分辨率应不大于0.1；系统应支持瀑布图数据输出和瀑布图数据管理</t>
  </si>
  <si>
    <t>DS-QFA3016DW</t>
  </si>
  <si>
    <t>1.当在布防区域模拟触发入侵报警时，在1s的时间内输出入侵报警信号。
2.当出现断纤时，在1s的时间内通过系统输出断纤报警信号，且可通过显示/指示单元显示距光纤始端最近的断纤位置，该信号的输出形式应在说明书中明示且应区别于其他报警信号。
3.分布式定位型振动光纤系统的外壳设有防拆保护装置,当外壳被打开到足以触及其中的任何控制部件或机械固定的调节器时,防拆保护装置动作,并输出防拆报警信号,该信号的输出形式应区别于其他报瞥信号。
4.通道开关按键16个，支持通过通道开关按键启用/关闭通道功能
5.系统支持报警分级功能，共分为3个级别，由3至1报警紧迫或重要程度逐级增加。系统支持各等级独立设置阈值参数。
6.系统支持与摄像机联动，并支持通过摄像机对图片、视频进行分析复核
7.定位精度（检测结果）：探测距离≤5km，定位精度±2.0m；探测距离＞5km且≤20km，定位精度±5.0m；探测距离＞20km且≤40km，定位精度±5.0m；探测距离＞40km且≤80km，定位精度±5.0m
8.在固定的振动激励条件下（振幅及频率不变），系统探测到的振动幅度最大偏差在±10%以内。
9.在固定声源激励敏感部件的条件下，系统支持音频信号还原及播放。
10.抗风干扰符合III级风速干扰条件下，不产生误报警和漏报警：Ill级：7～8级风速、Ih、17.1m/s～20.7m/s。
11.抗雨干扰符合满足III级暴雨干扰条件下，不产生误报警和漏报警：Ill级：暴雨、每24h降水强度100mm、lh。
12.当使用0.1Hz~5kHz范围内的固定频率模拟振动时，客户端应能解调出对应振动频率。
13.高温检测：室内设备符合II级试验条件：55°C±2°C、2h；室外设备符合II级试验条件：70°C±2°C、2h；
14.低温检测：室内设备符合II级试验条件：-10°C±3°C、2h；室外设备符合II级试验条件：-40°C±3°C、2h；
15.恒定湿热试验：室内、室外设备均符合试验条件：（40±2）°C、相对湿度（93±2）%，持续时间48h；
16.激光安全认证等级一级（GB/T 7247.1-2024 《激光产品的安全 第 1 部分:设备分类和要求》）
17.系统采用DAS技术
18.多点同时报警：当探测器被触发时,应能在信号处理器或显示/指示单元上指示出入侵发生的位置。当定位型探测器同一个光纤振动传感器的多个位置同时被触发时,不应漏掉指示任意一个位置。
19.当信号处理器的电源断开时，探测器应能产生报警状态。
20.主机应支持至少8路输入(开关量),至少8路输出(开关量)接口扩展。
21.系统应具有远程参数配置与程序更新功能;应具有集中维护管理功能,应可在远端进行系统设备的日常维护管理。
22.主机风扇故障时,系统应能产生报警。当风扇失效后,系统应能正常工作1小时以上。
23.主机应支持热插拔硬盘驱动器、热插拔风扇。
24.客户端应支持告警事件音频播放功能,应支持以瀑布图形式在时间/空间/强度三个指标进行呈现。
25.单通道瀑布图数据应每分钟实时上报。
26.瀑布图原始数据采样分辨率应能达到0.4m，时间分辨率应不大于0.1S</t>
  </si>
  <si>
    <t>1.安装方式: 将扎线带尾巴穿过头部，即可束紧。
2.尺寸规格: 5*300mm
3.最大承受拉力: 200N±15N
4.包装数量: 250根/包
5.耐温: -40℃ ~ +80℃
6.材料: 尼龙PA66抗紫外线（UV）原料</t>
  </si>
  <si>
    <t>包</t>
  </si>
  <si>
    <t>DS-PO2-CTS/UV5300</t>
  </si>
  <si>
    <t>【常规参数】
安装方式: 将扎线带尾巴穿过头部，即可束紧。
【基本参数】
尺寸规格: 5*300mm
最大承受拉力: 200N±15N
包装数量: 250根/包
耐温: -40℃ ~ +80℃
材料: 尼龙PA66抗紫外线（UV）原料</t>
  </si>
  <si>
    <t>1.光纤接续盒
2.材质：ABS工程塑料
3.规格：进出缆数，二进二出</t>
  </si>
  <si>
    <t>只</t>
  </si>
  <si>
    <t>DS-PO2-UG/ABS</t>
  </si>
  <si>
    <t>光纤接续盒
材质：ABS工程塑料
规格：进出缆数，二进二出
尺寸(宽x高x深)：460mm*170mm*110mm
外壳材质：ABS工程塑料</t>
  </si>
  <si>
    <t>1.塑料格栅是用于埋地方式部署振动光纤时，用于埋地时承载探测光缆的承载物
2.尺寸(宽x高x深): 网格：3.2cm*3.5cm；边宽3.3mm；边厚：1.3mm</t>
  </si>
  <si>
    <t>m2</t>
  </si>
  <si>
    <t>DS-PO-PG</t>
  </si>
  <si>
    <t>塑料格栅
塑料格栅是用于埋地方式部署振动光纤时，用于埋地时承载探测光缆的承载物
尺寸(宽x高x深)：网格：3.2cm*3.5cm；边宽3.3mm；边厚：1.3mm</t>
  </si>
  <si>
    <t>1.存储接口：1个SATA接口，内置1TB硬盘
2.视频接口：1×HDMI，1×VGA
3.网络接口：2×RJ45 10/100/1000Mbps自适应以太网口
4.报警接口：4路报警输入，1路报警输出
5.串行接口：1路RS-232接口、1路RS-485接口
6.USB接口：1×USB 2.0，1×USB 3.0
7.整机搭载2颗高性能AI引擎，支持周界防范引擎模式
8.周界防范应用：支持对平台下发图片进行二次分析，检测图片中的人体，车辆目标，并将分析结果回传平台；图片流性能：4张/s；单颗AI引擎分析能力：2张/s</t>
  </si>
  <si>
    <t>iDS-6716NX/S-ZD</t>
  </si>
  <si>
    <t>1盘位1.5U嵌入式边缘计算主机，采用存算一体架构，内置高性能AI处理器
【硬件规格】
存储接口：1个SATA接口，内置1TB硬盘
视频接口：1×HDMI，1×VGA
网络接口：2×RJ45 10/100/1000Mbps自适应以太网口
报警接口：4路报警输入，1路报警输出
串行接口：1路RS-232接口、1路RS-485接口
USB接口：1×USB 2.0，1×USB 3.0
【智能应用】
整机搭载2颗高性能AI引擎，支持周界防范引擎模式
一、周界防范应用：
支持对平台下发图片进行二次分析，检测图片中的人体，车辆目标，并将分析结果回传平台；
图片流性能：4张/s
单颗AI引擎分析能力：2张/s</t>
  </si>
  <si>
    <t>振动光纤接入管理软件</t>
  </si>
  <si>
    <t>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t>
  </si>
  <si>
    <t>【功能描述】
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
【性能参数】
1、支持振动光纤主机管理数量100个；
2、设备上报数据最大并发处理数量200条/秒</t>
  </si>
  <si>
    <t>周界监测预警软件</t>
  </si>
  <si>
    <t>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</si>
  <si>
    <t>【功能描述】
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</si>
  <si>
    <t>现场开挖回填</t>
  </si>
  <si>
    <t>绿化破坏恢复</t>
  </si>
  <si>
    <t>平方米</t>
  </si>
  <si>
    <t>1.探测方式：主动红外
2.警戒距离：100米
3.光源类型：红外数字脉冲
4.光源波长：940nm
5.光束频率：750Hz
6.光轴角度：水平180°(±90°)；垂直 20°(±10°)
7.感应速度：50-700ms 
8.防拆输出：NC  触点容量  DC30V0.5A max 
9.光束数量：4光束
10.报警输出接口：NC/NO  触点容量 DC30V0.5A max 
11.防护等级：IP55
12.工作温度及湿度：-25℃~+55℃；≤95%（无凝结）
13.产品重量：2265g（毛重）
14.产品尺寸：370mm*96mm*95mm
15.外壳材质：PC(外罩)+ABS(本体)
16.工作电压：DC12-24V / AC12-18V
17.工作电流：投光器+受光器≤130mA
18.最大功率：≤5W 
19.含配套支架</t>
  </si>
  <si>
    <t>DS-PB401-4100-R</t>
  </si>
  <si>
    <t>探测方式：主动红外
警戒距离：100米
光源类型：红外数字脉冲
光源波长：940nm
光束频率：750Hz
光轴角度：水平180°(±90°)；垂直 20°(±10°)
感应速度：50-700ms 
防拆输出：NC  触点容量  DC30V0.5A max 
光束数量：4光束
报警输出接口：NC/NO  触点容量 DC30V0.5A max 
防护等级：IP55
工作温度及湿度：-25℃~+55℃；≤95%（无凝结）
产品重量：2265g（毛重）
产品尺寸：370mm*96mm*95mm
外壳材质：PC(外罩)+ABS(本体)
工作电压：DC12-24V / AC12-18V
工作电流：投光器+受光器≤130mA
最大功率：≤5W
含安装支架</t>
  </si>
  <si>
    <t>配套工控箱</t>
  </si>
  <si>
    <t>DS-PB-WPB01P</t>
  </si>
  <si>
    <t>红外对射工控箱（镀锌喷塑）
周界报警对射类产品户外弱电施工工控箱，工业级防护。
内置工业级漏电保护模块，施工、检修安全保障。
内置工业级浪涌防护模块，有效降低感应雷、浪涌电流对内接弱电设备的损害，保障其稳定运行。
内置工业级开关电源模块，为红外对射发射、接收端以及其他配套外设提供直流供电。</t>
  </si>
  <si>
    <t>1.具有规定权限的用户应能对控制指示设备进行全部和/或部分设防操作。设防成功后，控制指示设备应有相应的指示。设防失败时，控制指示设备应能立即给出指示和/或报警信号和/或信息。
2.当控制指示设备的多个探测回路依次或同时被触发时，不应产生漏报警。
3.告警装置安装在机内时，报警声压应不小于80dB(A)，告警装置安装在机外时，报警声压应不小于100dB(A)。
4.控制指示设备在开机后，应能进行自检，并给出自检结果指示。
5.控制指示设备应具有主电源和备用电源，应能在主电源和备用电源之间转换，电源转换时，工作应正常，不应出现漏报警及误报警:当主电源断电时，应能自动转换至备用电源供电;当主电源恢复时，可自动转换至主电源供电，并对备用电源自动充电:在给备用电源充电的同时，工作应正常。
6.主机支持 MAC、IP 绑定或限制访问
7.主机防拆报警不额外占用主机防区
8.主机上报支持至少4个中心组</t>
  </si>
  <si>
    <t>DS-19A08-01BN/F</t>
  </si>
  <si>
    <t>操作系统：Linux
日志存储：40000条
系统校时：手动校时、NTP校时 
子系统：8个
公共子系统：支持 
板载防区：8路
扩展防区：最大可扩展248路（其中无线防区上限为64个） 
板载警号输出：1路
板载继电器输出：4路
扩展输出：最大可扩展252路 
具有规定权限的用户应能对控制指示设备进行全部和/或部分设防操作。设防成功后，控制指示设备应有相应的指示。设防失败时，控制指示设备应能立即给出指示和/或报警信号和/或信息。
当控制指示设备的多个探测回路依次或同时被触发时，不应产生漏报警。
告警装置安装在机内时，报警声压应不小于80dB(A)，告警装置安装在机外时，报警声压应不小于100dB(A)。
控制指示设备在开机后，应能进行自检，并给出自检结果指示。
控制指示设备应具有主电源和备用电源，应能在主电源和备用电源之间转换，电源转换时，工作应正常，不应出现漏报警及误报警:当主电源断电时，应能自动转换至备用电源供电;当主电源恢复时，可自动转换至主电源供电，并对备用电源自动充电:在给备用电源充电的同时，工作应正常。
主机支持 MAC、IP 绑定或限制访问
主机防拆报警不额外占用主机防区
主机上报支持至少4个中心组</t>
  </si>
  <si>
    <t>1.有线LCD键盘（支持遥控器&amp;刷卡）
2.操作指令接收：支持对报警系统进行布防、撤防、消警、旁路、旁路恢复、紧急求助等操作
3.操作方式管理：支持密码、遥控器、刷卡方式对报警系统进行操作指令交互
4.报警状态指示：支持对报警系统防区报警状态进行实时指示，包括指示灯变化，提示音变化，文字内容变化等
5.系统状态展示：支持对报警系统运行状态进行展示，包括主电源状态、蓄电池状态、防拆状态、子系统布撤防状态，防区状态、扩展模块状态等
6.胁迫码功能：支持通过胁迫密码进行布撤防管理，并将警情进行中心上报
7.防区名称自定义：支持防区名称自定义配置，在键盘屏幕中展示对应文字内容
8.配置管理：支持通过键盘对报警主机进行参数配置，包括密码修改、防区类型配置、上报中心参数配置等</t>
  </si>
  <si>
    <t>DS-PK-LRT</t>
  </si>
  <si>
    <t>有线LCD键盘（支持遥控器&amp;刷卡）
操作指令接收：支持对报警系统进行布防、撤防、消警、旁路、旁路恢复、紧急求助等操作
操作方式管理：支持密码、遥控器、刷卡方式对报警系统进行操作指令交互
报警状态指示：支持对报警系统防区报警状态进行实时指示，包括指示灯变化，提示音变化，文字内容变化等
系统状态展示：支持对报警系统运行状态进行展示，包括主电源状态、蓄电池状态、防拆状态、子系统布撤防状态，防区状态、扩展模块状态等
胁迫码功能：支持通过胁迫密码进行布撤防管理，并将警情进行中心上报
防区名称自定义：支持防区名称自定义配置，在键盘屏幕中展示对应文字内容
配置管理：支持通过键盘对报警主机进行参数配置，包括密码修改、防区类型配置、上报中心参数配置等
操作系统：Linux
显示屏：LCD（尺寸80X25mm）
指示灯：5个
按键数量：20个 
蜂鸣器：支持 
遥控器：支持
卡片：支持 
无线频率：RF433Mhz
双向无线通讯：支持
跳频技术：支持
无线加密：AES128 
总线类型：RS485
总线距离：800米
总线线型：RVV4*1.0mm² 
主电源：DC 12 V
RS-485接口：1路 
使用场景：室内
安装方式：壁挂
供电方式：DC 12 V
额定功率：1.2W
最大功率：1.8W
颜色：白色
外壳材质：塑料
产品重量：≤0.28 kg
产品尺寸：164 mm（宽）× 124 mm（深）× 31 mm（高）
工作温度及湿度：-10°C~55°C，湿度小于90%（无凝结）
存储温度及湿度：-20°C~60C，湿度小于90%（无凝结）</t>
  </si>
  <si>
    <t>1.电池类型：阀控密封式铅酸蓄电池
2.电池规格：DC12V7AH
3.停止供电电压：10.5V
4.电池放电温度及湿度：-20°C~50°C，湿度小于95%（无凝结）
5.电池充电温度及湿度：-20°C~50°C，湿度小于95%（无凝结） 
6.安装方式：立式
7.颜色：黑色
8.外壳材质：ABS阻燃（V-1）
9.产品重量：2.0±3%Kg
10.产品尺寸：151mm*65mm*100mm
11.工作温度及湿度：-20°C~50°C，湿度小于95%（无凝结）</t>
  </si>
  <si>
    <t>DS-PZ101VB</t>
  </si>
  <si>
    <t>报警主机蓄电池
高效充放电：采用高能量密度和功率密度，具备优秀的瞬间大电流能力、充电接受能力和循环放电性能
安全环保：采用铅钙多元合金格栅和可靠的阀控密封技术，耐腐蚀性强
电池类型：阀控密封式铅酸蓄电池
电池规格：DC12V7AH
停止供电电压：10.5V
电池放电温度及湿度：-20°C~50°C，湿度小于95%（无凝结）
电池充电温度及湿度：-20°C~50°C，湿度小于95%（无凝结） 
安装方式：立式
颜色：黑色
外壳材质：ABS阻燃（V-1）
产品重量：2.0±3%Kg
产品尺寸：151mm*65mm*100mm
工作温度及湿度：-20°C~50°C，湿度小于95%（无凝结）</t>
  </si>
  <si>
    <t>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t>
  </si>
  <si>
    <t>DS-PS1-R</t>
  </si>
  <si>
    <t>【技术参数】
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
【产品功能】
1、声光报警：提供警灯闪烁和报警音频输出，用于提示警情处置
2、模式切换：支持关闭报警音频输出，仅提供警灯闪烁模式输出
3、内置水平仪：可通过内置水平仪调节安装角度，方便调试安装</t>
  </si>
  <si>
    <t>1.设备类型：总线2防区扩展模块
2.防区数量：2个
3.通讯接口：M-BUS
4.通讯线材：RVV2*1.5
5.通讯协议：M-BUS协议
6.外壳材质：塑料
7.使用环境：室内
8.工作电源：DC36V/20mA Max（主机总线供电）
9.工作温度：-10 °C 至 55 °C
10.工作湿度：10% 至 90%
11.产品尺寸：49.4*32*14.3mm</t>
  </si>
  <si>
    <t>DS-19M02</t>
  </si>
  <si>
    <t>【技术参数】
1、设备类型：总线2防区扩展模块
2、防区数量：2个
3、通讯接口：M-BUS
4、通讯线材：RVV2*1.5
5、通讯协议：M-BUS协议
6、外壳材质：塑料
7、使用环境：室内
8、工作电源：DC36V/20mA Max（主机总线供电）
9、工作温度：-10 °C 至 55 °C
10、工作湿度：10% 至 90%
11、产品尺寸：49.4*32*14.3mm
【产品功能】
1、防区扩展：通过RVV线方式接入报警主机，扩展2路有线防区
2、总线无极性：总线接口不区分极性，方便施工安装
3、地址设置：通过拨码方式设置模块地址，拨码地址不能重复</t>
  </si>
  <si>
    <t>入侵报警软件</t>
  </si>
  <si>
    <t>1、支持报警子系统管理能力，包含布防、撤防、消警控制操作；
2、支持防区管理能力，包含旁路、旁路恢复操作；
3、支持实时入侵报警能力；
4、支持历史入侵报警事件查询及导出能力；</t>
  </si>
  <si>
    <t>入侵报警应用基于前端防区探测器进行园区范围内的入侵行为或意外事件的迅速感知和处理，实现针对园区内部的高效安全防范。
【功能介绍】
1、支持报警子系统管理能力，包含布防、撤防、消警控制操作；
2、支持防区管理能力，包含旁路、旁路恢复操作；
3、支持实时入侵报警能力；
4、支持历史入侵报警事件查询及导出能力；
【规格参数】
1、支持管理最大防区数量10000个；
2、支持报警记录最大存储数量1000W条。</t>
  </si>
  <si>
    <t>国标，RVV2*1.5</t>
  </si>
  <si>
    <t>G1808_60227 IEC 53(RVV) 2x1.5</t>
  </si>
  <si>
    <t>国标，RVV4*0.75</t>
  </si>
  <si>
    <t>G2003_60227 IEC 53(RVV) 4x0.75</t>
  </si>
  <si>
    <t>1.名称：全局网络控制器 
2.参数：单核 A8@1GHz，1GB DDR3 / 4GB microSD，2× 百兆，2×RS-485，可扩展4 个 I/O/ 现场总线模块。协议：BACnet IP/MS/TP + Modbus TCP/RTU + LonWorks + KNX + SNMP + oBIX，编程：Niagara 图形化编程，功能极强，适合复杂联锁 / 算法。满足现场现场功能所需的点位授权费</t>
  </si>
  <si>
    <r>
      <rPr>
        <sz val="11"/>
        <color rgb="FF000000"/>
        <rFont val="Calibri"/>
        <family val="2"/>
      </rPr>
      <t>1</t>
    </r>
    <r>
      <rPr>
        <sz val="11"/>
        <color rgb="FF000000"/>
        <rFont val="宋体"/>
        <family val="3"/>
        <charset val="134"/>
      </rPr>
      <t>、包含、空开、导轨及接线端子</t>
    </r>
    <r>
      <rPr>
        <sz val="11"/>
        <color rgb="FF000000"/>
        <rFont val="Calibri"/>
        <family val="2"/>
      </rPr>
      <t xml:space="preserve">
2</t>
    </r>
    <r>
      <rPr>
        <sz val="11"/>
        <color rgb="FF000000"/>
        <rFont val="宋体"/>
        <family val="3"/>
        <charset val="134"/>
      </rPr>
      <t>、国产优质箱体，根据实际安装设备测量后成套定制</t>
    </r>
  </si>
  <si>
    <t>国产一线品牌</t>
  </si>
  <si>
    <t>1200*800*200</t>
  </si>
  <si>
    <t>1、包含、空开良信16A*3、正泰220V转24V变压器*1、电源模块明纬250V转24VDC*1、继电器正泰*15、接线端子*260、导轨*3M、线材*120M、线槽*6m</t>
  </si>
  <si>
    <t>8U-PWSP04</t>
  </si>
  <si>
    <t>输入：85-264 VAC，50/60Hz
输出：24 VDC
电流：4A
保护：过流保护、过压保护、短路保护
EMC：符合CE、UL、RoHS标准
安装：35mm DIN导轨安装
外壳：工业级阻燃外壳
工作温度：-20℃ ~ +60℃</t>
  </si>
  <si>
    <t>漏水探测器;固定电极式;可设置 5 级灵敏度;继电器：1×SPST(3A-30VDC 或 250VAC) 
工作环境：-10~50°C，5~95%RH，非凝露</t>
  </si>
  <si>
    <t>WLD200</t>
  </si>
  <si>
    <t>量程：30~120dBA（A 计权）。
精度：±0.5dB，分辨率 0.1dB。
频率：20Hz~12.5kHz。
供电：10~30VDC（建议 24V）。
防护：IP65，室外可用 输出信号为 0-10V。</t>
  </si>
  <si>
    <t>RS485</t>
  </si>
  <si>
    <r>
      <rPr>
        <sz val="11"/>
        <color rgb="FF000000"/>
        <rFont val="宋体"/>
        <family val="3"/>
        <charset val="134"/>
      </rPr>
      <t>1.标准：不低于TIA/EIA568-C.2、ISO/IEC11801、IEC60332-1、GB 50311；</t>
    </r>
    <r>
      <rPr>
        <sz val="10"/>
        <rFont val="宋体"/>
        <family val="3"/>
        <charset val="134"/>
      </rPr>
      <t xml:space="preserve">
</t>
    </r>
    <r>
      <rPr>
        <sz val="11"/>
        <color rgb="FFFE0300"/>
        <rFont val="宋体"/>
        <family val="3"/>
        <charset val="134"/>
      </rPr>
      <t>2.导体规格：2.导体规格：多股绞合铜线，4×2×24AWG；</t>
    </r>
    <r>
      <rPr>
        <sz val="10"/>
        <rFont val="宋体"/>
        <family val="3"/>
        <charset val="134"/>
      </rPr>
      <t xml:space="preserve">
</t>
    </r>
    <r>
      <rPr>
        <sz val="11"/>
        <color rgb="FF000000"/>
        <rFont val="宋体"/>
        <family val="3"/>
        <charset val="134"/>
      </rPr>
      <t>3.护套材料：PVC，护套外径：6.3±0.3mm；</t>
    </r>
    <r>
      <rPr>
        <sz val="10"/>
        <rFont val="宋体"/>
        <family val="3"/>
        <charset val="134"/>
      </rPr>
      <t xml:space="preserve">
</t>
    </r>
    <r>
      <rPr>
        <sz val="11"/>
        <color rgb="FF000000"/>
        <rFont val="宋体"/>
        <family val="3"/>
        <charset val="134"/>
      </rPr>
      <t>4.插头规格：RJ45，8P8C；</t>
    </r>
    <r>
      <rPr>
        <sz val="10"/>
        <rFont val="宋体"/>
        <family val="3"/>
        <charset val="134"/>
      </rPr>
      <t xml:space="preserve">
</t>
    </r>
    <r>
      <rPr>
        <sz val="11"/>
        <color rgb="FF000000"/>
        <rFont val="宋体"/>
        <family val="3"/>
        <charset val="134"/>
      </rPr>
      <t>5.插拔次数：≥1000次；</t>
    </r>
    <r>
      <rPr>
        <sz val="10"/>
        <rFont val="宋体"/>
        <family val="3"/>
        <charset val="134"/>
      </rPr>
      <t xml:space="preserve">
</t>
    </r>
    <r>
      <rPr>
        <sz val="11"/>
        <color rgb="FF000000"/>
        <rFont val="宋体"/>
        <family val="3"/>
        <charset val="134"/>
      </rPr>
      <t>6.最高传输频率：不小于250MHz；</t>
    </r>
    <r>
      <rPr>
        <sz val="10"/>
        <rFont val="宋体"/>
        <family val="3"/>
        <charset val="134"/>
      </rPr>
      <t xml:space="preserve">
</t>
    </r>
    <r>
      <rPr>
        <sz val="11"/>
        <color rgb="FF000000"/>
        <rFont val="宋体"/>
        <family val="3"/>
        <charset val="134"/>
      </rPr>
      <t>7.线缆外护套上间隔印有商标、电缆编号、电缆类别、线规、防火等级、标准；</t>
    </r>
    <r>
      <rPr>
        <sz val="10"/>
        <rFont val="宋体"/>
        <family val="3"/>
        <charset val="134"/>
      </rPr>
      <t xml:space="preserve">
</t>
    </r>
    <r>
      <rPr>
        <sz val="11"/>
        <color rgb="FF000000"/>
        <rFont val="宋体"/>
        <family val="3"/>
        <charset val="134"/>
      </rPr>
      <t>8.支持以太网供电应用（POE/POE+）；</t>
    </r>
    <r>
      <rPr>
        <sz val="10"/>
        <rFont val="宋体"/>
        <family val="3"/>
        <charset val="134"/>
      </rPr>
      <t xml:space="preserve">
</t>
    </r>
    <r>
      <rPr>
        <sz val="11"/>
        <color rgb="FF000000"/>
        <rFont val="宋体"/>
        <family val="3"/>
        <charset val="134"/>
      </rPr>
      <t>9.描述：用于办公桌桌面跳线，长度2米</t>
    </r>
    <r>
      <rPr>
        <sz val="10"/>
        <rFont val="宋体"/>
        <family val="3"/>
        <charset val="134"/>
      </rPr>
      <t xml:space="preserve">
</t>
    </r>
    <r>
      <rPr>
        <sz val="11"/>
        <color rgb="FF000000"/>
        <rFont val="宋体"/>
        <family val="3"/>
        <charset val="134"/>
      </rPr>
      <t>10.为了保证性能的匹配性和稳定性，综合布线光纤系统、铜缆系统应采用同一品牌。</t>
    </r>
  </si>
  <si>
    <t>48口接入交换机-集成单电源</t>
  </si>
  <si>
    <t>在不插板卡情况下，单设备交换容量≥432Gbps 包转发率≥166Mpps, 提供≥48个千兆电接口、≥4个千兆SFP光接口。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t>
  </si>
  <si>
    <t>RG-S2910-48GT4SFP-L</t>
  </si>
  <si>
    <t>48个10/100/1000Base-T自适应以太网接口，4个1GE SFP接口；
交换容量:598Gbps/5.98Tbps;包转发率:166Mpps;
支持4K 802.1Q VLAN，支持Port based VLAN，支持MAC based VLAN，支持Voice VLAN，支持GVRP；
支持STP、RSTP、MSTP；
支持DHCP Server ，支持DHCP Client ，支持DHCP Snooping，支持DHCP Relay；
支持VSU虚拟化技术，支持本地堆叠和远程堆叠，支持通过标准业务口实现虚拟化；
支持IPv4/IPv6静态路由、可扩展支持RIP、RIPng、OSPF、OSPFv3协议;
支持端口流量识别，支持端口流量限速，支持802.1p/DSCP/TOS流量分类，支持SP、WRR、DRR、SP+WFQ、 SP+WRR、SP+DRR、RED/WRED队列调度；
支持过滤非法的MAC地址，支持广播风暴抑制，支持BPDU Guard，支持CPP、NFPP，支持端口保护；
支持SNMP、CLI(Telnet/Console)、RMON、SSH、Syslog/Debug、NTP/SNTP、FTP、TFTP、Web、WIS公有云平台管理;</t>
  </si>
  <si>
    <t>国标，RVV4*1.0</t>
  </si>
  <si>
    <t>G2007_60227 IEC 53(RVV) 4x1.0</t>
  </si>
  <si>
    <t>线缆</t>
  </si>
  <si>
    <t>三、等保测评</t>
  </si>
  <si>
    <t>二级等保测评</t>
  </si>
  <si>
    <t>提供从专家评审、初次检测、整改复测到出具正式测评报告的全链路技术服务；全程协助客户完成监管备案流程，承诺协助客户顺利取得最终的《备案证明》，实现合规闭环。</t>
  </si>
  <si>
    <t>阳光电源智慧园区一期建设清单（软件）报价清单</t>
  </si>
  <si>
    <t>项目内容</t>
  </si>
  <si>
    <t>未税单价</t>
  </si>
  <si>
    <t>含税小计</t>
  </si>
  <si>
    <t>产品费用</t>
  </si>
  <si>
    <t>实施费用</t>
  </si>
  <si>
    <t>运维费（第四到第五年）</t>
  </si>
  <si>
    <t>年</t>
  </si>
  <si>
    <t>合计</t>
  </si>
  <si>
    <r>
      <rPr>
        <sz val="11"/>
        <color rgb="FF000000"/>
        <rFont val="等线"/>
        <family val="3"/>
        <charset val="134"/>
      </rPr>
      <t>报价须知：
1、三年免费维护（即一期整体验收后36个月），第四年开始维护费用比率为产品费用的【</t>
    </r>
    <r>
      <rPr>
        <sz val="11"/>
        <color rgb="FFFF0000"/>
        <rFont val="等线"/>
        <family val="3"/>
        <charset val="134"/>
      </rPr>
      <t>5</t>
    </r>
    <r>
      <rPr>
        <sz val="11"/>
        <color rgb="FF000000"/>
        <rFont val="等线"/>
        <family val="3"/>
        <charset val="134"/>
      </rPr>
      <t>】 %；即第四年开始每年收取【</t>
    </r>
    <r>
      <rPr>
        <sz val="11"/>
        <color rgb="FFFF0000"/>
        <rFont val="等线"/>
        <family val="3"/>
        <charset val="134"/>
      </rPr>
      <t>113500</t>
    </r>
    <r>
      <rPr>
        <sz val="11"/>
        <color rgb="FF000000"/>
        <rFont val="等线"/>
        <family val="3"/>
        <charset val="134"/>
      </rPr>
      <t>】元；维保协议根据需要另行签订，维保价格不高于本次报价。
2、报价已包含完成本项目的一切费用；
3、报价有效期：90天；
4、付款方式：</t>
    </r>
    <r>
      <rPr>
        <sz val="11"/>
        <color rgb="FFFF0000"/>
        <rFont val="等线"/>
        <family val="3"/>
        <charset val="134"/>
      </rPr>
      <t>电汇，合同签订后预付合同对应金额20%，蓝图完成经客户确认后支付合同对应金额20%，上线完成经客户确认后支付合同对应金额30%，上线6个月保驾护航完成经客户确认后支付合同对应金额20%，自上线验收合格1年后支付10%。</t>
    </r>
    <r>
      <rPr>
        <sz val="11"/>
        <color rgb="FF000000"/>
        <rFont val="等线"/>
        <family val="3"/>
        <charset val="134"/>
      </rPr>
      <t xml:space="preserve">
5、本项目一期的所有功能需求及产品，均由报价人提供；
6、实施费用为人天单价，后续增加期数（如有）实施费用以不高于本次人天价格执行；
7、人天费用不得已“赠送、总价折扣、缩减人天量形式”进行优惠；
8、单价需符合市场规律，价格不得以免费赠送形式报价；
9、本次项目具体清单，请按自己格式拟定，并且与本表一起盖章作为投标价格标；</t>
    </r>
  </si>
  <si>
    <t>软件/模块名称</t>
  </si>
  <si>
    <t>版本号</t>
  </si>
  <si>
    <t>未税合计</t>
  </si>
  <si>
    <t>是否买断</t>
  </si>
  <si>
    <t>智慧物流</t>
  </si>
  <si>
    <t>V1.0</t>
  </si>
  <si>
    <t>否</t>
  </si>
  <si>
    <t>如是否买断为“否”，则报价需包含运维阶段（第一至五年）的所有订阅费用</t>
  </si>
  <si>
    <t>智慧消防</t>
  </si>
  <si>
    <t>智慧安防</t>
  </si>
  <si>
    <t>宿舍管理</t>
  </si>
  <si>
    <t>外协人员管理</t>
  </si>
  <si>
    <t>报表管理模块</t>
  </si>
  <si>
    <t>系统管理模块</t>
  </si>
  <si>
    <t>移动及多屏应用</t>
  </si>
  <si>
    <t>智慧园区平台</t>
  </si>
  <si>
    <t>密级：秘密</t>
  </si>
  <si>
    <t>【阳光电源智慧园区一期建设项目】人天资源投入价格清单</t>
  </si>
  <si>
    <t>项目人员姓名</t>
  </si>
  <si>
    <t>项目角色</t>
  </si>
  <si>
    <t>实施方式</t>
  </si>
  <si>
    <t>人天数量（人/天）</t>
  </si>
  <si>
    <t>人天费用（未税）</t>
  </si>
  <si>
    <t>项目启动</t>
  </si>
  <si>
    <t>需求分析</t>
  </si>
  <si>
    <t>方案设计</t>
  </si>
  <si>
    <t>系统开发</t>
  </si>
  <si>
    <t>系统测试</t>
  </si>
  <si>
    <t>上线准备</t>
  </si>
  <si>
    <t>上线推广</t>
  </si>
  <si>
    <t>上线后现场运维【6】个月</t>
  </si>
  <si>
    <t>人天汇总</t>
  </si>
  <si>
    <t>实施单价
（人/天/元）</t>
  </si>
  <si>
    <t>实施费用
小计(元)</t>
  </si>
  <si>
    <t>自然周</t>
  </si>
  <si>
    <t>现场/远程</t>
  </si>
  <si>
    <t>Week1—Week2</t>
  </si>
  <si>
    <t>Week3—Week6</t>
  </si>
  <si>
    <t>Week6—Week12</t>
  </si>
  <si>
    <t>Week8—Week32</t>
  </si>
  <si>
    <t>Week17—Week36</t>
  </si>
  <si>
    <t>Week20—Week37</t>
  </si>
  <si>
    <t>Week23—Week40</t>
  </si>
  <si>
    <t>Week41—Week64</t>
  </si>
  <si>
    <t>项目经理</t>
  </si>
  <si>
    <t>现场</t>
  </si>
  <si>
    <t>远程</t>
  </si>
  <si>
    <t>业务分析师</t>
  </si>
  <si>
    <t>方案架构师</t>
  </si>
  <si>
    <t>产品经理</t>
  </si>
  <si>
    <t>UI工程师</t>
  </si>
  <si>
    <t>开发工程师1</t>
  </si>
  <si>
    <t>开发工程师2</t>
  </si>
  <si>
    <t>开发工程师3</t>
  </si>
  <si>
    <t>开发工程师4</t>
  </si>
  <si>
    <t>测试工程师1</t>
  </si>
  <si>
    <t>测试工程师2</t>
  </si>
  <si>
    <t>实施顾问</t>
  </si>
  <si>
    <t>实施工程师</t>
  </si>
  <si>
    <t>运维工程师</t>
  </si>
  <si>
    <t>项目专员</t>
  </si>
  <si>
    <t>人天量总计</t>
  </si>
  <si>
    <t>费用总计</t>
  </si>
  <si>
    <t>甲方备注：</t>
  </si>
  <si>
    <t>请合理安排项目计划，人力投入需要具体到每个人员的每周投入</t>
  </si>
  <si>
    <t>本项目报价清单中单价固定，招标范围内总价包干。项目交付中若有需求量变更按投标单价据实结算；</t>
  </si>
  <si>
    <t>项目费用需要在表中具体到每个人员的实施费用，费用包含差旅食宿等一切费用，后期不再接受报价外费用。</t>
  </si>
  <si>
    <t>乙方备注：</t>
  </si>
  <si>
    <r>
      <rPr>
        <b/>
        <sz val="11"/>
        <color rgb="FF000000"/>
        <rFont val="等线"/>
        <family val="3"/>
        <charset val="134"/>
      </rPr>
      <t>实施费用增值税专票税率：</t>
    </r>
    <r>
      <rPr>
        <b/>
        <sz val="11"/>
        <color rgb="FFFF0000"/>
        <rFont val="等线"/>
        <family val="3"/>
        <charset val="134"/>
      </rPr>
      <t>【13】 %</t>
    </r>
  </si>
  <si>
    <t>备注：以上是实施费用报价模板，须按照模板报价。</t>
  </si>
  <si>
    <t>项目范围</t>
  </si>
  <si>
    <t>系统</t>
  </si>
  <si>
    <t>设施设备</t>
  </si>
  <si>
    <t>涉及硬件类型</t>
  </si>
  <si>
    <t>智慧消防系统</t>
  </si>
  <si>
    <t>消防水系统</t>
  </si>
  <si>
    <t>消防水池</t>
  </si>
  <si>
    <t>水池数量</t>
  </si>
  <si>
    <t>水位仪传感器7个（包括电动力1个）</t>
  </si>
  <si>
    <t>消防水箱</t>
  </si>
  <si>
    <t>水箱数量</t>
  </si>
  <si>
    <t>水位仪传感器6个（包括电动力1个）、出水管流量传感器12个（包括电动力2个）</t>
  </si>
  <si>
    <t>消防泵/喷淋泵</t>
  </si>
  <si>
    <t>泵数量</t>
  </si>
  <si>
    <t>电气监控28个（包括电动力4个）</t>
  </si>
  <si>
    <t>稳压泵</t>
  </si>
  <si>
    <t>电气监控、启停状态/次数监测28个（包括电动力4个）</t>
  </si>
  <si>
    <t>隔膜气压罐</t>
  </si>
  <si>
    <t>罐体数量</t>
  </si>
  <si>
    <t>14个（包括电动力2个）</t>
  </si>
  <si>
    <t>配电柜</t>
  </si>
  <si>
    <t>柜体数量</t>
  </si>
  <si>
    <t>电气监控9个（包括电动力2个）</t>
  </si>
  <si>
    <t>控制柜</t>
  </si>
  <si>
    <t>电气监控、远程手自动变更28个（包括电动力4个）</t>
  </si>
  <si>
    <t>消防测试栓</t>
  </si>
  <si>
    <t>屋面测试栓数量</t>
  </si>
  <si>
    <t>压力传感器 30</t>
  </si>
  <si>
    <t>末端测试</t>
  </si>
  <si>
    <t>末端数量</t>
  </si>
  <si>
    <t>压力传感器 200</t>
  </si>
  <si>
    <t>消防泵房</t>
  </si>
  <si>
    <t>泵房数量</t>
  </si>
  <si>
    <t>9个（包括电动力2个消防泵房/稳压泵房）</t>
  </si>
  <si>
    <t>进水阀</t>
  </si>
  <si>
    <t>水池、水箱水量</t>
  </si>
  <si>
    <t>流量计、压力传感器13个（包括电动力2个）</t>
  </si>
  <si>
    <t>关键管路（进出水主管）</t>
  </si>
  <si>
    <t>进出水管数量</t>
  </si>
  <si>
    <t>阀门启闭状态检测、压力传感器、流量监测（50个阀门启闭状态、压力传感器、流量监测）</t>
  </si>
  <si>
    <t>湿式报警阀\预作用阀</t>
  </si>
  <si>
    <t>报警阀数量</t>
  </si>
  <si>
    <t>上下腔压力监测、判断，水力警铃传感69个报警阀、69个水力警铃</t>
  </si>
  <si>
    <t>消防主机</t>
  </si>
  <si>
    <t>主机数量</t>
  </si>
  <si>
    <t>主机信号传输 22</t>
  </si>
  <si>
    <t>消防水炮主机</t>
  </si>
  <si>
    <t>水炮数量</t>
  </si>
  <si>
    <t>电磁阀启动信号 2</t>
  </si>
  <si>
    <t>全淹没气灭</t>
  </si>
  <si>
    <t>环境检测</t>
  </si>
  <si>
    <t>全淹没房间数量</t>
  </si>
  <si>
    <t>氧浓度监测接入消防平台 33个</t>
  </si>
  <si>
    <t>电磁阀、泄压口</t>
  </si>
  <si>
    <t>瓶体数量</t>
  </si>
  <si>
    <t>压力传感器/电磁阀启动监测（100个）</t>
  </si>
  <si>
    <t>排烟系统</t>
  </si>
  <si>
    <t>排烟风机</t>
  </si>
  <si>
    <t>风机数量</t>
  </si>
  <si>
    <t>排烟风速计量（含风向）110</t>
  </si>
  <si>
    <t>电动挡烟垂壁</t>
  </si>
  <si>
    <t>释放状态</t>
  </si>
  <si>
    <t>防火卷帘</t>
  </si>
  <si>
    <t>排水系统</t>
  </si>
  <si>
    <t>雨水截止阀</t>
  </si>
  <si>
    <t>自动灭火后联动对应雨水截止阀关闭</t>
  </si>
  <si>
    <t>关键机房、泵房排水泵</t>
  </si>
  <si>
    <t>水泵数量</t>
  </si>
  <si>
    <t>启闭监测 24个（6个消防泵房）</t>
  </si>
  <si>
    <t>关键机房、泵房</t>
  </si>
  <si>
    <t>防水浸监测（10个）</t>
  </si>
  <si>
    <t>可燃气体</t>
  </si>
  <si>
    <t>可燃气体报警主机</t>
  </si>
  <si>
    <t>可燃气体报警主机接入消防平台  8个</t>
  </si>
  <si>
    <t>可燃气体管路</t>
  </si>
  <si>
    <t>燃气管道数量</t>
  </si>
  <si>
    <t>燃气、压缩空气等管道加装可联动电磁阀  （2个）</t>
  </si>
  <si>
    <t>电气火灾监控</t>
  </si>
  <si>
    <t>在线电压、剩余电流检测、电缆温度检测   数量太多400+</t>
  </si>
  <si>
    <t>视频监控系统</t>
  </si>
  <si>
    <t>自动报警系统</t>
  </si>
  <si>
    <t>自动报警系统联动范围摄像头、算法判断  数量太多1000+</t>
  </si>
  <si>
    <t>安全出口堵塞</t>
  </si>
  <si>
    <t>摄像头算法判断安全出口、疏散通道  150+</t>
  </si>
  <si>
    <t>屋面光伏摄像头</t>
  </si>
  <si>
    <t>烟雾、火焰摄像头  （60+）</t>
  </si>
  <si>
    <t>电动自行车充电区</t>
  </si>
  <si>
    <t>40+</t>
  </si>
  <si>
    <t>电动叉车充电区</t>
  </si>
  <si>
    <t>AGV充电区</t>
  </si>
  <si>
    <t>电动汽车充电区</t>
  </si>
  <si>
    <t>60+</t>
  </si>
  <si>
    <t>厨房灶台</t>
  </si>
  <si>
    <t>15+</t>
  </si>
  <si>
    <t>关键岗位通讯设备</t>
  </si>
  <si>
    <t>关键岗位用于设备点检、救援联动、保修维修等功能(12-15台）</t>
  </si>
  <si>
    <t>周界防护</t>
  </si>
  <si>
    <t>震动光纤</t>
  </si>
  <si>
    <t>光纤、接收器等（4000米周长）</t>
  </si>
  <si>
    <t>周界监控</t>
  </si>
  <si>
    <t>基于算法和震动光纤提示报警（40台摄像机）</t>
  </si>
  <si>
    <t>红外对射报警</t>
  </si>
  <si>
    <t>对车辆道闸下口、窄小区域提示报警（11）</t>
  </si>
  <si>
    <t>全面监控</t>
  </si>
  <si>
    <t>屋面</t>
  </si>
  <si>
    <t>鹰眼相机 提供园区概状视频监控3-4台</t>
  </si>
  <si>
    <t>车道相机</t>
  </si>
  <si>
    <t>对违停、逆行等行为进行算法判断20台</t>
  </si>
  <si>
    <t>按固定轨道轮训，视频上传算法1台</t>
  </si>
  <si>
    <t>巡更系统</t>
  </si>
  <si>
    <t>巡更点</t>
  </si>
  <si>
    <t>使用NFC等设备进行巡更管理40+</t>
  </si>
  <si>
    <t>场景类型*</t>
  </si>
  <si>
    <t>场所*</t>
  </si>
  <si>
    <t>位置*</t>
  </si>
  <si>
    <t>需求场景*</t>
  </si>
  <si>
    <t>已有摄像头数量*</t>
  </si>
  <si>
    <t>优先级*</t>
  </si>
  <si>
    <t>EHS</t>
  </si>
  <si>
    <t>M6</t>
  </si>
  <si>
    <t>一楼东侧和南侧老化测试区</t>
  </si>
  <si>
    <t>监测绝缘鞋火焰和烟雾，噪音监测；</t>
  </si>
  <si>
    <t>高</t>
  </si>
  <si>
    <t>一楼东侧和南侧后的老化设备间</t>
  </si>
  <si>
    <t>监测绝缘鞋火焰和烟雾；</t>
  </si>
  <si>
    <t>一楼行车下方工作区域</t>
  </si>
  <si>
    <t>监测工人佩戴安全帽，防砸鞋；人员是否处于吊装物下方</t>
  </si>
  <si>
    <t>中</t>
  </si>
  <si>
    <t>一楼板链线旁检修口</t>
  </si>
  <si>
    <t>维修口打开会有信号数据，信号接入摄像头去判断人员是否佩戴安全帽；</t>
  </si>
  <si>
    <t>一楼生命线</t>
  </si>
  <si>
    <t>检测人员登高时人员是否配戴安全帽与安全带</t>
  </si>
  <si>
    <t>M8</t>
  </si>
  <si>
    <t>一楼南边模组房机械臂区域</t>
  </si>
  <si>
    <t>需要进行人员安全帽监测；</t>
  </si>
  <si>
    <t>一楼南边的悬臂吊</t>
  </si>
  <si>
    <t>作业时监测下方人员的是否穿戴安全帽和防砸鞋；人员是否处于吊装物下方。</t>
  </si>
  <si>
    <t>一楼南边悬臂吊旁边的调试区</t>
  </si>
  <si>
    <t>需要穿绝缘鞋，火焰烟雾监测；</t>
  </si>
  <si>
    <t>M9</t>
  </si>
  <si>
    <t>一楼南侧区域的老化测试区</t>
  </si>
  <si>
    <t>需要进行绝缘鞋和烟雾火焰监测，噪音监测；</t>
  </si>
  <si>
    <t>一楼南侧区域的老化设备间</t>
  </si>
  <si>
    <t>需要进行绝缘鞋、火焰和烟雾检测；</t>
  </si>
  <si>
    <t>M15</t>
  </si>
  <si>
    <t>车间内主次干道</t>
  </si>
  <si>
    <t>识别物料占道、超线摆放、地面垃圾5S问题</t>
  </si>
  <si>
    <t>一楼电芯上线区</t>
  </si>
  <si>
    <t>监测安全帽、火焰和烟雾（考虑摄像头与火焰烟感联动）；监测噪声区域人员暴露时长。</t>
  </si>
  <si>
    <t>一楼电芯堆叠区</t>
  </si>
  <si>
    <t>一楼西侧的悬臂吊工作区</t>
  </si>
  <si>
    <t>监测下方施工是否配戴安全帽和防砸鞋，火焰及烟雾监测（考虑摄像头与烟感联动）；人员是否处于吊装物下方</t>
  </si>
  <si>
    <t>化学品库</t>
  </si>
  <si>
    <t>园区东侧和西侧化学品库</t>
  </si>
  <si>
    <t>监测液体倾倒、泄漏，抽烟，手机监测，温度湿度监测报警；，火焰及烟雾监测（考虑摄像头与烟感联动）；</t>
  </si>
  <si>
    <t>叉车充电区</t>
  </si>
  <si>
    <t>M19西侧叉车充电区</t>
  </si>
  <si>
    <t>监测火焰及烟雾（考虑摄像头与烟感联动）</t>
  </si>
  <si>
    <t>龙门吊</t>
  </si>
  <si>
    <t>M9右侧堆场上方龙门吊</t>
  </si>
  <si>
    <t>监测龙门吊下方工作区，工人是否佩戴安全帽，人员是否处于吊装物下方</t>
  </si>
  <si>
    <t>M8南侧污水处理站</t>
  </si>
  <si>
    <t>监测污水站顶部进出口，识别有无开启动作，人员是否佩戴安全帽</t>
  </si>
  <si>
    <t>M10</t>
  </si>
  <si>
    <t>一楼仓储区</t>
  </si>
  <si>
    <t>围栏内监测安全帽，火焰及烟雾监测（考虑摄像头与烟感联动）；</t>
  </si>
  <si>
    <t>围栏外使用电动托盘车需要穿反光背心、防砸鞋。</t>
  </si>
  <si>
    <t>M5</t>
  </si>
  <si>
    <t>二楼X射线监测室</t>
  </si>
  <si>
    <t>监测人员操作时是否穿戴铅衣</t>
  </si>
  <si>
    <t>二楼工装清洗室</t>
  </si>
  <si>
    <t>监测防尘口罩，需加装摄像头与烟感联动</t>
  </si>
  <si>
    <t>二楼波峰焊操作台</t>
  </si>
  <si>
    <t>操作时监测人员需佩戴防护口罩</t>
  </si>
  <si>
    <t>二楼喷涂操作台</t>
  </si>
  <si>
    <t>操作时监测人员是否佩戴口罩</t>
  </si>
  <si>
    <t>一楼调试区</t>
  </si>
  <si>
    <t>园区</t>
  </si>
  <si>
    <t>园区道路</t>
  </si>
  <si>
    <t>叉车、托盘车驾驶人员是否穿反光马甲、操作托盘车是否穿防砸鞋；车辆驾驶是否超速（叉车15，托盘车8）</t>
  </si>
  <si>
    <t>道路交通</t>
  </si>
  <si>
    <t>全部</t>
  </si>
  <si>
    <t>违停、堆物、人员聚集、</t>
  </si>
  <si>
    <t>低</t>
  </si>
  <si>
    <t>园区围墙</t>
  </si>
  <si>
    <t>翻越</t>
  </si>
  <si>
    <t>屋面光伏</t>
  </si>
  <si>
    <t>屋面光伏安装场所</t>
  </si>
  <si>
    <t>烟雾、火焰</t>
  </si>
  <si>
    <t>安全出口</t>
  </si>
  <si>
    <t>所有厂房</t>
  </si>
  <si>
    <t>消防水池水箱</t>
  </si>
  <si>
    <t>水泵房</t>
  </si>
  <si>
    <t>7处</t>
  </si>
  <si>
    <t>液位仪传感器</t>
  </si>
  <si>
    <t>稳压泵房</t>
  </si>
  <si>
    <t>6处</t>
  </si>
  <si>
    <t>液位传感器</t>
  </si>
  <si>
    <t>水泵电气监控</t>
  </si>
  <si>
    <t>电气监控、启停状态/次数监测</t>
  </si>
  <si>
    <t>电气监控</t>
  </si>
  <si>
    <t>电气监控、远程手自动变更</t>
  </si>
  <si>
    <t>30处</t>
  </si>
  <si>
    <t>压力监控</t>
  </si>
  <si>
    <t>厂房、宿舍各防火分区</t>
  </si>
  <si>
    <t>200处</t>
  </si>
  <si>
    <t>补水阀</t>
  </si>
  <si>
    <t>水泵房、稳压泵房</t>
  </si>
  <si>
    <t>13处</t>
  </si>
  <si>
    <t>流量监控、压力监控</t>
  </si>
  <si>
    <t>PUC5533-PB2</t>
    <phoneticPr fontId="42" type="noConversion"/>
  </si>
  <si>
    <t>BACnet现场控制器DDC 5UI,5DI,3AO,3DO</t>
    <phoneticPr fontId="42" type="noConversion"/>
  </si>
  <si>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
支持PLC功能，支持PLC逻辑编程
尺寸：225x115x 57mm
外壳原料： UL 94 ABS
电源：DC24V/3A
重量：500g</t>
    <phoneticPr fontId="42" type="noConversion"/>
  </si>
  <si>
    <r>
      <t>1.名称：全局网络控制器 </t>
    </r>
    <r>
      <rPr>
        <sz val="10"/>
        <rFont val="宋体"/>
        <family val="3"/>
        <charset val="134"/>
      </rPr>
      <t xml:space="preserve">
</t>
    </r>
    <r>
      <rPr>
        <sz val="11"/>
        <color rgb="FFFE0300"/>
        <rFont val="宋体"/>
        <family val="3"/>
        <charset val="134"/>
      </rPr>
      <t>2.参数要求：单核 A8@1GHz，1GB DDR3 / 4GB microSD，2× 百兆，2×RS-485，可扩展4 个 I/O/ 现场总线模块。协议：BACnet IP/MS/TP + Modbus TCP/RTU + LonWorks + KNX + SNMP + oBIX，编程：Niagara 图形化编程，功能极强，适合复杂联锁 / 算法。满足现场现场功能所需的点位授权费</t>
    </r>
    <phoneticPr fontId="42" type="noConversion"/>
  </si>
  <si>
    <t>1、包含：空开、导轨及接线端子
2、国产优质箱体，根据实际安装设备测量后成套定制</t>
    <phoneticPr fontId="42" type="noConversion"/>
  </si>
  <si>
    <t>施工费偏低无法实现</t>
    <phoneticPr fontId="42" type="noConversion"/>
  </si>
  <si>
    <t>招标要求带网络协议装换控制模块，PUC5533-PB2为总线型控制模块不满足招标参数，</t>
    <phoneticPr fontId="42" type="noConversion"/>
  </si>
  <si>
    <t>室外4芯单模光缆</t>
    <phoneticPr fontId="42" type="noConversion"/>
  </si>
  <si>
    <t>24口光纤配线架（含尾纤、LC双工耦合器、熔接）</t>
    <phoneticPr fontId="42" type="noConversion"/>
  </si>
  <si>
    <t>光纤跳线</t>
    <phoneticPr fontId="42" type="noConversion"/>
  </si>
  <si>
    <t>JDG20管</t>
    <phoneticPr fontId="42" type="noConversion"/>
  </si>
  <si>
    <t>辅材</t>
    <phoneticPr fontId="42" type="noConversion"/>
  </si>
  <si>
    <t>2.2、无人机软硬件套装</t>
    <phoneticPr fontId="42" type="noConversion"/>
  </si>
  <si>
    <t>无人机</t>
    <phoneticPr fontId="42" type="noConversion"/>
  </si>
  <si>
    <t>无人机巢及中继</t>
    <phoneticPr fontId="42" type="noConversion"/>
  </si>
  <si>
    <t>无人机平台</t>
    <phoneticPr fontId="42" type="noConversion"/>
  </si>
  <si>
    <t>2.3、巡更管理</t>
    <phoneticPr fontId="42" type="noConversion"/>
  </si>
  <si>
    <t>手持设备</t>
    <phoneticPr fontId="42" type="noConversion"/>
  </si>
  <si>
    <t>巡更牌</t>
    <phoneticPr fontId="42" type="noConversion"/>
  </si>
  <si>
    <t>卡片录入仪</t>
    <phoneticPr fontId="42" type="noConversion"/>
  </si>
  <si>
    <t>巡更管理软件</t>
    <phoneticPr fontId="42" type="noConversion"/>
  </si>
  <si>
    <t>2.4、周界防护-定位型振动光纤系统</t>
    <phoneticPr fontId="42" type="noConversion"/>
  </si>
  <si>
    <t>传感光缆</t>
    <phoneticPr fontId="42" type="noConversion"/>
  </si>
  <si>
    <t>定位型振动光纤处理器</t>
    <phoneticPr fontId="42" type="noConversion"/>
  </si>
  <si>
    <t>抗紫外线扎带</t>
    <phoneticPr fontId="42" type="noConversion"/>
  </si>
  <si>
    <t>光纤接续盒</t>
    <phoneticPr fontId="42" type="noConversion"/>
  </si>
  <si>
    <t>塑料格栅</t>
    <phoneticPr fontId="42" type="noConversion"/>
  </si>
  <si>
    <t>周界防范大模型超脑</t>
    <phoneticPr fontId="42" type="noConversion"/>
  </si>
  <si>
    <t>振动光纤接入管理软件</t>
    <phoneticPr fontId="42" type="noConversion"/>
  </si>
  <si>
    <t>周界监测预警软件</t>
    <phoneticPr fontId="42" type="noConversion"/>
  </si>
  <si>
    <t>土方开完及回填</t>
    <phoneticPr fontId="42" type="noConversion"/>
  </si>
  <si>
    <t>绿化破坏恢复</t>
    <phoneticPr fontId="42" type="noConversion"/>
  </si>
  <si>
    <t>2.5、红外对射报警</t>
    <phoneticPr fontId="42" type="noConversion"/>
  </si>
  <si>
    <t>四光束红外对射</t>
    <phoneticPr fontId="42" type="noConversion"/>
  </si>
  <si>
    <t>工控箱</t>
    <phoneticPr fontId="42" type="noConversion"/>
  </si>
  <si>
    <t>总线报警主机</t>
    <phoneticPr fontId="42" type="noConversion"/>
  </si>
  <si>
    <t>控制键盘</t>
    <phoneticPr fontId="42" type="noConversion"/>
  </si>
  <si>
    <t>报警主机蓄电池</t>
    <phoneticPr fontId="42" type="noConversion"/>
  </si>
  <si>
    <t>警灯警号</t>
    <phoneticPr fontId="42" type="noConversion"/>
  </si>
  <si>
    <t>总线2防区扩展模块</t>
    <phoneticPr fontId="42" type="noConversion"/>
  </si>
  <si>
    <t>入侵报警软件</t>
    <phoneticPr fontId="42" type="noConversion"/>
  </si>
  <si>
    <t>信号线</t>
    <phoneticPr fontId="42" type="noConversion"/>
  </si>
  <si>
    <t>2.6、其它硬件</t>
    <phoneticPr fontId="42" type="noConversion"/>
  </si>
  <si>
    <t>全局网络控制器</t>
    <phoneticPr fontId="42" type="noConversion"/>
  </si>
  <si>
    <t>可编程网络控制器</t>
    <phoneticPr fontId="42" type="noConversion"/>
  </si>
  <si>
    <t>可编程控制盘</t>
    <phoneticPr fontId="42" type="noConversion"/>
  </si>
  <si>
    <t>电源模块</t>
    <phoneticPr fontId="42" type="noConversion"/>
  </si>
  <si>
    <t>水浸变送器</t>
    <phoneticPr fontId="42" type="noConversion"/>
  </si>
  <si>
    <t>噪声监测传感器</t>
    <phoneticPr fontId="42" type="noConversion"/>
  </si>
  <si>
    <t>光纤熔接盒（含光纤熔纤）</t>
    <phoneticPr fontId="42" type="noConversion"/>
  </si>
  <si>
    <t>光纤收发器</t>
    <phoneticPr fontId="42" type="noConversion"/>
  </si>
  <si>
    <t>光纤收发器架</t>
    <phoneticPr fontId="42" type="noConversion"/>
  </si>
  <si>
    <t>1GHz处理器，1024MB内存，4096MB闪存，支持50个Device且数据点不大于2,500点，2条总线</t>
    <phoneticPr fontId="42" type="noConversion"/>
  </si>
  <si>
    <t>WEB-8050-U</t>
    <phoneticPr fontId="42" type="noConversion"/>
  </si>
  <si>
    <t>招标要求带网络协议装换控制模块，PUC5533-PB2为总线型控制模块不满足招标参数，
和智慧消防第三项，完全一样的东西价格相差巨大，</t>
    <phoneticPr fontId="42" type="noConversion"/>
  </si>
  <si>
    <t>六类非屏蔽跳线（2m）</t>
    <phoneticPr fontId="42" type="noConversion"/>
  </si>
  <si>
    <t>1.标准：不低于TIA/EIA568-C.2、ISO/IEC11801、IEC60332-1、GB 50311；
2.导体规格：2.导体规格：多股绞合铜线，4×2×24AWG；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phoneticPr fontId="42" type="noConversion"/>
  </si>
  <si>
    <t>1.标准：不低于TIA/EIA568-C.2、ISO/IEC11801、IEC60332-1、GB 50311；
2.导体规格：多股绞合，软圆铜线，4×2×23AWG；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phoneticPr fontId="42" type="noConversion"/>
  </si>
  <si>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phoneticPr fontId="42" type="noConversion"/>
  </si>
  <si>
    <t>DC 24V；&lt; 200mA； CAN总线、RS232串口、开关量输入；支持 GPRS/2G、TCP/IP、电话线（可选配）</t>
    <phoneticPr fontId="42" type="noConversion"/>
  </si>
  <si>
    <t>主电电源：额定工作电压 AC220V/50Hz，宽电压范围 AC176V～AC420V 可接入；
备电电源：12V/2.3Ah 蓄电池；
容量：配接一台控制器；
液晶规格：320×480 彩色液晶屏；
使用环境：温度：0℃~+40℃；
相对湿度≤95%，不凝露；
外形尺寸：270.0mm× 190.0mm× 62.5mm(长× 宽× 高)；
安装孔距：水平间距 226.0mm，垂直间距 93.0mm；
重量：约 2.1kg；
外壳防护等级：IP30；</t>
    <phoneticPr fontId="4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</si>
</sst>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78" formatCode="#,##0.00_ "/>
    <numFmt numFmtId="179" formatCode="0.00_ "/>
    <numFmt numFmtId="180" formatCode="[DBNum2][$-804]General"/>
  </numFmts>
  <fonts count="43" x14ac:knownFonts="1">
    <font>
      <sz val="12"/>
      <color theme="1"/>
      <name val="等线"/>
      <charset val="134"/>
      <scheme val="minor"/>
    </font>
    <font>
      <b/>
      <sz val="12"/>
      <color theme="1"/>
      <name val="等线"/>
      <family val="3"/>
      <charset val="134"/>
      <scheme val="minor"/>
    </font>
    <font>
      <sz val="10"/>
      <name val="等线"/>
      <family val="3"/>
      <charset val="134"/>
      <scheme val="minor"/>
    </font>
    <font>
      <b/>
      <sz val="10"/>
      <name val="等线"/>
      <family val="3"/>
      <charset val="134"/>
      <scheme val="minor"/>
    </font>
    <font>
      <sz val="11"/>
      <color rgb="FF000000"/>
      <name val="等线"/>
      <family val="3"/>
      <charset val="134"/>
    </font>
    <font>
      <sz val="10"/>
      <color rgb="FF000000"/>
      <name val="微软雅黑"/>
      <family val="2"/>
      <charset val="134"/>
    </font>
    <font>
      <sz val="10"/>
      <color rgb="FF7F7F7F"/>
      <name val="黑体"/>
      <family val="3"/>
      <charset val="134"/>
    </font>
    <font>
      <sz val="10"/>
      <color rgb="FF000000"/>
      <name val="黑体"/>
      <family val="3"/>
      <charset val="134"/>
    </font>
    <font>
      <b/>
      <sz val="12"/>
      <color rgb="FF000000"/>
      <name val="微软雅黑"/>
      <family val="2"/>
      <charset val="134"/>
    </font>
    <font>
      <b/>
      <sz val="10"/>
      <color rgb="FF000000"/>
      <name val="微软雅黑"/>
      <family val="2"/>
      <charset val="134"/>
    </font>
    <font>
      <b/>
      <sz val="10"/>
      <color rgb="FFFF0000"/>
      <name val="微软雅黑"/>
      <family val="2"/>
      <charset val="134"/>
    </font>
    <font>
      <sz val="10"/>
      <name val="微软雅黑"/>
      <family val="2"/>
      <charset val="134"/>
    </font>
    <font>
      <sz val="11"/>
      <name val="等线"/>
      <family val="3"/>
      <charset val="134"/>
    </font>
    <font>
      <sz val="10"/>
      <color rgb="FF000000"/>
      <name val="等线"/>
      <family val="3"/>
      <charset val="134"/>
    </font>
    <font>
      <b/>
      <sz val="11"/>
      <color rgb="FF000000"/>
      <name val="等线"/>
      <family val="3"/>
      <charset val="134"/>
    </font>
    <font>
      <b/>
      <sz val="11"/>
      <color rgb="FFFF0000"/>
      <name val="等线"/>
      <family val="3"/>
      <charset val="134"/>
    </font>
    <font>
      <sz val="10"/>
      <name val="等线"/>
      <family val="3"/>
      <charset val="134"/>
    </font>
    <font>
      <sz val="12"/>
      <color rgb="FF000000"/>
      <name val="等线"/>
      <family val="3"/>
      <charset val="134"/>
    </font>
    <font>
      <sz val="11"/>
      <color rgb="FF000000"/>
      <name val="宋体"/>
      <family val="3"/>
      <charset val="134"/>
    </font>
    <font>
      <sz val="16"/>
      <color rgb="FF000000"/>
      <name val="等线"/>
      <family val="3"/>
      <charset val="134"/>
    </font>
    <font>
      <sz val="12"/>
      <name val="等线"/>
      <family val="3"/>
      <charset val="134"/>
    </font>
    <font>
      <sz val="10"/>
      <color rgb="FF000000"/>
      <name val="宋体"/>
      <family val="3"/>
      <charset val="134"/>
    </font>
    <font>
      <b/>
      <sz val="9"/>
      <color rgb="FF000000"/>
      <name val="等线"/>
      <family val="3"/>
      <charset val="134"/>
    </font>
    <font>
      <b/>
      <sz val="9"/>
      <name val="等线"/>
      <family val="3"/>
      <charset val="134"/>
    </font>
    <font>
      <b/>
      <sz val="10"/>
      <color rgb="FF000000"/>
      <name val="宋体"/>
      <family val="3"/>
      <charset val="134"/>
    </font>
    <font>
      <b/>
      <sz val="10"/>
      <color rgb="FF000000"/>
      <name val="等线"/>
      <family val="3"/>
      <charset val="134"/>
    </font>
    <font>
      <b/>
      <sz val="10"/>
      <name val="等线"/>
      <family val="3"/>
      <charset val="134"/>
    </font>
    <font>
      <b/>
      <sz val="11"/>
      <color rgb="FF000000"/>
      <name val="宋体"/>
      <family val="3"/>
      <charset val="134"/>
    </font>
    <font>
      <sz val="11"/>
      <name val="宋体"/>
      <family val="3"/>
      <charset val="134"/>
    </font>
    <font>
      <sz val="11"/>
      <color rgb="FFFE0300"/>
      <name val="宋体"/>
      <family val="3"/>
      <charset val="134"/>
    </font>
    <font>
      <b/>
      <sz val="12"/>
      <name val="等线"/>
      <family val="3"/>
      <charset val="134"/>
    </font>
    <font>
      <b/>
      <sz val="20"/>
      <color rgb="FF000000"/>
      <name val="宋体"/>
      <family val="3"/>
      <charset val="134"/>
    </font>
    <font>
      <b/>
      <sz val="14"/>
      <color rgb="FF000000"/>
      <name val="宋体"/>
      <family val="3"/>
      <charset val="134"/>
    </font>
    <font>
      <b/>
      <sz val="12"/>
      <color rgb="FF000000"/>
      <name val="宋体"/>
      <family val="3"/>
      <charset val="134"/>
    </font>
    <font>
      <sz val="12"/>
      <color rgb="FF000000"/>
      <name val="宋体"/>
      <family val="3"/>
      <charset val="134"/>
    </font>
    <font>
      <sz val="12"/>
      <color rgb="FFFF0000"/>
      <name val="宋体"/>
      <family val="3"/>
      <charset val="134"/>
    </font>
    <font>
      <sz val="12"/>
      <color rgb="FFFF0000"/>
      <name val="等线"/>
      <family val="3"/>
      <charset val="134"/>
    </font>
    <font>
      <sz val="10"/>
      <name val="宋体"/>
      <family val="3"/>
      <charset val="134"/>
    </font>
    <font>
      <sz val="11"/>
      <color rgb="FF000000"/>
      <name val="Calibri"/>
      <family val="2"/>
    </font>
    <font>
      <sz val="12"/>
      <color rgb="FFFE0300"/>
      <name val="宋体"/>
      <family val="3"/>
      <charset val="134"/>
    </font>
    <font>
      <sz val="11"/>
      <color rgb="FFFF0000"/>
      <name val="等线"/>
      <family val="3"/>
      <charset val="134"/>
    </font>
    <font>
      <sz val="11"/>
      <color rgb="FFFF0000"/>
      <name val="宋体"/>
      <family val="3"/>
      <charset val="134"/>
    </font>
    <font>
      <sz val="9"/>
      <name val="等线"/>
      <family val="3"/>
      <charset val="134"/>
      <scheme val="minor"/>
    </font>
  </fonts>
  <fills count="9">
    <fill>
      <patternFill patternType="none"/>
    </fill>
    <fill>
      <patternFill patternType="gray125"/>
    </fill>
    <fill>
      <patternFill patternType="solid">
        <fgColor rgb="FFF9E5D7"/>
        <bgColor indexed="64"/>
      </patternFill>
    </fill>
    <fill>
      <patternFill patternType="solid">
        <fgColor rgb="FFDFEBF6"/>
        <bgColor indexed="64"/>
      </patternFill>
    </fill>
    <fill>
      <patternFill patternType="solid">
        <fgColor theme="0"/>
        <bgColor indexed="64"/>
      </patternFill>
    </fill>
    <fill>
      <patternFill patternType="solid">
        <fgColor rgb="FFFFFF00"/>
        <bgColor indexed="64"/>
      </patternFill>
    </fill>
    <fill>
      <patternFill patternType="solid">
        <fgColor rgb="FFD6DCE4"/>
        <bgColor indexed="64"/>
      </patternFill>
    </fill>
    <fill>
      <patternFill patternType="solid">
        <fgColor rgb="FFDC3939"/>
        <bgColor indexed="64"/>
      </patternFill>
    </fill>
    <fill>
      <patternFill patternType="solid">
        <fgColor rgb="FFFF0000"/>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top/>
      <bottom/>
      <diagonal/>
    </border>
    <border>
      <left style="thin">
        <color rgb="FF000000"/>
      </left>
      <right/>
      <top/>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alignment vertical="center"/>
    </xf>
  </cellStyleXfs>
  <cellXfs count="263">
    <xf numFmtId="0" fontId="0" fillId="0" borderId="0" xfId="0">
      <alignment vertical="center"/>
    </xf>
    <xf numFmtId="0" fontId="1" fillId="0" borderId="0" xfId="0" applyFont="1">
      <alignment vertical="center"/>
    </xf>
    <xf numFmtId="0" fontId="2" fillId="0" borderId="0" xfId="0" applyFont="1" applyAlignment="1">
      <alignment vertical="center" wrapText="1"/>
    </xf>
    <xf numFmtId="0" fontId="2" fillId="0" borderId="0" xfId="0" applyFont="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2" fillId="0" borderId="2" xfId="0" applyFont="1" applyBorder="1">
      <alignment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lignment vertical="center"/>
    </xf>
    <xf numFmtId="0" fontId="3" fillId="2" borderId="1" xfId="0" applyFont="1" applyFill="1" applyBorder="1">
      <alignment vertical="center"/>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2" borderId="1" xfId="0" applyFont="1" applyFill="1" applyBorder="1">
      <alignment vertical="center"/>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2" fillId="3" borderId="1" xfId="0" applyFont="1" applyFill="1" applyBorder="1">
      <alignment vertical="center"/>
    </xf>
    <xf numFmtId="0" fontId="2" fillId="3" borderId="1" xfId="0" applyFont="1" applyFill="1" applyBorder="1" applyAlignment="1">
      <alignment vertical="center" wrapText="1"/>
    </xf>
    <xf numFmtId="0" fontId="2" fillId="3" borderId="1" xfId="0" applyFont="1" applyFill="1" applyBorder="1" applyAlignment="1">
      <alignment horizontal="left" vertical="center" wrapText="1"/>
    </xf>
    <xf numFmtId="0" fontId="4" fillId="4" borderId="0" xfId="0" applyFont="1" applyFill="1">
      <alignment vertical="center"/>
    </xf>
    <xf numFmtId="0" fontId="0" fillId="4" borderId="0" xfId="0" applyFill="1">
      <alignment vertical="center"/>
    </xf>
    <xf numFmtId="0" fontId="5" fillId="4" borderId="0" xfId="0" applyFont="1" applyFill="1" applyAlignment="1">
      <alignment horizontal="center" vertical="center"/>
    </xf>
    <xf numFmtId="0" fontId="4" fillId="4" borderId="0" xfId="0" applyFont="1" applyFill="1" applyAlignment="1"/>
    <xf numFmtId="0" fontId="4" fillId="0" borderId="0" xfId="0" applyFont="1">
      <alignment vertical="center"/>
    </xf>
    <xf numFmtId="0" fontId="9" fillId="0" borderId="1" xfId="0" applyFont="1" applyBorder="1" applyAlignment="1">
      <alignment horizontal="center" vertical="center"/>
    </xf>
    <xf numFmtId="0" fontId="10" fillId="5" borderId="1" xfId="0" applyFont="1" applyFill="1" applyBorder="1" applyAlignment="1">
      <alignment horizontal="center" vertical="center" wrapText="1"/>
    </xf>
    <xf numFmtId="0" fontId="5" fillId="0" borderId="17" xfId="0" applyFont="1" applyBorder="1" applyAlignment="1">
      <alignment horizontal="center" vertical="center"/>
    </xf>
    <xf numFmtId="0" fontId="9" fillId="0" borderId="18" xfId="0" applyFont="1" applyBorder="1" applyAlignment="1">
      <alignment horizontal="center" vertical="center"/>
    </xf>
    <xf numFmtId="0" fontId="11" fillId="0" borderId="4" xfId="0" applyFont="1" applyBorder="1" applyAlignment="1">
      <alignment horizontal="center" vertical="center" wrapText="1"/>
    </xf>
    <xf numFmtId="0" fontId="5" fillId="6" borderId="21" xfId="0" applyFont="1" applyFill="1" applyBorder="1" applyAlignment="1">
      <alignment horizontal="center" vertical="center"/>
    </xf>
    <xf numFmtId="0" fontId="11" fillId="6"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22" xfId="0" applyFont="1" applyFill="1" applyBorder="1" applyAlignment="1">
      <alignment horizontal="center" vertical="center"/>
    </xf>
    <xf numFmtId="0" fontId="5" fillId="0" borderId="21" xfId="0" applyFont="1" applyBorder="1" applyAlignment="1">
      <alignment horizontal="center" vertical="center"/>
    </xf>
    <xf numFmtId="0" fontId="5" fillId="0" borderId="24" xfId="0"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4" fillId="0" borderId="22" xfId="0" applyFont="1" applyBorder="1" applyAlignment="1">
      <alignment horizontal="center" vertical="center"/>
    </xf>
    <xf numFmtId="0" fontId="5" fillId="0" borderId="25" xfId="0" applyFont="1" applyBorder="1" applyAlignment="1">
      <alignment horizontal="center" vertical="center"/>
    </xf>
    <xf numFmtId="0" fontId="4" fillId="0" borderId="0" xfId="0" applyFont="1" applyAlignment="1"/>
    <xf numFmtId="0" fontId="14" fillId="0" borderId="26" xfId="0" applyFont="1" applyBorder="1">
      <alignment vertical="center"/>
    </xf>
    <xf numFmtId="0" fontId="14" fillId="0" borderId="1" xfId="0" applyFont="1" applyBorder="1" applyAlignment="1">
      <alignment horizontal="center" vertical="center"/>
    </xf>
    <xf numFmtId="0" fontId="4" fillId="5" borderId="21" xfId="0" applyFont="1" applyFill="1" applyBorder="1" applyAlignment="1">
      <alignment horizontal="center"/>
    </xf>
    <xf numFmtId="0" fontId="4" fillId="5" borderId="22" xfId="0" applyFont="1" applyFill="1" applyBorder="1" applyAlignment="1">
      <alignment horizontal="center" vertical="center"/>
    </xf>
    <xf numFmtId="0" fontId="14" fillId="4" borderId="0" xfId="0" applyFont="1" applyFill="1" applyAlignment="1"/>
    <xf numFmtId="0" fontId="1" fillId="4" borderId="0" xfId="0" applyFont="1" applyFill="1">
      <alignment vertical="center"/>
    </xf>
    <xf numFmtId="0" fontId="4" fillId="4" borderId="0" xfId="0" applyFont="1" applyFill="1" applyAlignment="1">
      <alignment horizontal="center" vertical="center"/>
    </xf>
    <xf numFmtId="0" fontId="4" fillId="4" borderId="0" xfId="0" applyFont="1" applyFill="1" applyAlignment="1">
      <alignment horizontal="right" vertical="center"/>
    </xf>
    <xf numFmtId="0" fontId="14" fillId="4" borderId="0" xfId="0" applyFont="1" applyFill="1" applyAlignment="1">
      <alignment horizontal="center" vertical="center"/>
    </xf>
    <xf numFmtId="0" fontId="4" fillId="0" borderId="1" xfId="0" applyFont="1" applyBorder="1" applyAlignment="1">
      <alignment horizontal="center" vertical="center"/>
    </xf>
    <xf numFmtId="178" fontId="12" fillId="0" borderId="1" xfId="0" applyNumberFormat="1" applyFont="1" applyBorder="1" applyAlignment="1">
      <alignment horizontal="right" vertic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178" fontId="4" fillId="0" borderId="1" xfId="0" applyNumberFormat="1" applyFont="1" applyBorder="1" applyAlignment="1">
      <alignment horizontal="right" vertical="center"/>
    </xf>
    <xf numFmtId="178" fontId="14" fillId="4" borderId="1" xfId="0" applyNumberFormat="1" applyFont="1" applyFill="1" applyBorder="1" applyAlignment="1">
      <alignment horizontal="right" vertical="center"/>
    </xf>
    <xf numFmtId="0" fontId="17" fillId="4" borderId="0" xfId="0" applyFont="1" applyFill="1" applyAlignment="1">
      <alignment vertical="center" wrapText="1"/>
    </xf>
    <xf numFmtId="0" fontId="0" fillId="4" borderId="0" xfId="0" applyFill="1" applyAlignment="1">
      <alignment vertical="center" wrapText="1"/>
    </xf>
    <xf numFmtId="0" fontId="4" fillId="4" borderId="0" xfId="0" applyFont="1" applyFill="1" applyAlignment="1">
      <alignment vertical="center" wrapText="1"/>
    </xf>
    <xf numFmtId="0" fontId="17" fillId="4" borderId="0" xfId="0" applyFont="1" applyFill="1" applyAlignment="1">
      <alignment horizontal="left" wrapText="1"/>
    </xf>
    <xf numFmtId="0" fontId="18" fillId="4" borderId="0" xfId="0" applyFont="1" applyFill="1" applyAlignment="1">
      <alignment vertical="center" wrapText="1"/>
    </xf>
    <xf numFmtId="0" fontId="4" fillId="0" borderId="1" xfId="0" applyFont="1" applyBorder="1" applyAlignment="1">
      <alignment horizontal="center" vertical="center" wrapText="1"/>
    </xf>
    <xf numFmtId="9" fontId="4" fillId="0" borderId="1" xfId="0" applyNumberFormat="1" applyFont="1" applyBorder="1" applyAlignment="1">
      <alignment horizontal="center" vertical="center" wrapText="1"/>
    </xf>
    <xf numFmtId="0" fontId="18" fillId="4" borderId="0" xfId="0" applyFont="1" applyFill="1" applyAlignment="1">
      <alignment horizontal="center" vertical="center" wrapText="1"/>
    </xf>
    <xf numFmtId="0" fontId="18" fillId="4" borderId="0" xfId="0" applyFont="1" applyFill="1" applyAlignment="1">
      <alignment horizontal="left" vertical="center" wrapText="1"/>
    </xf>
    <xf numFmtId="0" fontId="17" fillId="4" borderId="0" xfId="0" applyFont="1" applyFill="1" applyAlignment="1">
      <alignment horizontal="center" vertical="center" wrapText="1"/>
    </xf>
    <xf numFmtId="178" fontId="18" fillId="4" borderId="0" xfId="0" applyNumberFormat="1" applyFont="1" applyFill="1" applyAlignment="1">
      <alignment horizontal="right" vertical="center" wrapText="1"/>
    </xf>
    <xf numFmtId="178" fontId="20" fillId="4" borderId="0" xfId="0" applyNumberFormat="1" applyFont="1" applyFill="1" applyAlignment="1">
      <alignment horizontal="right" vertical="center" wrapText="1"/>
    </xf>
    <xf numFmtId="0" fontId="21" fillId="0" borderId="0" xfId="0" applyFont="1" applyAlignment="1">
      <alignment horizontal="left" wrapText="1"/>
    </xf>
    <xf numFmtId="0" fontId="22" fillId="0" borderId="0" xfId="0" applyFont="1" applyAlignment="1">
      <alignment horizontal="center" vertical="center" wrapText="1"/>
    </xf>
    <xf numFmtId="0" fontId="23" fillId="0" borderId="0" xfId="0" applyFont="1" applyAlignment="1">
      <alignment horizontal="center" vertical="center" wrapText="1"/>
    </xf>
    <xf numFmtId="0" fontId="24" fillId="4" borderId="37" xfId="0" applyFont="1" applyFill="1" applyBorder="1" applyAlignment="1">
      <alignment horizontal="center" vertical="center" wrapText="1"/>
    </xf>
    <xf numFmtId="0" fontId="24" fillId="0" borderId="1" xfId="0" applyFont="1" applyBorder="1" applyAlignment="1">
      <alignment horizontal="center" vertical="center" wrapText="1"/>
    </xf>
    <xf numFmtId="0" fontId="24" fillId="0" borderId="38" xfId="0" applyFont="1" applyBorder="1" applyAlignment="1">
      <alignment horizontal="left" vertical="center" wrapText="1"/>
    </xf>
    <xf numFmtId="43" fontId="24" fillId="0" borderId="1" xfId="0" applyNumberFormat="1"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5" fillId="4" borderId="37" xfId="0" applyFont="1" applyFill="1" applyBorder="1" applyAlignment="1">
      <alignment horizontal="center" vertical="center" wrapText="1"/>
    </xf>
    <xf numFmtId="0" fontId="18" fillId="0" borderId="1" xfId="0" applyFont="1" applyBorder="1" applyAlignment="1">
      <alignment horizontal="center" vertical="center" wrapText="1"/>
    </xf>
    <xf numFmtId="0" fontId="27" fillId="0" borderId="0" xfId="0" applyFont="1" applyAlignment="1">
      <alignment horizontal="left" vertical="center" wrapText="1"/>
    </xf>
    <xf numFmtId="0" fontId="18" fillId="0" borderId="1" xfId="0" applyFont="1" applyBorder="1" applyAlignment="1">
      <alignment vertical="center" wrapText="1"/>
    </xf>
    <xf numFmtId="0" fontId="18" fillId="0" borderId="1" xfId="0" applyFont="1" applyBorder="1" applyAlignment="1">
      <alignment horizontal="left" vertical="center" wrapText="1"/>
    </xf>
    <xf numFmtId="178" fontId="18" fillId="0" borderId="1" xfId="0" applyNumberFormat="1" applyFont="1" applyBorder="1" applyAlignment="1">
      <alignment horizontal="right" vertical="center" wrapText="1"/>
    </xf>
    <xf numFmtId="178" fontId="18" fillId="0" borderId="21" xfId="0" applyNumberFormat="1" applyFont="1" applyBorder="1" applyAlignment="1">
      <alignment horizontal="right" vertical="center" wrapText="1"/>
    </xf>
    <xf numFmtId="178" fontId="28" fillId="0" borderId="21" xfId="0" applyNumberFormat="1" applyFont="1" applyBorder="1" applyAlignment="1">
      <alignment horizontal="right" vertical="center" wrapText="1"/>
    </xf>
    <xf numFmtId="0" fontId="18" fillId="4" borderId="37" xfId="0" applyFont="1" applyFill="1" applyBorder="1" applyAlignment="1">
      <alignment vertical="center" wrapText="1"/>
    </xf>
    <xf numFmtId="0" fontId="18" fillId="0" borderId="2" xfId="0" applyFont="1" applyBorder="1" applyAlignment="1">
      <alignment horizontal="center" vertical="center" wrapText="1"/>
    </xf>
    <xf numFmtId="0" fontId="18" fillId="0" borderId="2" xfId="0" applyFont="1" applyBorder="1" applyAlignment="1">
      <alignment horizontal="left" vertical="center" wrapText="1"/>
    </xf>
    <xf numFmtId="179" fontId="18" fillId="0" borderId="1" xfId="0" applyNumberFormat="1" applyFont="1" applyBorder="1" applyAlignment="1">
      <alignment horizontal="right" vertical="center" wrapText="1"/>
    </xf>
    <xf numFmtId="179" fontId="18" fillId="0" borderId="21" xfId="0" applyNumberFormat="1" applyFont="1" applyBorder="1" applyAlignment="1">
      <alignment horizontal="right" vertical="center" wrapText="1"/>
    </xf>
    <xf numFmtId="0" fontId="18" fillId="4" borderId="1" xfId="0" applyFont="1" applyFill="1" applyBorder="1" applyAlignment="1">
      <alignment horizontal="center" vertical="center" wrapText="1"/>
    </xf>
    <xf numFmtId="0" fontId="18" fillId="4" borderId="1" xfId="0" applyFont="1" applyFill="1" applyBorder="1" applyAlignment="1">
      <alignment vertical="center" wrapText="1"/>
    </xf>
    <xf numFmtId="179" fontId="18" fillId="4" borderId="1" xfId="0" applyNumberFormat="1" applyFont="1" applyFill="1" applyBorder="1" applyAlignment="1">
      <alignment horizontal="right" vertical="center" wrapText="1"/>
    </xf>
    <xf numFmtId="178" fontId="28" fillId="4" borderId="21" xfId="0" applyNumberFormat="1" applyFont="1" applyFill="1" applyBorder="1" applyAlignment="1">
      <alignment horizontal="right" vertical="center" wrapText="1"/>
    </xf>
    <xf numFmtId="0" fontId="28" fillId="4" borderId="1" xfId="0" applyFont="1" applyFill="1" applyBorder="1" applyAlignment="1">
      <alignment horizontal="center" vertical="center" wrapText="1"/>
    </xf>
    <xf numFmtId="0" fontId="28" fillId="4" borderId="1" xfId="0" applyFont="1" applyFill="1" applyBorder="1" applyAlignment="1">
      <alignment vertical="center" wrapText="1"/>
    </xf>
    <xf numFmtId="179" fontId="28" fillId="4" borderId="1" xfId="0" applyNumberFormat="1" applyFont="1" applyFill="1" applyBorder="1" applyAlignment="1">
      <alignment horizontal="right" vertical="center" wrapText="1"/>
    </xf>
    <xf numFmtId="0" fontId="28" fillId="4" borderId="37" xfId="0" applyFont="1" applyFill="1" applyBorder="1" applyAlignment="1">
      <alignment vertical="center" wrapText="1"/>
    </xf>
    <xf numFmtId="0" fontId="29" fillId="0" borderId="1" xfId="0" applyFont="1" applyBorder="1" applyAlignment="1">
      <alignment horizontal="left" vertical="center" wrapText="1"/>
    </xf>
    <xf numFmtId="0" fontId="18" fillId="0" borderId="4" xfId="0" applyFont="1" applyBorder="1" applyAlignment="1">
      <alignment horizontal="left" vertical="center" wrapText="1"/>
    </xf>
    <xf numFmtId="0" fontId="18" fillId="0" borderId="26" xfId="0" applyFont="1" applyBorder="1" applyAlignment="1">
      <alignment horizontal="left" vertical="center" wrapText="1"/>
    </xf>
    <xf numFmtId="0" fontId="27" fillId="0" borderId="26" xfId="0" applyFont="1" applyBorder="1" applyAlignment="1">
      <alignment horizontal="left" vertical="center" wrapText="1"/>
    </xf>
    <xf numFmtId="178" fontId="18" fillId="4" borderId="1" xfId="0" applyNumberFormat="1" applyFont="1" applyFill="1" applyBorder="1" applyAlignment="1">
      <alignment horizontal="right" vertical="center" wrapText="1"/>
    </xf>
    <xf numFmtId="0" fontId="28" fillId="0" borderId="1" xfId="0" applyFont="1" applyBorder="1" applyAlignment="1">
      <alignment horizontal="left" vertical="center" wrapText="1"/>
    </xf>
    <xf numFmtId="0" fontId="17" fillId="4" borderId="37" xfId="0" applyFont="1" applyFill="1" applyBorder="1" applyAlignment="1">
      <alignment vertical="center" wrapText="1"/>
    </xf>
    <xf numFmtId="0" fontId="24" fillId="0" borderId="2" xfId="0" applyFont="1" applyBorder="1" applyAlignment="1">
      <alignment vertical="center" wrapText="1"/>
    </xf>
    <xf numFmtId="178" fontId="18" fillId="0" borderId="2" xfId="0" applyNumberFormat="1" applyFont="1" applyBorder="1" applyAlignment="1">
      <alignment horizontal="right" vertical="center" wrapText="1"/>
    </xf>
    <xf numFmtId="0" fontId="18" fillId="0" borderId="21" xfId="0" applyFont="1" applyBorder="1" applyAlignment="1">
      <alignment horizontal="center" vertical="center" wrapText="1"/>
    </xf>
    <xf numFmtId="0" fontId="17" fillId="0" borderId="1" xfId="0" applyFont="1" applyBorder="1" applyAlignment="1">
      <alignment vertical="center" wrapText="1"/>
    </xf>
    <xf numFmtId="0" fontId="18" fillId="0" borderId="24" xfId="0" applyFont="1" applyBorder="1" applyAlignment="1">
      <alignment horizontal="center" vertical="center" wrapText="1"/>
    </xf>
    <xf numFmtId="0" fontId="27" fillId="0" borderId="1" xfId="0" applyFont="1" applyBorder="1" applyAlignment="1">
      <alignment horizontal="left" vertical="center" wrapText="1"/>
    </xf>
    <xf numFmtId="178" fontId="20" fillId="0" borderId="21" xfId="0" applyNumberFormat="1" applyFont="1" applyBorder="1" applyAlignment="1">
      <alignment horizontal="right" vertical="center" wrapText="1"/>
    </xf>
    <xf numFmtId="0" fontId="18" fillId="0" borderId="21" xfId="0" applyFont="1" applyBorder="1" applyAlignment="1">
      <alignment vertical="center" wrapText="1"/>
    </xf>
    <xf numFmtId="178" fontId="30" fillId="0" borderId="21" xfId="0" applyNumberFormat="1" applyFont="1" applyBorder="1" applyAlignment="1">
      <alignment horizontal="right" vertical="center" wrapText="1"/>
    </xf>
    <xf numFmtId="43" fontId="18" fillId="4" borderId="0" xfId="0" applyNumberFormat="1" applyFont="1" applyFill="1" applyAlignment="1">
      <alignment horizontal="right" vertical="center" wrapText="1"/>
    </xf>
    <xf numFmtId="0" fontId="17" fillId="4" borderId="0" xfId="0" applyFont="1" applyFill="1">
      <alignment vertical="center"/>
    </xf>
    <xf numFmtId="0" fontId="14" fillId="4" borderId="0" xfId="0" applyFont="1" applyFill="1" applyAlignment="1">
      <alignment horizontal="center"/>
    </xf>
    <xf numFmtId="0" fontId="17" fillId="4" borderId="0" xfId="0" applyFont="1" applyFill="1" applyAlignment="1">
      <alignment horizontal="left"/>
    </xf>
    <xf numFmtId="0" fontId="18" fillId="4" borderId="0" xfId="0" applyFont="1" applyFill="1">
      <alignment vertical="center"/>
    </xf>
    <xf numFmtId="0" fontId="32" fillId="0" borderId="1" xfId="0" applyFont="1" applyBorder="1" applyAlignment="1">
      <alignment horizontal="center" vertical="center"/>
    </xf>
    <xf numFmtId="0" fontId="33" fillId="0" borderId="1" xfId="0" applyFont="1" applyBorder="1" applyAlignment="1">
      <alignment horizontal="center" vertical="center" wrapText="1"/>
    </xf>
    <xf numFmtId="49" fontId="33" fillId="0" borderId="1" xfId="0" applyNumberFormat="1" applyFont="1" applyBorder="1" applyAlignment="1">
      <alignment horizontal="center" vertical="center" wrapText="1"/>
    </xf>
    <xf numFmtId="0" fontId="33" fillId="0" borderId="2" xfId="0" applyFont="1" applyBorder="1" applyAlignment="1">
      <alignment horizontal="center" vertical="center" wrapText="1"/>
    </xf>
    <xf numFmtId="0" fontId="33" fillId="0" borderId="1" xfId="0" applyFont="1" applyBorder="1" applyAlignment="1">
      <alignment horizontal="center" vertical="center"/>
    </xf>
    <xf numFmtId="0" fontId="33" fillId="0" borderId="2" xfId="0" applyFont="1" applyBorder="1" applyAlignment="1">
      <alignment horizontal="center" vertical="center"/>
    </xf>
    <xf numFmtId="0" fontId="18" fillId="0" borderId="1" xfId="0" applyFont="1" applyBorder="1" applyAlignment="1">
      <alignment horizontal="center" vertical="center"/>
    </xf>
    <xf numFmtId="9" fontId="18" fillId="4" borderId="1" xfId="0" applyNumberFormat="1" applyFont="1" applyFill="1" applyBorder="1" applyAlignment="1">
      <alignment horizontal="center" vertical="center"/>
    </xf>
    <xf numFmtId="178" fontId="18" fillId="0" borderId="1" xfId="0" applyNumberFormat="1" applyFont="1" applyBorder="1" applyAlignment="1">
      <alignment horizontal="right" vertical="center"/>
    </xf>
    <xf numFmtId="0" fontId="18" fillId="0" borderId="1" xfId="0" applyFont="1" applyBorder="1" applyAlignment="1"/>
    <xf numFmtId="180" fontId="18" fillId="0" borderId="1" xfId="0" applyNumberFormat="1" applyFont="1" applyBorder="1" applyAlignment="1">
      <alignment horizontal="center" vertical="center"/>
    </xf>
    <xf numFmtId="0" fontId="27" fillId="0" borderId="1" xfId="0" applyFont="1" applyBorder="1" applyAlignment="1">
      <alignment horizontal="center" vertical="center" wrapText="1"/>
    </xf>
    <xf numFmtId="178" fontId="27" fillId="0" borderId="1" xfId="0" applyNumberFormat="1" applyFont="1" applyBorder="1" applyAlignment="1">
      <alignment horizontal="right" vertical="center"/>
    </xf>
    <xf numFmtId="0" fontId="27" fillId="0" borderId="1" xfId="0" applyFont="1" applyBorder="1" applyAlignment="1"/>
    <xf numFmtId="0" fontId="18" fillId="4" borderId="0" xfId="0" applyFont="1" applyFill="1" applyAlignment="1">
      <alignment horizontal="center"/>
    </xf>
    <xf numFmtId="0" fontId="0" fillId="4" borderId="0" xfId="0" applyFill="1" applyAlignment="1">
      <alignment horizontal="center" vertical="center"/>
    </xf>
    <xf numFmtId="0" fontId="27" fillId="0" borderId="1" xfId="0" applyFont="1" applyBorder="1" applyAlignment="1">
      <alignment horizontal="center" vertical="center"/>
    </xf>
    <xf numFmtId="179" fontId="18" fillId="0" borderId="1" xfId="0" applyNumberFormat="1" applyFont="1" applyBorder="1" applyAlignment="1">
      <alignment horizontal="right" vertical="center"/>
    </xf>
    <xf numFmtId="179" fontId="27" fillId="5" borderId="1" xfId="0" applyNumberFormat="1" applyFont="1" applyFill="1" applyBorder="1" applyAlignment="1">
      <alignment horizontal="right" vertical="center"/>
    </xf>
    <xf numFmtId="0" fontId="27" fillId="0" borderId="1" xfId="0" applyFont="1" applyBorder="1" applyAlignment="1">
      <alignment horizontal="right"/>
    </xf>
    <xf numFmtId="179" fontId="18" fillId="4" borderId="0" xfId="0" applyNumberFormat="1" applyFont="1" applyFill="1">
      <alignment vertical="center"/>
    </xf>
    <xf numFmtId="0" fontId="33" fillId="0" borderId="39" xfId="0" applyFont="1" applyBorder="1" applyAlignment="1">
      <alignment horizontal="center" vertical="center"/>
    </xf>
    <xf numFmtId="0" fontId="33" fillId="4" borderId="39" xfId="0" applyFont="1" applyFill="1" applyBorder="1" applyAlignment="1">
      <alignment horizontal="center" vertical="center"/>
    </xf>
    <xf numFmtId="0" fontId="4" fillId="4" borderId="21" xfId="0" applyFont="1" applyFill="1" applyBorder="1" applyAlignment="1">
      <alignment horizontal="left" vertical="top" wrapText="1"/>
    </xf>
    <xf numFmtId="0" fontId="4" fillId="4" borderId="26" xfId="0" applyFont="1" applyFill="1" applyBorder="1" applyAlignment="1">
      <alignment horizontal="left" vertical="top" wrapText="1"/>
    </xf>
    <xf numFmtId="0" fontId="4" fillId="4" borderId="38" xfId="0" applyFont="1" applyFill="1" applyBorder="1" applyAlignment="1">
      <alignment horizontal="left" vertical="top" wrapText="1"/>
    </xf>
    <xf numFmtId="0" fontId="31" fillId="0" borderId="0" xfId="0" applyFont="1" applyAlignment="1">
      <alignment horizontal="center" vertical="center"/>
    </xf>
    <xf numFmtId="0" fontId="33" fillId="0" borderId="1" xfId="0" applyFont="1" applyBorder="1" applyAlignment="1">
      <alignment horizontal="left" vertical="center" wrapText="1"/>
    </xf>
    <xf numFmtId="49" fontId="32" fillId="0" borderId="21" xfId="0" applyNumberFormat="1" applyFont="1" applyBorder="1" applyAlignment="1">
      <alignment horizontal="center" vertical="center" wrapText="1"/>
    </xf>
    <xf numFmtId="49" fontId="32" fillId="0" borderId="26" xfId="0" applyNumberFormat="1" applyFont="1" applyBorder="1" applyAlignment="1">
      <alignment horizontal="center" vertical="center" wrapText="1"/>
    </xf>
    <xf numFmtId="49" fontId="32" fillId="0" borderId="38" xfId="0" applyNumberFormat="1" applyFont="1" applyBorder="1" applyAlignment="1">
      <alignment horizontal="center" vertical="center" wrapText="1"/>
    </xf>
    <xf numFmtId="0" fontId="34" fillId="0" borderId="25" xfId="0" applyFont="1" applyBorder="1" applyAlignment="1">
      <alignment horizontal="left" vertical="center" wrapText="1"/>
    </xf>
    <xf numFmtId="0" fontId="34" fillId="0" borderId="39" xfId="0" applyFont="1" applyBorder="1" applyAlignment="1">
      <alignment horizontal="left" vertical="center" wrapText="1"/>
    </xf>
    <xf numFmtId="0" fontId="34" fillId="0" borderId="30" xfId="0" applyFont="1" applyBorder="1" applyAlignment="1">
      <alignment horizontal="left" vertical="center" wrapText="1"/>
    </xf>
    <xf numFmtId="49" fontId="34" fillId="0" borderId="25" xfId="0" applyNumberFormat="1" applyFont="1" applyBorder="1" applyAlignment="1">
      <alignment vertical="center" wrapText="1"/>
    </xf>
    <xf numFmtId="49" fontId="34" fillId="0" borderId="39" xfId="0" applyNumberFormat="1" applyFont="1" applyBorder="1" applyAlignment="1">
      <alignment vertical="center" wrapText="1"/>
    </xf>
    <xf numFmtId="49" fontId="34" fillId="0" borderId="30" xfId="0" applyNumberFormat="1" applyFont="1" applyBorder="1" applyAlignment="1">
      <alignment vertical="center" wrapText="1"/>
    </xf>
    <xf numFmtId="0" fontId="34" fillId="0" borderId="21" xfId="0" applyFont="1" applyBorder="1" applyAlignment="1">
      <alignment horizontal="left" vertical="center" wrapText="1"/>
    </xf>
    <xf numFmtId="0" fontId="34" fillId="0" borderId="26" xfId="0" applyFont="1" applyBorder="1" applyAlignment="1">
      <alignment horizontal="left" vertical="center" wrapText="1"/>
    </xf>
    <xf numFmtId="0" fontId="34" fillId="0" borderId="38" xfId="0" applyFont="1" applyBorder="1" applyAlignment="1">
      <alignment horizontal="left" vertical="center" wrapText="1"/>
    </xf>
    <xf numFmtId="0" fontId="32" fillId="0" borderId="21" xfId="0" applyFont="1" applyBorder="1" applyAlignment="1">
      <alignment horizontal="center" vertical="center" wrapText="1"/>
    </xf>
    <xf numFmtId="0" fontId="32" fillId="0" borderId="26" xfId="0" applyFont="1" applyBorder="1" applyAlignment="1">
      <alignment horizontal="center" vertical="center" wrapText="1"/>
    </xf>
    <xf numFmtId="0" fontId="32" fillId="0" borderId="38" xfId="0" applyFont="1" applyBorder="1" applyAlignment="1">
      <alignment horizontal="center" vertical="center" wrapText="1"/>
    </xf>
    <xf numFmtId="49" fontId="34" fillId="0" borderId="21" xfId="0" applyNumberFormat="1" applyFont="1" applyBorder="1" applyAlignment="1">
      <alignment horizontal="left" vertical="center" wrapText="1"/>
    </xf>
    <xf numFmtId="49" fontId="34" fillId="0" borderId="26" xfId="0" applyNumberFormat="1" applyFont="1" applyBorder="1" applyAlignment="1">
      <alignment horizontal="left" vertical="center" wrapText="1"/>
    </xf>
    <xf numFmtId="49" fontId="34" fillId="0" borderId="38" xfId="0" applyNumberFormat="1" applyFont="1" applyBorder="1" applyAlignment="1">
      <alignment horizontal="left" vertical="center" wrapText="1"/>
    </xf>
    <xf numFmtId="0" fontId="34" fillId="0" borderId="1" xfId="0" applyFont="1" applyBorder="1" applyAlignment="1">
      <alignment vertical="center" wrapText="1"/>
    </xf>
    <xf numFmtId="0" fontId="17" fillId="0" borderId="1" xfId="0" applyFont="1" applyBorder="1" applyAlignment="1">
      <alignment vertical="center" wrapText="1"/>
    </xf>
    <xf numFmtId="0" fontId="34" fillId="0" borderId="2" xfId="0" applyFont="1" applyBorder="1" applyAlignment="1">
      <alignment vertical="center" wrapText="1"/>
    </xf>
    <xf numFmtId="0" fontId="17" fillId="0" borderId="2" xfId="0" applyFont="1" applyBorder="1" applyAlignment="1">
      <alignment vertical="center" wrapText="1"/>
    </xf>
    <xf numFmtId="0" fontId="35" fillId="0" borderId="1" xfId="0" applyFont="1" applyBorder="1" applyAlignment="1">
      <alignment vertical="center" wrapText="1"/>
    </xf>
    <xf numFmtId="0" fontId="36" fillId="0" borderId="1" xfId="0" applyFont="1" applyBorder="1" applyAlignment="1">
      <alignment vertical="center" wrapText="1"/>
    </xf>
    <xf numFmtId="0" fontId="33" fillId="0" borderId="18" xfId="0" applyFont="1" applyBorder="1" applyAlignment="1">
      <alignment horizontal="center" vertical="center" wrapText="1"/>
    </xf>
    <xf numFmtId="0" fontId="33" fillId="0" borderId="25" xfId="0" applyFont="1" applyBorder="1" applyAlignment="1">
      <alignment horizontal="center" vertical="center" wrapText="1"/>
    </xf>
    <xf numFmtId="0" fontId="33" fillId="0" borderId="1" xfId="0" applyFont="1" applyBorder="1" applyAlignment="1">
      <alignment horizontal="center" vertical="center"/>
    </xf>
    <xf numFmtId="0" fontId="13" fillId="0" borderId="1" xfId="0" applyFont="1" applyBorder="1">
      <alignment vertical="center"/>
    </xf>
    <xf numFmtId="0" fontId="21" fillId="0" borderId="0" xfId="0" applyFont="1" applyAlignment="1">
      <alignment horizontal="left"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29" fillId="0" borderId="2" xfId="0" applyFont="1" applyBorder="1" applyAlignment="1">
      <alignment horizontal="center" vertical="center" wrapText="1"/>
    </xf>
    <xf numFmtId="0" fontId="29"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4" borderId="1" xfId="0"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6" fillId="0" borderId="0" xfId="0" applyFont="1" applyAlignment="1">
      <alignment horizontal="left"/>
    </xf>
    <xf numFmtId="0" fontId="7" fillId="0" borderId="0" xfId="0" applyFont="1" applyAlignment="1">
      <alignment horizontal="left"/>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9" fillId="0" borderId="9" xfId="0" applyFont="1" applyBorder="1" applyAlignment="1">
      <alignment horizontal="center" vertical="center"/>
    </xf>
    <xf numFmtId="0" fontId="9" fillId="0" borderId="14" xfId="0" applyFont="1" applyBorder="1" applyAlignment="1">
      <alignment horizontal="center" vertical="center"/>
    </xf>
    <xf numFmtId="0" fontId="14" fillId="0" borderId="1" xfId="0" applyFont="1" applyBorder="1" applyAlignment="1">
      <alignment horizontal="left" vertical="center" wrapText="1"/>
    </xf>
    <xf numFmtId="0" fontId="14" fillId="0" borderId="22" xfId="0" applyFont="1" applyBorder="1" applyAlignment="1">
      <alignment horizontal="left" vertical="center" wrapText="1"/>
    </xf>
    <xf numFmtId="0" fontId="14" fillId="0" borderId="21" xfId="0" applyFont="1" applyBorder="1" applyAlignment="1">
      <alignment horizontal="left" vertical="top" wrapText="1"/>
    </xf>
    <xf numFmtId="0" fontId="14" fillId="0" borderId="26" xfId="0" applyFont="1" applyBorder="1" applyAlignment="1">
      <alignment horizontal="left" vertical="top" wrapText="1"/>
    </xf>
    <xf numFmtId="0" fontId="14" fillId="0" borderId="28" xfId="0" applyFont="1" applyBorder="1" applyAlignment="1">
      <alignment horizontal="left" vertical="top" wrapText="1"/>
    </xf>
    <xf numFmtId="0" fontId="14" fillId="0" borderId="1" xfId="0" applyFont="1" applyBorder="1" applyAlignment="1">
      <alignment horizontal="left" vertical="center"/>
    </xf>
    <xf numFmtId="0" fontId="14" fillId="0" borderId="22" xfId="0" applyFont="1" applyBorder="1" applyAlignment="1">
      <alignment horizontal="left" vertical="center"/>
    </xf>
    <xf numFmtId="0" fontId="14" fillId="0" borderId="35" xfId="0" applyFont="1" applyBorder="1" applyAlignment="1">
      <alignment horizontal="left" vertical="center"/>
    </xf>
    <xf numFmtId="0" fontId="14" fillId="0" borderId="36" xfId="0" applyFont="1" applyBorder="1" applyAlignment="1">
      <alignment horizontal="left" vertical="center"/>
    </xf>
    <xf numFmtId="0" fontId="9" fillId="0" borderId="8" xfId="0" applyFont="1" applyBorder="1" applyAlignment="1">
      <alignment horizontal="center" vertical="center"/>
    </xf>
    <xf numFmtId="0" fontId="9" fillId="0" borderId="15" xfId="0" applyFont="1" applyBorder="1" applyAlignment="1">
      <alignment horizontal="center" vertical="center"/>
    </xf>
    <xf numFmtId="0" fontId="5" fillId="0" borderId="20" xfId="0" applyFont="1" applyBorder="1" applyAlignment="1">
      <alignment horizontal="center" vertical="center"/>
    </xf>
    <xf numFmtId="0" fontId="5" fillId="0" borderId="23" xfId="0" applyFont="1" applyBorder="1" applyAlignment="1">
      <alignment horizontal="center" vertical="center"/>
    </xf>
    <xf numFmtId="0" fontId="9" fillId="0" borderId="1" xfId="0" applyFont="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9" fillId="0" borderId="10"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9" xfId="0" applyFont="1" applyBorder="1" applyAlignment="1">
      <alignment horizontal="center" vertical="center" wrapText="1"/>
    </xf>
    <xf numFmtId="0" fontId="15" fillId="0" borderId="31" xfId="0" applyFont="1" applyBorder="1" applyAlignment="1">
      <alignment horizontal="center" vertical="center"/>
    </xf>
    <xf numFmtId="0" fontId="15" fillId="0" borderId="32" xfId="0" applyFont="1" applyBorder="1" applyAlignment="1">
      <alignment horizontal="center" vertical="center"/>
    </xf>
    <xf numFmtId="0" fontId="15" fillId="0" borderId="17" xfId="0" applyFont="1" applyBorder="1" applyAlignment="1">
      <alignment horizontal="center" vertical="center"/>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0" borderId="34" xfId="0" applyFont="1" applyBorder="1" applyAlignment="1">
      <alignment horizontal="center" vertical="center"/>
    </xf>
    <xf numFmtId="0" fontId="15" fillId="0" borderId="29" xfId="0" applyFont="1" applyBorder="1" applyAlignment="1">
      <alignment horizontal="center" vertical="center"/>
    </xf>
    <xf numFmtId="0" fontId="15" fillId="0" borderId="30" xfId="0" applyFont="1" applyBorder="1" applyAlignment="1">
      <alignment horizontal="center"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18" fillId="7" borderId="1" xfId="0" applyFont="1" applyFill="1" applyBorder="1" applyAlignment="1">
      <alignment horizontal="center" vertical="center" wrapText="1"/>
    </xf>
    <xf numFmtId="0" fontId="18" fillId="7" borderId="1" xfId="0" applyFont="1" applyFill="1" applyBorder="1" applyAlignment="1">
      <alignment horizontal="left" vertical="center" wrapText="1"/>
    </xf>
    <xf numFmtId="0" fontId="18" fillId="7" borderId="1" xfId="0" applyFont="1" applyFill="1" applyBorder="1" applyAlignment="1">
      <alignment vertical="center" wrapText="1"/>
    </xf>
    <xf numFmtId="0" fontId="28" fillId="7" borderId="1" xfId="0" applyFont="1" applyFill="1" applyBorder="1" applyAlignment="1">
      <alignment horizontal="center" vertical="center" wrapText="1"/>
    </xf>
    <xf numFmtId="0" fontId="28" fillId="7" borderId="1" xfId="0" applyFont="1" applyFill="1" applyBorder="1" applyAlignment="1">
      <alignment vertical="center" wrapText="1"/>
    </xf>
    <xf numFmtId="179" fontId="28" fillId="7" borderId="1" xfId="0" applyNumberFormat="1" applyFont="1" applyFill="1" applyBorder="1" applyAlignment="1">
      <alignment horizontal="right" vertical="center" wrapText="1"/>
    </xf>
    <xf numFmtId="179" fontId="18" fillId="7" borderId="1" xfId="0" applyNumberFormat="1" applyFont="1" applyFill="1" applyBorder="1" applyAlignment="1">
      <alignment horizontal="right" vertical="center" wrapText="1"/>
    </xf>
    <xf numFmtId="179" fontId="18" fillId="7" borderId="21" xfId="0" applyNumberFormat="1" applyFont="1" applyFill="1" applyBorder="1" applyAlignment="1">
      <alignment horizontal="right" vertical="center" wrapText="1"/>
    </xf>
    <xf numFmtId="178" fontId="28" fillId="7" borderId="21" xfId="0" applyNumberFormat="1" applyFont="1" applyFill="1" applyBorder="1" applyAlignment="1">
      <alignment horizontal="right" vertical="center" wrapText="1"/>
    </xf>
    <xf numFmtId="0" fontId="28" fillId="7" borderId="37" xfId="0" applyFont="1" applyFill="1" applyBorder="1" applyAlignment="1">
      <alignment vertical="center" wrapText="1"/>
    </xf>
    <xf numFmtId="0" fontId="18" fillId="7" borderId="26" xfId="0" applyFont="1" applyFill="1" applyBorder="1" applyAlignment="1">
      <alignment horizontal="left" vertical="center" wrapText="1"/>
    </xf>
    <xf numFmtId="0" fontId="18" fillId="7" borderId="37" xfId="0" applyFont="1" applyFill="1" applyBorder="1" applyAlignment="1">
      <alignment vertical="center" wrapText="1"/>
    </xf>
    <xf numFmtId="0" fontId="18" fillId="0" borderId="1" xfId="0" applyFont="1" applyFill="1" applyBorder="1" applyAlignment="1">
      <alignment horizontal="center" vertical="center" wrapText="1"/>
    </xf>
    <xf numFmtId="0" fontId="18" fillId="0" borderId="26" xfId="0" applyFont="1" applyFill="1" applyBorder="1" applyAlignment="1">
      <alignment horizontal="left" vertical="center" wrapText="1"/>
    </xf>
    <xf numFmtId="0" fontId="18" fillId="0" borderId="1" xfId="0" applyFont="1" applyFill="1" applyBorder="1" applyAlignment="1">
      <alignment horizontal="left" vertical="center" wrapText="1"/>
    </xf>
    <xf numFmtId="0" fontId="18" fillId="0" borderId="1" xfId="0" applyFont="1" applyFill="1" applyBorder="1" applyAlignment="1">
      <alignment vertical="center" wrapText="1"/>
    </xf>
    <xf numFmtId="179" fontId="18" fillId="0" borderId="1" xfId="0" applyNumberFormat="1" applyFont="1" applyFill="1" applyBorder="1" applyAlignment="1">
      <alignment horizontal="right" vertical="center" wrapText="1"/>
    </xf>
    <xf numFmtId="179" fontId="18" fillId="0" borderId="21" xfId="0" applyNumberFormat="1" applyFont="1" applyFill="1" applyBorder="1" applyAlignment="1">
      <alignment horizontal="right" vertical="center" wrapText="1"/>
    </xf>
    <xf numFmtId="178" fontId="28" fillId="0" borderId="21" xfId="0" applyNumberFormat="1" applyFont="1" applyFill="1" applyBorder="1" applyAlignment="1">
      <alignment horizontal="right" vertical="center" wrapText="1"/>
    </xf>
    <xf numFmtId="0" fontId="18" fillId="0" borderId="37" xfId="0" applyFont="1" applyFill="1" applyBorder="1" applyAlignment="1">
      <alignment vertical="center" wrapText="1"/>
    </xf>
    <xf numFmtId="0" fontId="18" fillId="0" borderId="0" xfId="0" applyFont="1" applyFill="1" applyAlignment="1">
      <alignment horizontal="center" vertical="center" wrapText="1"/>
    </xf>
    <xf numFmtId="0" fontId="18" fillId="0" borderId="2" xfId="0" applyFont="1" applyFill="1" applyBorder="1" applyAlignment="1">
      <alignment horizontal="center" vertical="center" wrapText="1"/>
    </xf>
    <xf numFmtId="0" fontId="18" fillId="8" borderId="1" xfId="0" applyFont="1" applyFill="1" applyBorder="1" applyAlignment="1">
      <alignment horizontal="center" vertical="center" wrapText="1"/>
    </xf>
    <xf numFmtId="0" fontId="18" fillId="8" borderId="26" xfId="0" applyFont="1" applyFill="1" applyBorder="1" applyAlignment="1">
      <alignment horizontal="left" vertical="center" wrapText="1"/>
    </xf>
    <xf numFmtId="0" fontId="18" fillId="8" borderId="1" xfId="0" applyFont="1" applyFill="1" applyBorder="1" applyAlignment="1">
      <alignment horizontal="left" vertical="center" wrapText="1"/>
    </xf>
    <xf numFmtId="0" fontId="18" fillId="8" borderId="1" xfId="0" applyFont="1" applyFill="1" applyBorder="1" applyAlignment="1">
      <alignment vertical="center" wrapText="1"/>
    </xf>
    <xf numFmtId="179" fontId="18" fillId="8" borderId="1" xfId="0" applyNumberFormat="1" applyFont="1" applyFill="1" applyBorder="1" applyAlignment="1">
      <alignment horizontal="right" vertical="center" wrapText="1"/>
    </xf>
    <xf numFmtId="179" fontId="18" fillId="8" borderId="21" xfId="0" applyNumberFormat="1" applyFont="1" applyFill="1" applyBorder="1" applyAlignment="1">
      <alignment horizontal="right" vertical="center" wrapText="1"/>
    </xf>
    <xf numFmtId="178" fontId="28" fillId="8" borderId="21" xfId="0" applyNumberFormat="1" applyFont="1" applyFill="1" applyBorder="1" applyAlignment="1">
      <alignment horizontal="right" vertical="center" wrapText="1"/>
    </xf>
    <xf numFmtId="0" fontId="18" fillId="8" borderId="37" xfId="0" applyFont="1" applyFill="1" applyBorder="1" applyAlignment="1">
      <alignment vertical="center" wrapText="1"/>
    </xf>
    <xf numFmtId="178" fontId="18" fillId="0" borderId="1" xfId="0" applyNumberFormat="1" applyFont="1" applyFill="1" applyBorder="1" applyAlignment="1">
      <alignment horizontal="righ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635</xdr:colOff>
      <xdr:row>0</xdr:row>
      <xdr:rowOff>635</xdr:rowOff>
    </xdr:from>
    <xdr:ext cx="1388745" cy="295910"/>
    <xdr:pic>
      <xdr:nvPicPr>
        <xdr:cNvPr id="2" name="图片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635" y="635"/>
          <a:ext cx="1388745" cy="29591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635</xdr:colOff>
      <xdr:row>0</xdr:row>
      <xdr:rowOff>635</xdr:rowOff>
    </xdr:from>
    <xdr:ext cx="1388745" cy="295910"/>
    <xdr:pic>
      <xdr:nvPicPr>
        <xdr:cNvPr id="2" name="图片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635" y="635"/>
          <a:ext cx="1388745" cy="29591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635</xdr:colOff>
      <xdr:row>0</xdr:row>
      <xdr:rowOff>635</xdr:rowOff>
    </xdr:from>
    <xdr:ext cx="1388745" cy="295910"/>
    <xdr:pic>
      <xdr:nvPicPr>
        <xdr:cNvPr id="2" name="图片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635" y="635"/>
          <a:ext cx="1388745" cy="29591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9525</xdr:colOff>
      <xdr:row>0</xdr:row>
      <xdr:rowOff>9525</xdr:rowOff>
    </xdr:from>
    <xdr:ext cx="1388745" cy="295910"/>
    <xdr:pic>
      <xdr:nvPicPr>
        <xdr:cNvPr id="2" name="图片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9525" y="9525"/>
          <a:ext cx="1388745" cy="29591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635</xdr:colOff>
      <xdr:row>0</xdr:row>
      <xdr:rowOff>635</xdr:rowOff>
    </xdr:from>
    <xdr:ext cx="1388745" cy="295910"/>
    <xdr:pic>
      <xdr:nvPicPr>
        <xdr:cNvPr id="2" name="图片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a:fillRect/>
        </a:stretch>
      </xdr:blipFill>
      <xdr:spPr>
        <a:xfrm>
          <a:off x="635" y="635"/>
          <a:ext cx="1388745" cy="29591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228503" cy="167641"/>
    <xdr:pic>
      <xdr:nvPicPr>
        <xdr:cNvPr id="2" name="图片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tretch>
          <a:fillRect/>
        </a:stretch>
      </xdr:blipFill>
      <xdr:spPr>
        <a:xfrm>
          <a:off x="0" y="0"/>
          <a:ext cx="1228090" cy="167640"/>
        </a:xfrm>
        <a:prstGeom prst="rect">
          <a:avLst/>
        </a:prstGeom>
      </xdr:spPr>
    </xdr:pic>
    <xdr:clientData/>
  </xdr:oneCellAnchor>
  <xdr:oneCellAnchor>
    <xdr:from>
      <xdr:col>0</xdr:col>
      <xdr:colOff>0</xdr:colOff>
      <xdr:row>0</xdr:row>
      <xdr:rowOff>0</xdr:rowOff>
    </xdr:from>
    <xdr:ext cx="1232248" cy="167641"/>
    <xdr:pic>
      <xdr:nvPicPr>
        <xdr:cNvPr id="3" name="图片 1">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1"/>
        <a:stretch>
          <a:fillRect/>
        </a:stretch>
      </xdr:blipFill>
      <xdr:spPr>
        <a:xfrm>
          <a:off x="0" y="0"/>
          <a:ext cx="1231900" cy="167640"/>
        </a:xfrm>
        <a:prstGeom prst="rect">
          <a:avLst/>
        </a:prstGeom>
      </xdr:spPr>
    </xdr:pic>
    <xdr:clientData/>
  </xdr:oneCellAnchor>
  <xdr:oneCellAnchor>
    <xdr:from>
      <xdr:col>0</xdr:col>
      <xdr:colOff>0</xdr:colOff>
      <xdr:row>0</xdr:row>
      <xdr:rowOff>1</xdr:rowOff>
    </xdr:from>
    <xdr:ext cx="1413510" cy="171450"/>
    <xdr:pic>
      <xdr:nvPicPr>
        <xdr:cNvPr id="4" name="图片 2">
          <a:extLst>
            <a:ext uri="{FF2B5EF4-FFF2-40B4-BE49-F238E27FC236}">
              <a16:creationId xmlns:a16="http://schemas.microsoft.com/office/drawing/2014/main" id="{00000000-0008-0000-0600-000004000000}"/>
            </a:ext>
          </a:extLst>
        </xdr:cNvPr>
        <xdr:cNvPicPr/>
      </xdr:nvPicPr>
      <xdr:blipFill>
        <a:blip xmlns:r="http://schemas.openxmlformats.org/officeDocument/2006/relationships" r:embed="rId2"/>
        <a:stretch>
          <a:fillRect/>
        </a:stretch>
      </xdr:blipFill>
      <xdr:spPr>
        <a:xfrm>
          <a:off x="0" y="0"/>
          <a:ext cx="1413510" cy="171450"/>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outlinePr summaryBelow="0" summaryRight="0"/>
  </sheetPr>
  <dimension ref="A1:J16"/>
  <sheetViews>
    <sheetView zoomScale="130" zoomScaleNormal="130" workbookViewId="0">
      <pane ySplit="3" topLeftCell="A4" activePane="bottomLeft" state="frozen"/>
      <selection pane="bottomLeft" activeCell="E12" sqref="E12"/>
    </sheetView>
  </sheetViews>
  <sheetFormatPr defaultColWidth="9" defaultRowHeight="13.5" customHeight="1" x14ac:dyDescent="0.3"/>
  <cols>
    <col min="1" max="1" width="9" style="22"/>
    <col min="2" max="2" width="29" style="119" customWidth="1"/>
    <col min="3" max="3" width="15.1796875" style="119" customWidth="1"/>
    <col min="4" max="5" width="20" style="119" customWidth="1"/>
    <col min="6" max="6" width="22" style="119" customWidth="1"/>
    <col min="7" max="7" width="9.36328125" style="22"/>
    <col min="8" max="9" width="9" style="22"/>
    <col min="10" max="10" width="10" style="135" customWidth="1"/>
    <col min="11" max="11" width="11" style="22" customWidth="1"/>
    <col min="12" max="16384" width="9" style="22"/>
  </cols>
  <sheetData>
    <row r="1" spans="1:6" ht="37.950000000000003" customHeight="1" x14ac:dyDescent="0.3">
      <c r="A1" s="118" t="s">
        <v>0</v>
      </c>
    </row>
    <row r="2" spans="1:6" ht="33" customHeight="1" x14ac:dyDescent="0.3">
      <c r="A2" s="141" t="s">
        <v>1</v>
      </c>
      <c r="B2" s="141"/>
      <c r="C2" s="141"/>
      <c r="D2" s="141"/>
      <c r="E2" s="141"/>
      <c r="F2" s="141"/>
    </row>
    <row r="3" spans="1:6" ht="21" customHeight="1" x14ac:dyDescent="0.3">
      <c r="A3" s="136" t="s">
        <v>2</v>
      </c>
      <c r="B3" s="136" t="s">
        <v>3</v>
      </c>
      <c r="C3" s="136" t="s">
        <v>4</v>
      </c>
      <c r="D3" s="136" t="s">
        <v>5</v>
      </c>
      <c r="E3" s="136" t="s">
        <v>6</v>
      </c>
      <c r="F3" s="136" t="s">
        <v>7</v>
      </c>
    </row>
    <row r="4" spans="1:6" ht="36" customHeight="1" x14ac:dyDescent="0.25">
      <c r="A4" s="126">
        <v>1</v>
      </c>
      <c r="B4" s="126" t="s">
        <v>8</v>
      </c>
      <c r="C4" s="127">
        <v>0.13</v>
      </c>
      <c r="D4" s="137">
        <f>'硬件-报价汇总表'!D7</f>
        <v>7857359</v>
      </c>
      <c r="E4" s="137">
        <f>D4*(1+C4)</f>
        <v>8878815.6699999999</v>
      </c>
      <c r="F4" s="129"/>
    </row>
    <row r="5" spans="1:6" ht="36" customHeight="1" x14ac:dyDescent="0.25">
      <c r="A5" s="126">
        <v>2</v>
      </c>
      <c r="B5" s="130" t="s">
        <v>9</v>
      </c>
      <c r="C5" s="127">
        <v>0.13</v>
      </c>
      <c r="D5" s="137">
        <f>'软件-报价汇总表'!G7</f>
        <v>3952000</v>
      </c>
      <c r="E5" s="137">
        <f>D5*(1+C5)</f>
        <v>4465760</v>
      </c>
      <c r="F5" s="129"/>
    </row>
    <row r="6" spans="1:6" ht="36" customHeight="1" x14ac:dyDescent="0.25">
      <c r="A6" s="126">
        <v>3</v>
      </c>
      <c r="B6" s="131" t="s">
        <v>10</v>
      </c>
      <c r="C6" s="131"/>
      <c r="D6" s="138">
        <f>SUM(D4:D5)</f>
        <v>11809359</v>
      </c>
      <c r="E6" s="139"/>
      <c r="F6" s="133"/>
    </row>
    <row r="7" spans="1:6" ht="36" customHeight="1" x14ac:dyDescent="0.3">
      <c r="D7" s="119" t="s">
        <v>11</v>
      </c>
    </row>
    <row r="9" spans="1:6" ht="13.5" customHeight="1" x14ac:dyDescent="0.25">
      <c r="B9" s="134"/>
    </row>
    <row r="10" spans="1:6" ht="34.950000000000003" customHeight="1" x14ac:dyDescent="0.3">
      <c r="F10" s="22"/>
    </row>
    <row r="12" spans="1:6" ht="13.5" customHeight="1" x14ac:dyDescent="0.3">
      <c r="D12" s="140"/>
    </row>
    <row r="15" spans="1:6" ht="13.5" customHeight="1" x14ac:dyDescent="0.3">
      <c r="D15" s="140"/>
    </row>
    <row r="16" spans="1:6" ht="13.5" customHeight="1" x14ac:dyDescent="0.3">
      <c r="E16" s="140"/>
    </row>
  </sheetData>
  <mergeCells count="1">
    <mergeCell ref="A2:F2"/>
  </mergeCells>
  <phoneticPr fontId="4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outlinePr summaryBelow="0" summaryRight="0"/>
  </sheetPr>
  <dimension ref="A1:E10"/>
  <sheetViews>
    <sheetView workbookViewId="0">
      <pane ySplit="3" topLeftCell="A4" activePane="bottomLeft" state="frozen"/>
      <selection pane="bottomLeft" activeCell="B10" sqref="B10"/>
    </sheetView>
  </sheetViews>
  <sheetFormatPr defaultColWidth="9" defaultRowHeight="13.5" customHeight="1" x14ac:dyDescent="0.3"/>
  <cols>
    <col min="1" max="1" width="9" style="22"/>
    <col min="2" max="2" width="50.1796875" style="119" customWidth="1"/>
    <col min="3" max="3" width="15.1796875" style="119" customWidth="1"/>
    <col min="4" max="4" width="20" style="119" customWidth="1"/>
    <col min="5" max="5" width="22" style="119" customWidth="1"/>
    <col min="6" max="7" width="9" style="22"/>
    <col min="8" max="11" width="18" style="22" customWidth="1"/>
    <col min="12" max="12" width="13.36328125" style="22" customWidth="1"/>
    <col min="13" max="16384" width="9" style="22"/>
  </cols>
  <sheetData>
    <row r="1" spans="1:5" ht="37.950000000000003" customHeight="1" x14ac:dyDescent="0.3">
      <c r="A1" s="118" t="s">
        <v>0</v>
      </c>
    </row>
    <row r="2" spans="1:5" ht="33" customHeight="1" x14ac:dyDescent="0.3">
      <c r="A2" s="142" t="s">
        <v>12</v>
      </c>
      <c r="B2" s="142"/>
      <c r="C2" s="142"/>
      <c r="D2" s="142"/>
      <c r="E2" s="142"/>
    </row>
    <row r="3" spans="1:5" ht="21" customHeight="1" x14ac:dyDescent="0.3">
      <c r="A3" s="126" t="s">
        <v>2</v>
      </c>
      <c r="B3" s="126" t="s">
        <v>3</v>
      </c>
      <c r="C3" s="126" t="s">
        <v>4</v>
      </c>
      <c r="D3" s="126" t="s">
        <v>5</v>
      </c>
      <c r="E3" s="126" t="s">
        <v>7</v>
      </c>
    </row>
    <row r="4" spans="1:5" ht="21" customHeight="1" x14ac:dyDescent="0.25">
      <c r="A4" s="126">
        <v>1</v>
      </c>
      <c r="B4" s="126" t="s">
        <v>13</v>
      </c>
      <c r="C4" s="127">
        <v>0.13</v>
      </c>
      <c r="D4" s="128">
        <f>SUM('硬件-报价明细'!Q4:Q33)</f>
        <v>2604713</v>
      </c>
      <c r="E4" s="129"/>
    </row>
    <row r="5" spans="1:5" ht="21" customHeight="1" x14ac:dyDescent="0.25">
      <c r="A5" s="126">
        <v>2</v>
      </c>
      <c r="B5" s="130" t="s">
        <v>14</v>
      </c>
      <c r="C5" s="127">
        <v>0.13</v>
      </c>
      <c r="D5" s="128">
        <f>SUM('硬件-报价明细'!Q36:Q110)</f>
        <v>5229283</v>
      </c>
      <c r="E5" s="129"/>
    </row>
    <row r="6" spans="1:5" ht="21" customHeight="1" x14ac:dyDescent="0.25">
      <c r="A6" s="126">
        <v>3</v>
      </c>
      <c r="B6" s="126" t="s">
        <v>15</v>
      </c>
      <c r="C6" s="127">
        <v>0.13</v>
      </c>
      <c r="D6" s="128">
        <f>SUM('硬件-报价明细'!Q112)</f>
        <v>23363</v>
      </c>
      <c r="E6" s="129"/>
    </row>
    <row r="7" spans="1:5" ht="21" customHeight="1" x14ac:dyDescent="0.25">
      <c r="A7" s="126">
        <v>4</v>
      </c>
      <c r="B7" s="131" t="s">
        <v>16</v>
      </c>
      <c r="C7" s="131"/>
      <c r="D7" s="132">
        <f>SUM(D4:D6)</f>
        <v>7857359</v>
      </c>
      <c r="E7" s="133"/>
    </row>
    <row r="8" spans="1:5" ht="76.95" customHeight="1" x14ac:dyDescent="0.3">
      <c r="A8" s="143" t="s">
        <v>17</v>
      </c>
      <c r="B8" s="144"/>
      <c r="C8" s="144"/>
      <c r="D8" s="144"/>
      <c r="E8" s="145"/>
    </row>
    <row r="10" spans="1:5" ht="13.5" customHeight="1" x14ac:dyDescent="0.25">
      <c r="B10" s="134"/>
    </row>
  </sheetData>
  <mergeCells count="2">
    <mergeCell ref="A2:E2"/>
    <mergeCell ref="A8:E8"/>
  </mergeCells>
  <phoneticPr fontId="4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outlinePr summaryBelow="0" summaryRight="0"/>
  </sheetPr>
  <dimension ref="A1:I26"/>
  <sheetViews>
    <sheetView topLeftCell="A8" workbookViewId="0">
      <selection activeCell="B13" sqref="B13:F13"/>
    </sheetView>
  </sheetViews>
  <sheetFormatPr defaultColWidth="10" defaultRowHeight="16.5" customHeight="1" x14ac:dyDescent="0.25"/>
  <cols>
    <col min="1" max="1" width="22.453125" style="117" customWidth="1"/>
    <col min="2" max="2" width="19.81640625" style="24" customWidth="1"/>
    <col min="3" max="4" width="10" style="22"/>
    <col min="5" max="5" width="23.6328125" style="24" customWidth="1"/>
    <col min="6" max="6" width="44.6328125" style="24" customWidth="1"/>
    <col min="7" max="8" width="23.1796875" style="21" customWidth="1"/>
    <col min="9" max="9" width="61.36328125" style="21" customWidth="1"/>
    <col min="10" max="16384" width="10" style="22"/>
  </cols>
  <sheetData>
    <row r="1" spans="1:9" s="116" customFormat="1" ht="37.950000000000003" customHeight="1" x14ac:dyDescent="0.3">
      <c r="A1" s="118" t="s">
        <v>0</v>
      </c>
      <c r="B1" s="119"/>
      <c r="C1" s="119"/>
      <c r="D1" s="119"/>
      <c r="E1" s="119"/>
    </row>
    <row r="2" spans="1:9" ht="43.05" customHeight="1" x14ac:dyDescent="0.3">
      <c r="A2" s="146" t="s">
        <v>18</v>
      </c>
      <c r="B2" s="146"/>
      <c r="C2" s="146"/>
      <c r="D2" s="146"/>
      <c r="E2" s="146"/>
      <c r="F2" s="146"/>
    </row>
    <row r="3" spans="1:9" ht="43.05" customHeight="1" x14ac:dyDescent="0.3">
      <c r="A3" s="120" t="s">
        <v>19</v>
      </c>
      <c r="B3" s="147" t="s">
        <v>20</v>
      </c>
      <c r="C3" s="147"/>
      <c r="D3" s="147"/>
      <c r="E3" s="147"/>
      <c r="F3" s="147"/>
    </row>
    <row r="4" spans="1:9" ht="46.2" customHeight="1" x14ac:dyDescent="0.3">
      <c r="A4" s="148" t="s">
        <v>21</v>
      </c>
      <c r="B4" s="149"/>
      <c r="C4" s="149"/>
      <c r="D4" s="149"/>
      <c r="E4" s="149"/>
      <c r="F4" s="150"/>
    </row>
    <row r="5" spans="1:9" ht="42" customHeight="1" x14ac:dyDescent="0.3">
      <c r="A5" s="172" t="s">
        <v>22</v>
      </c>
      <c r="B5" s="151" t="s">
        <v>23</v>
      </c>
      <c r="C5" s="152"/>
      <c r="D5" s="152"/>
      <c r="E5" s="152"/>
      <c r="F5" s="153"/>
    </row>
    <row r="6" spans="1:9" s="116" customFormat="1" ht="46.2" customHeight="1" x14ac:dyDescent="0.3">
      <c r="A6" s="172"/>
      <c r="B6" s="151" t="s">
        <v>24</v>
      </c>
      <c r="C6" s="152"/>
      <c r="D6" s="152"/>
      <c r="E6" s="152"/>
      <c r="F6" s="153"/>
      <c r="G6" s="21"/>
      <c r="H6" s="21"/>
      <c r="I6" s="21"/>
    </row>
    <row r="7" spans="1:9" s="116" customFormat="1" ht="37.049999999999997" customHeight="1" x14ac:dyDescent="0.3">
      <c r="A7" s="172"/>
      <c r="B7" s="151" t="s">
        <v>25</v>
      </c>
      <c r="C7" s="152"/>
      <c r="D7" s="152"/>
      <c r="E7" s="152"/>
      <c r="F7" s="153"/>
      <c r="G7" s="21"/>
      <c r="H7" s="21"/>
      <c r="I7" s="21"/>
    </row>
    <row r="8" spans="1:9" ht="79.05" customHeight="1" x14ac:dyDescent="0.3">
      <c r="A8" s="173"/>
      <c r="B8" s="154" t="s">
        <v>26</v>
      </c>
      <c r="C8" s="155"/>
      <c r="D8" s="155"/>
      <c r="E8" s="155"/>
      <c r="F8" s="156"/>
      <c r="I8" s="59"/>
    </row>
    <row r="9" spans="1:9" ht="67.95" customHeight="1" x14ac:dyDescent="0.25">
      <c r="A9" s="121" t="s">
        <v>27</v>
      </c>
      <c r="B9" s="154" t="s">
        <v>28</v>
      </c>
      <c r="C9" s="155"/>
      <c r="D9" s="155"/>
      <c r="E9" s="155"/>
      <c r="F9" s="156"/>
      <c r="I9" s="24"/>
    </row>
    <row r="10" spans="1:9" ht="55.05" customHeight="1" x14ac:dyDescent="0.3">
      <c r="A10" s="122" t="s">
        <v>29</v>
      </c>
      <c r="B10" s="157" t="s">
        <v>30</v>
      </c>
      <c r="C10" s="158"/>
      <c r="D10" s="158"/>
      <c r="E10" s="158"/>
      <c r="F10" s="159"/>
      <c r="I10" s="59"/>
    </row>
    <row r="11" spans="1:9" s="116" customFormat="1" ht="46.2" customHeight="1" x14ac:dyDescent="0.3">
      <c r="A11" s="160" t="s">
        <v>31</v>
      </c>
      <c r="B11" s="161"/>
      <c r="C11" s="161"/>
      <c r="D11" s="161"/>
      <c r="E11" s="161"/>
      <c r="F11" s="162"/>
      <c r="G11" s="21"/>
      <c r="H11" s="21"/>
      <c r="I11" s="21"/>
    </row>
    <row r="12" spans="1:9" ht="46.95" customHeight="1" x14ac:dyDescent="0.3">
      <c r="A12" s="121" t="s">
        <v>32</v>
      </c>
      <c r="B12" s="157" t="s">
        <v>33</v>
      </c>
      <c r="C12" s="158"/>
      <c r="D12" s="158"/>
      <c r="E12" s="158"/>
      <c r="F12" s="159"/>
      <c r="I12" s="59"/>
    </row>
    <row r="13" spans="1:9" ht="46.95" customHeight="1" x14ac:dyDescent="0.3">
      <c r="A13" s="123" t="s">
        <v>34</v>
      </c>
      <c r="B13" s="163" t="s">
        <v>35</v>
      </c>
      <c r="C13" s="164"/>
      <c r="D13" s="164"/>
      <c r="E13" s="164"/>
      <c r="F13" s="165"/>
    </row>
    <row r="14" spans="1:9" ht="48" customHeight="1" x14ac:dyDescent="0.3">
      <c r="A14" s="123" t="s">
        <v>36</v>
      </c>
      <c r="B14" s="163" t="s">
        <v>37</v>
      </c>
      <c r="C14" s="164"/>
      <c r="D14" s="164"/>
      <c r="E14" s="164"/>
      <c r="F14" s="165"/>
    </row>
    <row r="15" spans="1:9" s="116" customFormat="1" ht="46.2" customHeight="1" x14ac:dyDescent="0.3">
      <c r="A15" s="160" t="s">
        <v>38</v>
      </c>
      <c r="B15" s="161"/>
      <c r="C15" s="161"/>
      <c r="D15" s="161"/>
      <c r="E15" s="161"/>
      <c r="F15" s="162"/>
      <c r="G15" s="21"/>
      <c r="H15" s="21"/>
      <c r="I15" s="21"/>
    </row>
    <row r="16" spans="1:9" ht="52.95" customHeight="1" x14ac:dyDescent="0.3">
      <c r="A16" s="124" t="s">
        <v>39</v>
      </c>
      <c r="B16" s="166" t="s">
        <v>40</v>
      </c>
      <c r="C16" s="167"/>
      <c r="D16" s="167"/>
      <c r="E16" s="167"/>
      <c r="F16" s="167"/>
    </row>
    <row r="17" spans="1:9" ht="40.200000000000003" customHeight="1" x14ac:dyDescent="0.3">
      <c r="A17" s="124" t="s">
        <v>41</v>
      </c>
      <c r="B17" s="166" t="s">
        <v>42</v>
      </c>
      <c r="C17" s="167"/>
      <c r="D17" s="167"/>
      <c r="E17" s="167"/>
      <c r="F17" s="167"/>
    </row>
    <row r="18" spans="1:9" s="116" customFormat="1" ht="40.200000000000003" customHeight="1" x14ac:dyDescent="0.3">
      <c r="A18" s="124" t="s">
        <v>43</v>
      </c>
      <c r="B18" s="166" t="s">
        <v>44</v>
      </c>
      <c r="C18" s="167"/>
      <c r="D18" s="167"/>
      <c r="E18" s="167"/>
      <c r="F18" s="167"/>
      <c r="G18" s="21"/>
      <c r="H18" s="21"/>
      <c r="I18" s="21"/>
    </row>
    <row r="19" spans="1:9" ht="34.200000000000003" customHeight="1" x14ac:dyDescent="0.3">
      <c r="A19" s="124" t="s">
        <v>45</v>
      </c>
      <c r="B19" s="166" t="s">
        <v>46</v>
      </c>
      <c r="C19" s="167"/>
      <c r="D19" s="167"/>
      <c r="E19" s="167"/>
      <c r="F19" s="167"/>
    </row>
    <row r="20" spans="1:9" s="116" customFormat="1" ht="46.2" customHeight="1" x14ac:dyDescent="0.3">
      <c r="A20" s="160" t="s">
        <v>47</v>
      </c>
      <c r="B20" s="161"/>
      <c r="C20" s="161"/>
      <c r="D20" s="161"/>
      <c r="E20" s="161"/>
      <c r="F20" s="162"/>
      <c r="G20" s="21"/>
      <c r="H20" s="21"/>
      <c r="I20" s="21"/>
    </row>
    <row r="21" spans="1:9" ht="46.95" customHeight="1" x14ac:dyDescent="0.3">
      <c r="A21" s="124" t="s">
        <v>48</v>
      </c>
      <c r="B21" s="166" t="s">
        <v>49</v>
      </c>
      <c r="C21" s="167"/>
      <c r="D21" s="167"/>
      <c r="E21" s="167"/>
      <c r="F21" s="167"/>
    </row>
    <row r="22" spans="1:9" s="116" customFormat="1" ht="46.95" customHeight="1" x14ac:dyDescent="0.3">
      <c r="A22" s="124" t="s">
        <v>50</v>
      </c>
      <c r="B22" s="166" t="s">
        <v>51</v>
      </c>
      <c r="C22" s="167"/>
      <c r="D22" s="167"/>
      <c r="E22" s="167"/>
      <c r="F22" s="167"/>
      <c r="G22" s="21"/>
      <c r="H22" s="21"/>
      <c r="I22" s="21"/>
    </row>
    <row r="23" spans="1:9" s="116" customFormat="1" ht="46.95" customHeight="1" x14ac:dyDescent="0.3">
      <c r="A23" s="125" t="s">
        <v>52</v>
      </c>
      <c r="B23" s="168" t="s">
        <v>53</v>
      </c>
      <c r="C23" s="169"/>
      <c r="D23" s="169"/>
      <c r="E23" s="169"/>
      <c r="F23" s="169"/>
      <c r="G23" s="21"/>
      <c r="H23" s="21"/>
      <c r="I23" s="21"/>
    </row>
    <row r="24" spans="1:9" ht="39" customHeight="1" x14ac:dyDescent="0.3">
      <c r="A24" s="174" t="s">
        <v>54</v>
      </c>
      <c r="B24" s="166" t="s">
        <v>55</v>
      </c>
      <c r="C24" s="167"/>
      <c r="D24" s="167"/>
      <c r="E24" s="167"/>
      <c r="F24" s="167"/>
    </row>
    <row r="25" spans="1:9" ht="39" customHeight="1" x14ac:dyDescent="0.3">
      <c r="A25" s="175"/>
      <c r="B25" s="170" t="s">
        <v>56</v>
      </c>
      <c r="C25" s="171"/>
      <c r="D25" s="171"/>
      <c r="E25" s="171"/>
      <c r="F25" s="171"/>
    </row>
    <row r="26" spans="1:9" ht="39" customHeight="1" x14ac:dyDescent="0.3">
      <c r="A26" s="175"/>
      <c r="B26" s="170" t="s">
        <v>57</v>
      </c>
      <c r="C26" s="171"/>
      <c r="D26" s="171"/>
      <c r="E26" s="171"/>
      <c r="F26" s="171"/>
    </row>
  </sheetData>
  <mergeCells count="27">
    <mergeCell ref="A24:A26"/>
    <mergeCell ref="B22:F22"/>
    <mergeCell ref="B23:F23"/>
    <mergeCell ref="B24:F24"/>
    <mergeCell ref="B25:F25"/>
    <mergeCell ref="B26:F26"/>
    <mergeCell ref="B17:F17"/>
    <mergeCell ref="B18:F18"/>
    <mergeCell ref="B19:F19"/>
    <mergeCell ref="A20:F20"/>
    <mergeCell ref="B21:F21"/>
    <mergeCell ref="B12:F12"/>
    <mergeCell ref="B13:F13"/>
    <mergeCell ref="B14:F14"/>
    <mergeCell ref="A15:F15"/>
    <mergeCell ref="B16:F16"/>
    <mergeCell ref="B7:F7"/>
    <mergeCell ref="B8:F8"/>
    <mergeCell ref="B9:F9"/>
    <mergeCell ref="B10:F10"/>
    <mergeCell ref="A11:F11"/>
    <mergeCell ref="A5:A8"/>
    <mergeCell ref="A2:F2"/>
    <mergeCell ref="B3:F3"/>
    <mergeCell ref="A4:F4"/>
    <mergeCell ref="B5:F5"/>
    <mergeCell ref="B6:F6"/>
  </mergeCells>
  <phoneticPr fontId="4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outlinePr summaryBelow="0" summaryRight="0"/>
  </sheetPr>
  <dimension ref="A1:AP115"/>
  <sheetViews>
    <sheetView tabSelected="1" topLeftCell="E1" zoomScale="70" zoomScaleNormal="70" workbookViewId="0">
      <pane ySplit="2" topLeftCell="A3" activePane="bottomLeft" state="frozen"/>
      <selection pane="bottomLeft" activeCell="N10" sqref="N10"/>
    </sheetView>
  </sheetViews>
  <sheetFormatPr defaultColWidth="9" defaultRowHeight="19.05" customHeight="1" x14ac:dyDescent="0.3"/>
  <cols>
    <col min="1" max="1" width="9" style="64"/>
    <col min="2" max="2" width="25" style="65" customWidth="1"/>
    <col min="3" max="3" width="23.36328125" style="61" customWidth="1"/>
    <col min="4" max="4" width="12.08984375" style="65" customWidth="1"/>
    <col min="5" max="5" width="9" style="57"/>
    <col min="6" max="6" width="11" style="61" customWidth="1"/>
    <col min="7" max="7" width="9" style="57"/>
    <col min="8" max="8" width="10.7265625" style="66" customWidth="1"/>
    <col min="9" max="9" width="29.453125" style="57" customWidth="1"/>
    <col min="10" max="10" width="35.453125" style="57" customWidth="1"/>
    <col min="11" max="11" width="13.54296875" style="64" customWidth="1"/>
    <col min="12" max="12" width="10.6328125" style="64" customWidth="1"/>
    <col min="13" max="16" width="16.36328125" style="67" customWidth="1"/>
    <col min="17" max="17" width="14.90625" style="68" customWidth="1"/>
    <col min="18" max="18" width="9" style="57"/>
    <col min="19" max="19" width="19.26953125" style="57" customWidth="1"/>
    <col min="20" max="42" width="9" style="57"/>
    <col min="43" max="16384" width="9" style="58"/>
  </cols>
  <sheetData>
    <row r="1" spans="1:19" ht="19.05" customHeight="1" x14ac:dyDescent="0.15">
      <c r="A1" s="176" t="s">
        <v>0</v>
      </c>
      <c r="B1" s="176"/>
      <c r="C1" s="176"/>
      <c r="D1" s="176"/>
      <c r="E1" s="176"/>
      <c r="F1" s="176"/>
      <c r="G1" s="69"/>
      <c r="H1" s="70" t="s">
        <v>58</v>
      </c>
      <c r="I1" s="70" t="s">
        <v>58</v>
      </c>
      <c r="J1" s="70" t="s">
        <v>58</v>
      </c>
      <c r="K1" s="70" t="s">
        <v>58</v>
      </c>
      <c r="L1" s="70" t="s">
        <v>58</v>
      </c>
      <c r="M1" s="70" t="s">
        <v>58</v>
      </c>
      <c r="N1" s="70"/>
      <c r="O1" s="70" t="s">
        <v>58</v>
      </c>
      <c r="P1" s="70"/>
      <c r="Q1" s="71" t="s">
        <v>58</v>
      </c>
      <c r="R1" s="72"/>
    </row>
    <row r="2" spans="1:19" ht="19.05" customHeight="1" x14ac:dyDescent="0.3">
      <c r="A2" s="73" t="s">
        <v>2</v>
      </c>
      <c r="B2" s="74" t="s">
        <v>59</v>
      </c>
      <c r="C2" s="73" t="s">
        <v>60</v>
      </c>
      <c r="D2" s="73" t="s">
        <v>61</v>
      </c>
      <c r="E2" s="75" t="s">
        <v>62</v>
      </c>
      <c r="F2" s="73" t="s">
        <v>63</v>
      </c>
      <c r="G2" s="73" t="s">
        <v>7</v>
      </c>
      <c r="H2" s="76" t="s">
        <v>64</v>
      </c>
      <c r="I2" s="76" t="s">
        <v>65</v>
      </c>
      <c r="J2" s="76" t="s">
        <v>66</v>
      </c>
      <c r="K2" s="76" t="s">
        <v>67</v>
      </c>
      <c r="L2" s="76" t="s">
        <v>68</v>
      </c>
      <c r="M2" s="76" t="s">
        <v>69</v>
      </c>
      <c r="N2" s="76" t="s">
        <v>70</v>
      </c>
      <c r="O2" s="76" t="s">
        <v>71</v>
      </c>
      <c r="P2" s="76" t="s">
        <v>72</v>
      </c>
      <c r="Q2" s="77" t="s">
        <v>73</v>
      </c>
      <c r="R2" s="78" t="s">
        <v>7</v>
      </c>
    </row>
    <row r="3" spans="1:19" ht="19.05" customHeight="1" x14ac:dyDescent="0.3">
      <c r="A3" s="79"/>
      <c r="B3" s="80" t="s">
        <v>74</v>
      </c>
      <c r="C3" s="81"/>
      <c r="D3" s="82"/>
      <c r="E3" s="81"/>
      <c r="F3" s="81"/>
      <c r="G3" s="81"/>
      <c r="H3" s="79"/>
      <c r="I3" s="81"/>
      <c r="J3" s="81"/>
      <c r="K3" s="79"/>
      <c r="L3" s="79"/>
      <c r="M3" s="83"/>
      <c r="N3" s="83"/>
      <c r="O3" s="83"/>
      <c r="P3" s="84"/>
      <c r="Q3" s="85"/>
      <c r="R3" s="86"/>
    </row>
    <row r="4" spans="1:19" s="61" customFormat="1" ht="19.05" customHeight="1" x14ac:dyDescent="0.3">
      <c r="A4" s="177">
        <v>1</v>
      </c>
      <c r="B4" s="179" t="s">
        <v>75</v>
      </c>
      <c r="C4" s="181" t="s">
        <v>76</v>
      </c>
      <c r="D4" s="181" t="s">
        <v>77</v>
      </c>
      <c r="E4" s="79">
        <v>22</v>
      </c>
      <c r="F4" s="79" t="s">
        <v>78</v>
      </c>
      <c r="G4" s="81"/>
      <c r="H4" s="79" t="s">
        <v>79</v>
      </c>
      <c r="I4" s="81" t="s">
        <v>80</v>
      </c>
      <c r="J4" s="81" t="s">
        <v>81</v>
      </c>
      <c r="K4" s="79" t="s">
        <v>82</v>
      </c>
      <c r="L4" s="79" t="s">
        <v>83</v>
      </c>
      <c r="M4" s="89">
        <v>489</v>
      </c>
      <c r="N4" s="89">
        <f>E4*M4</f>
        <v>10758</v>
      </c>
      <c r="O4" s="89">
        <v>4035</v>
      </c>
      <c r="P4" s="90">
        <f>E4*O4</f>
        <v>88770</v>
      </c>
      <c r="Q4" s="85">
        <f>E4*(M4+O4)</f>
        <v>99528</v>
      </c>
      <c r="R4" s="86"/>
    </row>
    <row r="5" spans="1:19" s="61" customFormat="1" ht="19.05" customHeight="1" x14ac:dyDescent="0.3">
      <c r="A5" s="178"/>
      <c r="B5" s="180"/>
      <c r="C5" s="182"/>
      <c r="D5" s="182"/>
      <c r="E5" s="91">
        <v>1</v>
      </c>
      <c r="F5" s="91" t="s">
        <v>78</v>
      </c>
      <c r="G5" s="92"/>
      <c r="H5" s="91" t="s">
        <v>84</v>
      </c>
      <c r="I5" s="81" t="s">
        <v>85</v>
      </c>
      <c r="J5" s="81" t="s">
        <v>719</v>
      </c>
      <c r="K5" s="79" t="s">
        <v>82</v>
      </c>
      <c r="L5" s="79" t="s">
        <v>83</v>
      </c>
      <c r="M5" s="89">
        <v>489</v>
      </c>
      <c r="N5" s="89">
        <f t="shared" ref="N5:N36" si="0">E5*M5</f>
        <v>489</v>
      </c>
      <c r="O5" s="89">
        <v>7434</v>
      </c>
      <c r="P5" s="90">
        <f t="shared" ref="P5:P36" si="1">E5*O5</f>
        <v>7434</v>
      </c>
      <c r="Q5" s="85">
        <f>E5*(M5+O5)</f>
        <v>7923</v>
      </c>
      <c r="R5" s="86"/>
    </row>
    <row r="6" spans="1:19" s="61" customFormat="1" ht="19.05" customHeight="1" x14ac:dyDescent="0.3">
      <c r="A6" s="178"/>
      <c r="B6" s="180"/>
      <c r="C6" s="182"/>
      <c r="D6" s="182"/>
      <c r="E6" s="91">
        <v>1</v>
      </c>
      <c r="F6" s="91" t="s">
        <v>78</v>
      </c>
      <c r="G6" s="92"/>
      <c r="H6" s="91" t="s">
        <v>86</v>
      </c>
      <c r="I6" s="92" t="s">
        <v>87</v>
      </c>
      <c r="J6" s="92" t="s">
        <v>718</v>
      </c>
      <c r="K6" s="91" t="s">
        <v>82</v>
      </c>
      <c r="L6" s="91" t="s">
        <v>83</v>
      </c>
      <c r="M6" s="93">
        <v>489</v>
      </c>
      <c r="N6" s="89">
        <f t="shared" si="0"/>
        <v>489</v>
      </c>
      <c r="O6" s="93">
        <v>5310</v>
      </c>
      <c r="P6" s="90">
        <f t="shared" si="1"/>
        <v>5310</v>
      </c>
      <c r="Q6" s="94">
        <f>E6*(M6+O6)</f>
        <v>5799</v>
      </c>
      <c r="R6" s="86"/>
    </row>
    <row r="7" spans="1:19" ht="43.2" customHeight="1" x14ac:dyDescent="0.3">
      <c r="A7" s="79">
        <v>2</v>
      </c>
      <c r="B7" s="82" t="s">
        <v>88</v>
      </c>
      <c r="C7" s="82" t="s">
        <v>662</v>
      </c>
      <c r="D7" s="82" t="s">
        <v>89</v>
      </c>
      <c r="E7" s="79">
        <v>9</v>
      </c>
      <c r="F7" s="79" t="s">
        <v>78</v>
      </c>
      <c r="G7" s="81"/>
      <c r="H7" s="95" t="s">
        <v>90</v>
      </c>
      <c r="I7" s="96" t="s">
        <v>712</v>
      </c>
      <c r="J7" s="96" t="s">
        <v>711</v>
      </c>
      <c r="K7" s="95" t="s">
        <v>82</v>
      </c>
      <c r="L7" s="95" t="s">
        <v>83</v>
      </c>
      <c r="M7" s="97">
        <v>326</v>
      </c>
      <c r="N7" s="89">
        <f t="shared" si="0"/>
        <v>2934</v>
      </c>
      <c r="O7" s="97">
        <v>33864</v>
      </c>
      <c r="P7" s="90">
        <f t="shared" si="1"/>
        <v>304776</v>
      </c>
      <c r="Q7" s="94">
        <f t="shared" ref="Q7:Q33" si="2">E7*(M7+O7)</f>
        <v>307710</v>
      </c>
      <c r="R7" s="98"/>
    </row>
    <row r="8" spans="1:19" ht="43.2" customHeight="1" x14ac:dyDescent="0.3">
      <c r="A8" s="232">
        <v>3</v>
      </c>
      <c r="B8" s="233" t="s">
        <v>93</v>
      </c>
      <c r="C8" s="233" t="s">
        <v>661</v>
      </c>
      <c r="D8" s="233" t="s">
        <v>89</v>
      </c>
      <c r="E8" s="232">
        <v>129</v>
      </c>
      <c r="F8" s="232" t="s">
        <v>78</v>
      </c>
      <c r="G8" s="234"/>
      <c r="H8" s="235" t="s">
        <v>90</v>
      </c>
      <c r="I8" s="236" t="s">
        <v>659</v>
      </c>
      <c r="J8" s="236" t="s">
        <v>660</v>
      </c>
      <c r="K8" s="235" t="s">
        <v>82</v>
      </c>
      <c r="L8" s="235" t="s">
        <v>83</v>
      </c>
      <c r="M8" s="237">
        <v>233</v>
      </c>
      <c r="N8" s="238">
        <f t="shared" si="0"/>
        <v>30057</v>
      </c>
      <c r="O8" s="237">
        <v>1405</v>
      </c>
      <c r="P8" s="239">
        <f t="shared" si="1"/>
        <v>181245</v>
      </c>
      <c r="Q8" s="240">
        <f t="shared" si="2"/>
        <v>211302</v>
      </c>
      <c r="R8" s="241"/>
      <c r="S8" s="57" t="s">
        <v>665</v>
      </c>
    </row>
    <row r="9" spans="1:19" ht="43.2" customHeight="1" x14ac:dyDescent="0.3">
      <c r="A9" s="79">
        <v>4</v>
      </c>
      <c r="B9" s="82" t="s">
        <v>96</v>
      </c>
      <c r="C9" s="82" t="s">
        <v>663</v>
      </c>
      <c r="D9" s="99" t="s">
        <v>97</v>
      </c>
      <c r="E9" s="79">
        <v>129</v>
      </c>
      <c r="F9" s="79" t="s">
        <v>78</v>
      </c>
      <c r="G9" s="81"/>
      <c r="H9" s="79" t="s">
        <v>98</v>
      </c>
      <c r="I9" s="81" t="s">
        <v>99</v>
      </c>
      <c r="J9" s="81" t="s">
        <v>100</v>
      </c>
      <c r="K9" s="79" t="s">
        <v>82</v>
      </c>
      <c r="L9" s="79" t="s">
        <v>83</v>
      </c>
      <c r="M9" s="89">
        <v>233</v>
      </c>
      <c r="N9" s="89">
        <f t="shared" si="0"/>
        <v>30057</v>
      </c>
      <c r="O9" s="89">
        <v>781</v>
      </c>
      <c r="P9" s="90">
        <f t="shared" si="1"/>
        <v>100749</v>
      </c>
      <c r="Q9" s="85">
        <f t="shared" si="2"/>
        <v>130806</v>
      </c>
      <c r="R9" s="86"/>
    </row>
    <row r="10" spans="1:19" ht="43.2" customHeight="1" x14ac:dyDescent="0.3">
      <c r="A10" s="79">
        <v>5</v>
      </c>
      <c r="B10" s="82" t="s">
        <v>101</v>
      </c>
      <c r="C10" s="99" t="s">
        <v>102</v>
      </c>
      <c r="D10" s="82" t="s">
        <v>89</v>
      </c>
      <c r="E10" s="79">
        <v>129</v>
      </c>
      <c r="F10" s="79" t="s">
        <v>78</v>
      </c>
      <c r="G10" s="81"/>
      <c r="H10" s="95" t="s">
        <v>103</v>
      </c>
      <c r="I10" s="96" t="s">
        <v>104</v>
      </c>
      <c r="J10" s="96" t="s">
        <v>105</v>
      </c>
      <c r="K10" s="95" t="s">
        <v>82</v>
      </c>
      <c r="L10" s="91" t="s">
        <v>83</v>
      </c>
      <c r="M10" s="97">
        <v>17</v>
      </c>
      <c r="N10" s="89">
        <f t="shared" si="0"/>
        <v>2193</v>
      </c>
      <c r="O10" s="97">
        <v>276</v>
      </c>
      <c r="P10" s="90">
        <f t="shared" si="1"/>
        <v>35604</v>
      </c>
      <c r="Q10" s="94">
        <f t="shared" si="2"/>
        <v>37797</v>
      </c>
      <c r="R10" s="98"/>
    </row>
    <row r="11" spans="1:19" ht="43.2" customHeight="1" x14ac:dyDescent="0.3">
      <c r="A11" s="79">
        <v>6</v>
      </c>
      <c r="B11" s="82" t="s">
        <v>106</v>
      </c>
      <c r="C11" s="100" t="s">
        <v>107</v>
      </c>
      <c r="D11" s="82" t="s">
        <v>89</v>
      </c>
      <c r="E11" s="79">
        <v>13</v>
      </c>
      <c r="F11" s="79" t="s">
        <v>78</v>
      </c>
      <c r="G11" s="81"/>
      <c r="H11" s="79" t="s">
        <v>90</v>
      </c>
      <c r="I11" s="81" t="s">
        <v>108</v>
      </c>
      <c r="J11" s="81" t="s">
        <v>109</v>
      </c>
      <c r="K11" s="79" t="s">
        <v>82</v>
      </c>
      <c r="L11" s="79" t="s">
        <v>83</v>
      </c>
      <c r="M11" s="89">
        <v>140</v>
      </c>
      <c r="N11" s="89">
        <f t="shared" si="0"/>
        <v>1820</v>
      </c>
      <c r="O11" s="97">
        <v>159</v>
      </c>
      <c r="P11" s="90">
        <f t="shared" si="1"/>
        <v>2067</v>
      </c>
      <c r="Q11" s="94">
        <f t="shared" si="2"/>
        <v>3887</v>
      </c>
      <c r="R11" s="98"/>
    </row>
    <row r="12" spans="1:19" ht="43.2" customHeight="1" x14ac:dyDescent="0.3">
      <c r="A12" s="79">
        <v>7</v>
      </c>
      <c r="B12" s="82" t="s">
        <v>110</v>
      </c>
      <c r="C12" s="82" t="s">
        <v>111</v>
      </c>
      <c r="D12" s="82" t="s">
        <v>89</v>
      </c>
      <c r="E12" s="79">
        <v>362</v>
      </c>
      <c r="F12" s="79" t="s">
        <v>78</v>
      </c>
      <c r="G12" s="81"/>
      <c r="H12" s="79" t="s">
        <v>90</v>
      </c>
      <c r="I12" s="81" t="s">
        <v>112</v>
      </c>
      <c r="J12" s="81" t="s">
        <v>113</v>
      </c>
      <c r="K12" s="79" t="s">
        <v>82</v>
      </c>
      <c r="L12" s="79" t="s">
        <v>83</v>
      </c>
      <c r="M12" s="89">
        <v>140</v>
      </c>
      <c r="N12" s="89">
        <f t="shared" si="0"/>
        <v>50680</v>
      </c>
      <c r="O12" s="97">
        <v>412</v>
      </c>
      <c r="P12" s="90">
        <f t="shared" si="1"/>
        <v>149144</v>
      </c>
      <c r="Q12" s="94">
        <f t="shared" si="2"/>
        <v>199824</v>
      </c>
      <c r="R12" s="98"/>
    </row>
    <row r="13" spans="1:19" ht="43.2" customHeight="1" x14ac:dyDescent="0.3">
      <c r="A13" s="79">
        <v>8</v>
      </c>
      <c r="B13" s="82" t="s">
        <v>114</v>
      </c>
      <c r="C13" s="82" t="s">
        <v>115</v>
      </c>
      <c r="D13" s="82" t="s">
        <v>89</v>
      </c>
      <c r="E13" s="79">
        <v>75</v>
      </c>
      <c r="F13" s="79" t="s">
        <v>78</v>
      </c>
      <c r="G13" s="81"/>
      <c r="H13" s="91" t="s">
        <v>90</v>
      </c>
      <c r="I13" s="92" t="s">
        <v>116</v>
      </c>
      <c r="J13" s="92" t="s">
        <v>117</v>
      </c>
      <c r="K13" s="91" t="s">
        <v>82</v>
      </c>
      <c r="L13" s="91" t="s">
        <v>83</v>
      </c>
      <c r="M13" s="93">
        <v>408</v>
      </c>
      <c r="N13" s="89">
        <f t="shared" si="0"/>
        <v>30600</v>
      </c>
      <c r="O13" s="93">
        <v>4779</v>
      </c>
      <c r="P13" s="90">
        <f t="shared" si="1"/>
        <v>358425</v>
      </c>
      <c r="Q13" s="94">
        <f t="shared" si="2"/>
        <v>389025</v>
      </c>
      <c r="R13" s="86"/>
    </row>
    <row r="14" spans="1:19" ht="43.2" customHeight="1" x14ac:dyDescent="0.3">
      <c r="A14" s="79">
        <v>9</v>
      </c>
      <c r="B14" s="82" t="s">
        <v>118</v>
      </c>
      <c r="C14" s="99" t="s">
        <v>119</v>
      </c>
      <c r="D14" s="82" t="s">
        <v>89</v>
      </c>
      <c r="E14" s="79">
        <v>26</v>
      </c>
      <c r="F14" s="79" t="s">
        <v>78</v>
      </c>
      <c r="G14" s="81"/>
      <c r="H14" s="79" t="s">
        <v>90</v>
      </c>
      <c r="I14" s="81" t="s">
        <v>120</v>
      </c>
      <c r="J14" s="81" t="s">
        <v>121</v>
      </c>
      <c r="K14" s="79" t="s">
        <v>82</v>
      </c>
      <c r="L14" s="79" t="s">
        <v>83</v>
      </c>
      <c r="M14" s="89">
        <v>140</v>
      </c>
      <c r="N14" s="89">
        <f t="shared" si="0"/>
        <v>3640</v>
      </c>
      <c r="O14" s="89">
        <v>1912</v>
      </c>
      <c r="P14" s="90">
        <f t="shared" si="1"/>
        <v>49712</v>
      </c>
      <c r="Q14" s="85">
        <f t="shared" si="2"/>
        <v>53352</v>
      </c>
      <c r="R14" s="86"/>
    </row>
    <row r="15" spans="1:19" ht="43.2" customHeight="1" x14ac:dyDescent="0.3">
      <c r="A15" s="79">
        <v>10</v>
      </c>
      <c r="B15" s="82" t="s">
        <v>122</v>
      </c>
      <c r="C15" s="82" t="s">
        <v>123</v>
      </c>
      <c r="D15" s="82" t="s">
        <v>89</v>
      </c>
      <c r="E15" s="79">
        <v>2</v>
      </c>
      <c r="F15" s="79" t="s">
        <v>78</v>
      </c>
      <c r="G15" s="81"/>
      <c r="H15" s="79" t="s">
        <v>90</v>
      </c>
      <c r="I15" s="81" t="s">
        <v>124</v>
      </c>
      <c r="J15" s="81" t="s">
        <v>125</v>
      </c>
      <c r="K15" s="79" t="s">
        <v>82</v>
      </c>
      <c r="L15" s="79" t="s">
        <v>83</v>
      </c>
      <c r="M15" s="89">
        <v>140</v>
      </c>
      <c r="N15" s="89">
        <f t="shared" si="0"/>
        <v>280</v>
      </c>
      <c r="O15" s="89">
        <v>425</v>
      </c>
      <c r="P15" s="90">
        <f t="shared" si="1"/>
        <v>850</v>
      </c>
      <c r="Q15" s="85">
        <f t="shared" si="2"/>
        <v>1130</v>
      </c>
      <c r="R15" s="86"/>
    </row>
    <row r="16" spans="1:19" ht="43.2" customHeight="1" x14ac:dyDescent="0.3">
      <c r="A16" s="79">
        <v>11</v>
      </c>
      <c r="B16" s="82" t="s">
        <v>126</v>
      </c>
      <c r="C16" s="82" t="s">
        <v>127</v>
      </c>
      <c r="D16" s="82" t="s">
        <v>89</v>
      </c>
      <c r="E16" s="79">
        <v>89</v>
      </c>
      <c r="F16" s="79" t="s">
        <v>78</v>
      </c>
      <c r="G16" s="81"/>
      <c r="H16" s="79" t="s">
        <v>90</v>
      </c>
      <c r="I16" s="81" t="s">
        <v>128</v>
      </c>
      <c r="J16" s="81" t="s">
        <v>129</v>
      </c>
      <c r="K16" s="79" t="s">
        <v>82</v>
      </c>
      <c r="L16" s="79" t="s">
        <v>83</v>
      </c>
      <c r="M16" s="89">
        <v>140</v>
      </c>
      <c r="N16" s="89">
        <f t="shared" si="0"/>
        <v>12460</v>
      </c>
      <c r="O16" s="89">
        <v>913</v>
      </c>
      <c r="P16" s="90">
        <f t="shared" si="1"/>
        <v>81257</v>
      </c>
      <c r="Q16" s="85">
        <f t="shared" si="2"/>
        <v>93717</v>
      </c>
      <c r="R16" s="86"/>
    </row>
    <row r="17" spans="1:19" ht="43.2" customHeight="1" x14ac:dyDescent="0.3">
      <c r="A17" s="79">
        <v>12</v>
      </c>
      <c r="B17" s="82" t="s">
        <v>130</v>
      </c>
      <c r="C17" s="82" t="s">
        <v>131</v>
      </c>
      <c r="D17" s="82" t="s">
        <v>89</v>
      </c>
      <c r="E17" s="79">
        <v>100</v>
      </c>
      <c r="F17" s="79" t="s">
        <v>132</v>
      </c>
      <c r="G17" s="81"/>
      <c r="H17" s="79" t="s">
        <v>133</v>
      </c>
      <c r="I17" s="81" t="s">
        <v>134</v>
      </c>
      <c r="J17" s="81" t="s">
        <v>135</v>
      </c>
      <c r="K17" s="79" t="s">
        <v>82</v>
      </c>
      <c r="L17" s="79" t="s">
        <v>83</v>
      </c>
      <c r="M17" s="97">
        <v>17</v>
      </c>
      <c r="N17" s="89">
        <f t="shared" si="0"/>
        <v>1700</v>
      </c>
      <c r="O17" s="97">
        <v>16</v>
      </c>
      <c r="P17" s="90">
        <f t="shared" si="1"/>
        <v>1600</v>
      </c>
      <c r="Q17" s="94">
        <f t="shared" si="2"/>
        <v>3300</v>
      </c>
      <c r="R17" s="98"/>
    </row>
    <row r="18" spans="1:19" ht="19.05" customHeight="1" x14ac:dyDescent="0.3">
      <c r="A18" s="79">
        <v>13</v>
      </c>
      <c r="B18" s="82" t="s">
        <v>136</v>
      </c>
      <c r="C18" s="82" t="s">
        <v>137</v>
      </c>
      <c r="D18" s="82" t="s">
        <v>89</v>
      </c>
      <c r="E18" s="79">
        <v>168</v>
      </c>
      <c r="F18" s="79" t="s">
        <v>132</v>
      </c>
      <c r="G18" s="81"/>
      <c r="H18" s="79" t="s">
        <v>90</v>
      </c>
      <c r="I18" s="81" t="s">
        <v>138</v>
      </c>
      <c r="J18" s="81" t="s">
        <v>139</v>
      </c>
      <c r="K18" s="79" t="s">
        <v>82</v>
      </c>
      <c r="L18" s="79" t="s">
        <v>83</v>
      </c>
      <c r="M18" s="97">
        <v>140</v>
      </c>
      <c r="N18" s="89">
        <f t="shared" si="0"/>
        <v>23520</v>
      </c>
      <c r="O18" s="97">
        <v>457</v>
      </c>
      <c r="P18" s="90">
        <f t="shared" si="1"/>
        <v>76776</v>
      </c>
      <c r="Q18" s="94">
        <f t="shared" si="2"/>
        <v>100296</v>
      </c>
      <c r="R18" s="98"/>
    </row>
    <row r="19" spans="1:19" ht="19.05" customHeight="1" x14ac:dyDescent="0.3">
      <c r="A19" s="79">
        <v>14</v>
      </c>
      <c r="B19" s="101" t="s">
        <v>140</v>
      </c>
      <c r="C19" s="82" t="s">
        <v>141</v>
      </c>
      <c r="D19" s="82" t="s">
        <v>142</v>
      </c>
      <c r="E19" s="79">
        <v>129</v>
      </c>
      <c r="F19" s="79" t="s">
        <v>132</v>
      </c>
      <c r="G19" s="81"/>
      <c r="H19" s="79" t="s">
        <v>143</v>
      </c>
      <c r="I19" s="81" t="s">
        <v>144</v>
      </c>
      <c r="J19" s="81" t="s">
        <v>141</v>
      </c>
      <c r="K19" s="79" t="s">
        <v>82</v>
      </c>
      <c r="L19" s="79" t="s">
        <v>83</v>
      </c>
      <c r="M19" s="89">
        <v>52</v>
      </c>
      <c r="N19" s="89">
        <f t="shared" si="0"/>
        <v>6708</v>
      </c>
      <c r="O19" s="89">
        <v>71</v>
      </c>
      <c r="P19" s="90">
        <f t="shared" si="1"/>
        <v>9159</v>
      </c>
      <c r="Q19" s="85">
        <f t="shared" si="2"/>
        <v>15867</v>
      </c>
      <c r="R19" s="86"/>
    </row>
    <row r="20" spans="1:19" ht="19.05" customHeight="1" x14ac:dyDescent="0.3">
      <c r="A20" s="79">
        <v>15</v>
      </c>
      <c r="B20" s="101" t="s">
        <v>145</v>
      </c>
      <c r="C20" s="82" t="s">
        <v>146</v>
      </c>
      <c r="D20" s="82" t="s">
        <v>147</v>
      </c>
      <c r="E20" s="79">
        <v>129</v>
      </c>
      <c r="F20" s="79" t="s">
        <v>148</v>
      </c>
      <c r="G20" s="81"/>
      <c r="H20" s="79" t="s">
        <v>149</v>
      </c>
      <c r="I20" s="81" t="s">
        <v>150</v>
      </c>
      <c r="J20" s="81" t="s">
        <v>146</v>
      </c>
      <c r="K20" s="79" t="s">
        <v>82</v>
      </c>
      <c r="L20" s="79" t="s">
        <v>83</v>
      </c>
      <c r="M20" s="89">
        <v>17</v>
      </c>
      <c r="N20" s="89">
        <f t="shared" si="0"/>
        <v>2193</v>
      </c>
      <c r="O20" s="89">
        <v>240</v>
      </c>
      <c r="P20" s="90">
        <f t="shared" si="1"/>
        <v>30960</v>
      </c>
      <c r="Q20" s="85">
        <f t="shared" si="2"/>
        <v>33153</v>
      </c>
      <c r="R20" s="86"/>
    </row>
    <row r="21" spans="1:19" ht="19.05" customHeight="1" x14ac:dyDescent="0.3">
      <c r="A21" s="79">
        <v>16</v>
      </c>
      <c r="B21" s="101" t="s">
        <v>151</v>
      </c>
      <c r="C21" s="82" t="s">
        <v>152</v>
      </c>
      <c r="D21" s="82" t="s">
        <v>147</v>
      </c>
      <c r="E21" s="79">
        <v>34</v>
      </c>
      <c r="F21" s="79" t="s">
        <v>132</v>
      </c>
      <c r="G21" s="81"/>
      <c r="H21" s="79" t="s">
        <v>149</v>
      </c>
      <c r="I21" s="81" t="s">
        <v>153</v>
      </c>
      <c r="J21" s="81" t="s">
        <v>152</v>
      </c>
      <c r="K21" s="79" t="s">
        <v>82</v>
      </c>
      <c r="L21" s="79" t="s">
        <v>83</v>
      </c>
      <c r="M21" s="89">
        <v>17</v>
      </c>
      <c r="N21" s="89">
        <f t="shared" si="0"/>
        <v>578</v>
      </c>
      <c r="O21" s="89">
        <v>504</v>
      </c>
      <c r="P21" s="90">
        <f t="shared" si="1"/>
        <v>17136</v>
      </c>
      <c r="Q21" s="85">
        <f t="shared" si="2"/>
        <v>17714</v>
      </c>
      <c r="R21" s="86"/>
    </row>
    <row r="22" spans="1:19" ht="19.05" customHeight="1" x14ac:dyDescent="0.3">
      <c r="A22" s="232">
        <v>17</v>
      </c>
      <c r="B22" s="242" t="s">
        <v>666</v>
      </c>
      <c r="C22" s="233" t="s">
        <v>154</v>
      </c>
      <c r="D22" s="233" t="s">
        <v>142</v>
      </c>
      <c r="E22" s="232">
        <v>130000</v>
      </c>
      <c r="F22" s="232" t="s">
        <v>155</v>
      </c>
      <c r="G22" s="234"/>
      <c r="H22" s="232" t="s">
        <v>143</v>
      </c>
      <c r="I22" s="234" t="s">
        <v>156</v>
      </c>
      <c r="J22" s="234" t="s">
        <v>154</v>
      </c>
      <c r="K22" s="232" t="s">
        <v>82</v>
      </c>
      <c r="L22" s="232" t="s">
        <v>83</v>
      </c>
      <c r="M22" s="238">
        <v>1</v>
      </c>
      <c r="N22" s="238">
        <f t="shared" si="0"/>
        <v>130000</v>
      </c>
      <c r="O22" s="238">
        <v>2</v>
      </c>
      <c r="P22" s="239">
        <f t="shared" si="1"/>
        <v>260000</v>
      </c>
      <c r="Q22" s="240">
        <f t="shared" si="2"/>
        <v>390000</v>
      </c>
      <c r="R22" s="243"/>
      <c r="S22" s="57" t="s">
        <v>664</v>
      </c>
    </row>
    <row r="23" spans="1:19" ht="19.05" customHeight="1" x14ac:dyDescent="0.3">
      <c r="A23" s="79">
        <v>18</v>
      </c>
      <c r="B23" s="101" t="s">
        <v>157</v>
      </c>
      <c r="C23" s="82" t="s">
        <v>158</v>
      </c>
      <c r="D23" s="82" t="s">
        <v>142</v>
      </c>
      <c r="E23" s="79">
        <v>24</v>
      </c>
      <c r="F23" s="79" t="s">
        <v>132</v>
      </c>
      <c r="G23" s="81"/>
      <c r="H23" s="79" t="s">
        <v>143</v>
      </c>
      <c r="I23" s="81" t="s">
        <v>159</v>
      </c>
      <c r="J23" s="81" t="s">
        <v>158</v>
      </c>
      <c r="K23" s="79" t="s">
        <v>82</v>
      </c>
      <c r="L23" s="79" t="s">
        <v>83</v>
      </c>
      <c r="M23" s="89">
        <v>17</v>
      </c>
      <c r="N23" s="89">
        <f t="shared" si="0"/>
        <v>408</v>
      </c>
      <c r="O23" s="89">
        <v>308</v>
      </c>
      <c r="P23" s="90">
        <f t="shared" si="1"/>
        <v>7392</v>
      </c>
      <c r="Q23" s="85">
        <f t="shared" si="2"/>
        <v>7800</v>
      </c>
      <c r="R23" s="86"/>
    </row>
    <row r="24" spans="1:19" ht="19.05" customHeight="1" x14ac:dyDescent="0.3">
      <c r="A24" s="79">
        <v>19</v>
      </c>
      <c r="B24" s="101" t="s">
        <v>160</v>
      </c>
      <c r="C24" s="82" t="s">
        <v>161</v>
      </c>
      <c r="D24" s="82" t="s">
        <v>142</v>
      </c>
      <c r="E24" s="79">
        <f>E20</f>
        <v>129</v>
      </c>
      <c r="F24" s="79" t="s">
        <v>132</v>
      </c>
      <c r="G24" s="81"/>
      <c r="H24" s="79" t="s">
        <v>143</v>
      </c>
      <c r="I24" s="81" t="s">
        <v>162</v>
      </c>
      <c r="J24" s="81" t="s">
        <v>161</v>
      </c>
      <c r="K24" s="79" t="s">
        <v>82</v>
      </c>
      <c r="L24" s="79" t="s">
        <v>83</v>
      </c>
      <c r="M24" s="89">
        <v>6</v>
      </c>
      <c r="N24" s="89">
        <f t="shared" si="0"/>
        <v>774</v>
      </c>
      <c r="O24" s="89">
        <v>24</v>
      </c>
      <c r="P24" s="90">
        <f t="shared" si="1"/>
        <v>3096</v>
      </c>
      <c r="Q24" s="85">
        <f t="shared" si="2"/>
        <v>3870</v>
      </c>
      <c r="R24" s="86"/>
    </row>
    <row r="25" spans="1:19" ht="19.05" customHeight="1" x14ac:dyDescent="0.3">
      <c r="A25" s="79">
        <v>20</v>
      </c>
      <c r="B25" s="101" t="s">
        <v>163</v>
      </c>
      <c r="C25" s="82" t="s">
        <v>716</v>
      </c>
      <c r="D25" s="82" t="s">
        <v>142</v>
      </c>
      <c r="E25" s="79">
        <f>E20*2</f>
        <v>258</v>
      </c>
      <c r="F25" s="79" t="s">
        <v>132</v>
      </c>
      <c r="G25" s="81"/>
      <c r="H25" s="79" t="s">
        <v>143</v>
      </c>
      <c r="I25" s="81" t="s">
        <v>164</v>
      </c>
      <c r="J25" s="81" t="s">
        <v>715</v>
      </c>
      <c r="K25" s="79" t="s">
        <v>82</v>
      </c>
      <c r="L25" s="79" t="s">
        <v>83</v>
      </c>
      <c r="M25" s="89">
        <v>6</v>
      </c>
      <c r="N25" s="89">
        <f t="shared" si="0"/>
        <v>1548</v>
      </c>
      <c r="O25" s="89">
        <v>13</v>
      </c>
      <c r="P25" s="90">
        <f t="shared" si="1"/>
        <v>3354</v>
      </c>
      <c r="Q25" s="85">
        <f t="shared" si="2"/>
        <v>4902</v>
      </c>
      <c r="R25" s="86"/>
    </row>
    <row r="26" spans="1:19" ht="19.05" customHeight="1" x14ac:dyDescent="0.3">
      <c r="A26" s="79">
        <v>21</v>
      </c>
      <c r="B26" s="101" t="s">
        <v>165</v>
      </c>
      <c r="C26" s="82" t="s">
        <v>166</v>
      </c>
      <c r="D26" s="82" t="s">
        <v>167</v>
      </c>
      <c r="E26" s="79">
        <v>12</v>
      </c>
      <c r="F26" s="79" t="s">
        <v>78</v>
      </c>
      <c r="G26" s="81"/>
      <c r="H26" s="79" t="s">
        <v>168</v>
      </c>
      <c r="I26" s="81" t="s">
        <v>169</v>
      </c>
      <c r="J26" s="81" t="s">
        <v>170</v>
      </c>
      <c r="K26" s="79" t="s">
        <v>82</v>
      </c>
      <c r="L26" s="79" t="s">
        <v>83</v>
      </c>
      <c r="M26" s="89">
        <v>58</v>
      </c>
      <c r="N26" s="89">
        <f t="shared" si="0"/>
        <v>696</v>
      </c>
      <c r="O26" s="89">
        <v>1487</v>
      </c>
      <c r="P26" s="90">
        <f t="shared" si="1"/>
        <v>17844</v>
      </c>
      <c r="Q26" s="85">
        <f t="shared" si="2"/>
        <v>18540</v>
      </c>
      <c r="R26" s="86"/>
    </row>
    <row r="27" spans="1:19" ht="19.05" customHeight="1" x14ac:dyDescent="0.3">
      <c r="A27" s="79">
        <v>22</v>
      </c>
      <c r="B27" s="101" t="s">
        <v>171</v>
      </c>
      <c r="C27" s="82" t="s">
        <v>172</v>
      </c>
      <c r="D27" s="82" t="s">
        <v>167</v>
      </c>
      <c r="E27" s="79">
        <v>24</v>
      </c>
      <c r="F27" s="79" t="s">
        <v>132</v>
      </c>
      <c r="G27" s="81"/>
      <c r="H27" s="79" t="s">
        <v>168</v>
      </c>
      <c r="I27" s="81" t="s">
        <v>173</v>
      </c>
      <c r="J27" s="81" t="s">
        <v>174</v>
      </c>
      <c r="K27" s="79" t="s">
        <v>82</v>
      </c>
      <c r="L27" s="79" t="s">
        <v>83</v>
      </c>
      <c r="M27" s="89">
        <v>2</v>
      </c>
      <c r="N27" s="89">
        <f t="shared" si="0"/>
        <v>48</v>
      </c>
      <c r="O27" s="89">
        <v>112</v>
      </c>
      <c r="P27" s="90">
        <f t="shared" si="1"/>
        <v>2688</v>
      </c>
      <c r="Q27" s="85">
        <f t="shared" si="2"/>
        <v>2736</v>
      </c>
      <c r="R27" s="86"/>
    </row>
    <row r="28" spans="1:19" ht="19.05" customHeight="1" x14ac:dyDescent="0.3">
      <c r="A28" s="79">
        <v>23</v>
      </c>
      <c r="B28" s="101" t="s">
        <v>175</v>
      </c>
      <c r="C28" s="82" t="s">
        <v>176</v>
      </c>
      <c r="D28" s="82" t="s">
        <v>142</v>
      </c>
      <c r="E28" s="79">
        <v>3800</v>
      </c>
      <c r="F28" s="79" t="s">
        <v>155</v>
      </c>
      <c r="G28" s="81"/>
      <c r="H28" s="79" t="s">
        <v>143</v>
      </c>
      <c r="I28" s="81" t="s">
        <v>177</v>
      </c>
      <c r="J28" s="81" t="s">
        <v>176</v>
      </c>
      <c r="K28" s="79" t="s">
        <v>82</v>
      </c>
      <c r="L28" s="79" t="s">
        <v>83</v>
      </c>
      <c r="M28" s="89">
        <v>2</v>
      </c>
      <c r="N28" s="89">
        <f t="shared" si="0"/>
        <v>7600</v>
      </c>
      <c r="O28" s="89">
        <v>3</v>
      </c>
      <c r="P28" s="90">
        <f t="shared" si="1"/>
        <v>11400</v>
      </c>
      <c r="Q28" s="85">
        <f t="shared" si="2"/>
        <v>19000</v>
      </c>
      <c r="R28" s="86"/>
    </row>
    <row r="29" spans="1:19" ht="19.05" customHeight="1" x14ac:dyDescent="0.3">
      <c r="A29" s="79">
        <v>24</v>
      </c>
      <c r="B29" s="101" t="s">
        <v>175</v>
      </c>
      <c r="C29" s="82" t="s">
        <v>178</v>
      </c>
      <c r="D29" s="82" t="s">
        <v>142</v>
      </c>
      <c r="E29" s="79">
        <v>7200</v>
      </c>
      <c r="F29" s="79" t="s">
        <v>155</v>
      </c>
      <c r="G29" s="81"/>
      <c r="H29" s="79" t="s">
        <v>143</v>
      </c>
      <c r="I29" s="81" t="s">
        <v>179</v>
      </c>
      <c r="J29" s="81" t="s">
        <v>178</v>
      </c>
      <c r="K29" s="79" t="s">
        <v>82</v>
      </c>
      <c r="L29" s="79" t="s">
        <v>83</v>
      </c>
      <c r="M29" s="89">
        <v>2</v>
      </c>
      <c r="N29" s="89">
        <f t="shared" si="0"/>
        <v>14400</v>
      </c>
      <c r="O29" s="89">
        <v>6</v>
      </c>
      <c r="P29" s="90">
        <f t="shared" si="1"/>
        <v>43200</v>
      </c>
      <c r="Q29" s="85">
        <f t="shared" si="2"/>
        <v>57600</v>
      </c>
      <c r="R29" s="86"/>
    </row>
    <row r="30" spans="1:19" ht="19.05" customHeight="1" x14ac:dyDescent="0.3">
      <c r="A30" s="79">
        <v>25</v>
      </c>
      <c r="B30" s="101" t="s">
        <v>175</v>
      </c>
      <c r="C30" s="82" t="s">
        <v>180</v>
      </c>
      <c r="D30" s="82" t="s">
        <v>142</v>
      </c>
      <c r="E30" s="79">
        <v>5000</v>
      </c>
      <c r="F30" s="79" t="s">
        <v>155</v>
      </c>
      <c r="G30" s="81"/>
      <c r="H30" s="79" t="s">
        <v>143</v>
      </c>
      <c r="I30" s="81" t="s">
        <v>181</v>
      </c>
      <c r="J30" s="81" t="s">
        <v>180</v>
      </c>
      <c r="K30" s="79" t="s">
        <v>82</v>
      </c>
      <c r="L30" s="79" t="s">
        <v>83</v>
      </c>
      <c r="M30" s="89">
        <v>2</v>
      </c>
      <c r="N30" s="89">
        <f t="shared" si="0"/>
        <v>10000</v>
      </c>
      <c r="O30" s="89">
        <v>9</v>
      </c>
      <c r="P30" s="90">
        <f t="shared" si="1"/>
        <v>45000</v>
      </c>
      <c r="Q30" s="85">
        <f t="shared" si="2"/>
        <v>55000</v>
      </c>
      <c r="R30" s="86"/>
    </row>
    <row r="31" spans="1:19" ht="19.05" customHeight="1" x14ac:dyDescent="0.3">
      <c r="A31" s="79">
        <v>26</v>
      </c>
      <c r="B31" s="101" t="s">
        <v>175</v>
      </c>
      <c r="C31" s="82" t="s">
        <v>182</v>
      </c>
      <c r="D31" s="82" t="s">
        <v>142</v>
      </c>
      <c r="E31" s="79">
        <v>154</v>
      </c>
      <c r="F31" s="79" t="s">
        <v>155</v>
      </c>
      <c r="G31" s="81"/>
      <c r="H31" s="79" t="s">
        <v>143</v>
      </c>
      <c r="I31" s="81" t="s">
        <v>183</v>
      </c>
      <c r="J31" s="81" t="s">
        <v>182</v>
      </c>
      <c r="K31" s="79" t="s">
        <v>82</v>
      </c>
      <c r="L31" s="79" t="s">
        <v>83</v>
      </c>
      <c r="M31" s="89">
        <v>2</v>
      </c>
      <c r="N31" s="89">
        <f t="shared" si="0"/>
        <v>308</v>
      </c>
      <c r="O31" s="89">
        <v>13</v>
      </c>
      <c r="P31" s="90">
        <f t="shared" si="1"/>
        <v>2002</v>
      </c>
      <c r="Q31" s="85">
        <f t="shared" si="2"/>
        <v>2310</v>
      </c>
      <c r="R31" s="86"/>
    </row>
    <row r="32" spans="1:19" ht="19.05" customHeight="1" x14ac:dyDescent="0.3">
      <c r="A32" s="79">
        <v>27</v>
      </c>
      <c r="B32" s="101" t="s">
        <v>184</v>
      </c>
      <c r="C32" s="82" t="s">
        <v>185</v>
      </c>
      <c r="D32" s="82" t="s">
        <v>186</v>
      </c>
      <c r="E32" s="79">
        <v>25000</v>
      </c>
      <c r="F32" s="79" t="s">
        <v>155</v>
      </c>
      <c r="G32" s="81"/>
      <c r="H32" s="79" t="s">
        <v>186</v>
      </c>
      <c r="I32" s="81" t="s">
        <v>187</v>
      </c>
      <c r="J32" s="81" t="s">
        <v>188</v>
      </c>
      <c r="K32" s="79" t="s">
        <v>82</v>
      </c>
      <c r="L32" s="79" t="s">
        <v>83</v>
      </c>
      <c r="M32" s="89">
        <v>10</v>
      </c>
      <c r="N32" s="89">
        <f t="shared" si="0"/>
        <v>250000</v>
      </c>
      <c r="O32" s="89">
        <v>3</v>
      </c>
      <c r="P32" s="90">
        <f t="shared" si="1"/>
        <v>75000</v>
      </c>
      <c r="Q32" s="85">
        <f t="shared" si="2"/>
        <v>325000</v>
      </c>
      <c r="R32" s="86"/>
    </row>
    <row r="33" spans="1:18" ht="19.05" customHeight="1" x14ac:dyDescent="0.3">
      <c r="A33" s="79">
        <v>28</v>
      </c>
      <c r="B33" s="101" t="s">
        <v>189</v>
      </c>
      <c r="C33" s="82" t="s">
        <v>190</v>
      </c>
      <c r="D33" s="82" t="s">
        <v>186</v>
      </c>
      <c r="E33" s="79">
        <v>1</v>
      </c>
      <c r="F33" s="79" t="s">
        <v>191</v>
      </c>
      <c r="G33" s="81"/>
      <c r="H33" s="79" t="s">
        <v>186</v>
      </c>
      <c r="I33" s="81" t="s">
        <v>83</v>
      </c>
      <c r="J33" s="81" t="s">
        <v>83</v>
      </c>
      <c r="K33" s="79" t="s">
        <v>82</v>
      </c>
      <c r="L33" s="79" t="s">
        <v>83</v>
      </c>
      <c r="M33" s="89">
        <v>5825</v>
      </c>
      <c r="N33" s="89">
        <f t="shared" si="0"/>
        <v>5825</v>
      </c>
      <c r="O33" s="89">
        <v>0</v>
      </c>
      <c r="P33" s="90">
        <f t="shared" si="1"/>
        <v>0</v>
      </c>
      <c r="Q33" s="85">
        <f t="shared" si="2"/>
        <v>5825</v>
      </c>
      <c r="R33" s="86"/>
    </row>
    <row r="34" spans="1:18" ht="19.05" customHeight="1" x14ac:dyDescent="0.3">
      <c r="A34" s="79"/>
      <c r="B34" s="102" t="s">
        <v>192</v>
      </c>
      <c r="C34" s="82"/>
      <c r="D34" s="82"/>
      <c r="E34" s="81"/>
      <c r="F34" s="81"/>
      <c r="G34" s="81"/>
      <c r="H34" s="79"/>
      <c r="I34" s="81"/>
      <c r="J34" s="81"/>
      <c r="K34" s="79"/>
      <c r="L34" s="79"/>
      <c r="M34" s="83"/>
      <c r="N34" s="89">
        <f t="shared" si="0"/>
        <v>0</v>
      </c>
      <c r="O34" s="83"/>
      <c r="P34" s="90">
        <f t="shared" si="1"/>
        <v>0</v>
      </c>
      <c r="Q34" s="85"/>
      <c r="R34" s="86"/>
    </row>
    <row r="35" spans="1:18" ht="19.05" customHeight="1" x14ac:dyDescent="0.3">
      <c r="A35" s="79"/>
      <c r="B35" s="101" t="s">
        <v>193</v>
      </c>
      <c r="C35" s="82"/>
      <c r="D35" s="82"/>
      <c r="E35" s="81"/>
      <c r="F35" s="81"/>
      <c r="G35" s="81"/>
      <c r="H35" s="79"/>
      <c r="I35" s="81"/>
      <c r="J35" s="81"/>
      <c r="K35" s="79"/>
      <c r="L35" s="79"/>
      <c r="M35" s="83"/>
      <c r="N35" s="89">
        <f t="shared" si="0"/>
        <v>0</v>
      </c>
      <c r="O35" s="83"/>
      <c r="P35" s="90">
        <f t="shared" si="1"/>
        <v>0</v>
      </c>
      <c r="Q35" s="85"/>
      <c r="R35" s="86"/>
    </row>
    <row r="36" spans="1:18" ht="19.05" customHeight="1" x14ac:dyDescent="0.3">
      <c r="A36" s="79">
        <v>1</v>
      </c>
      <c r="B36" s="101" t="s">
        <v>194</v>
      </c>
      <c r="C36" s="82" t="s">
        <v>195</v>
      </c>
      <c r="D36" s="82" t="s">
        <v>196</v>
      </c>
      <c r="E36" s="79">
        <v>6</v>
      </c>
      <c r="F36" s="79" t="s">
        <v>78</v>
      </c>
      <c r="G36" s="81"/>
      <c r="H36" s="79" t="s">
        <v>197</v>
      </c>
      <c r="I36" s="81" t="s">
        <v>198</v>
      </c>
      <c r="J36" s="81" t="s">
        <v>199</v>
      </c>
      <c r="K36" s="79" t="s">
        <v>82</v>
      </c>
      <c r="L36" s="79" t="s">
        <v>83</v>
      </c>
      <c r="M36" s="83">
        <v>210</v>
      </c>
      <c r="N36" s="89">
        <f t="shared" si="0"/>
        <v>1260</v>
      </c>
      <c r="O36" s="83">
        <v>3027</v>
      </c>
      <c r="P36" s="90">
        <f t="shared" si="1"/>
        <v>18162</v>
      </c>
      <c r="Q36" s="85">
        <f>E36*(M36+O36)</f>
        <v>19422</v>
      </c>
      <c r="R36" s="86"/>
    </row>
    <row r="37" spans="1:18" ht="19.05" customHeight="1" x14ac:dyDescent="0.3">
      <c r="A37" s="79">
        <v>2</v>
      </c>
      <c r="B37" s="101" t="s">
        <v>200</v>
      </c>
      <c r="C37" s="82" t="s">
        <v>201</v>
      </c>
      <c r="D37" s="82" t="s">
        <v>196</v>
      </c>
      <c r="E37" s="79">
        <v>68</v>
      </c>
      <c r="F37" s="79" t="s">
        <v>78</v>
      </c>
      <c r="G37" s="81"/>
      <c r="H37" s="79" t="s">
        <v>197</v>
      </c>
      <c r="I37" s="81" t="s">
        <v>202</v>
      </c>
      <c r="J37" s="81" t="s">
        <v>203</v>
      </c>
      <c r="K37" s="79" t="s">
        <v>82</v>
      </c>
      <c r="L37" s="79" t="s">
        <v>83</v>
      </c>
      <c r="M37" s="83">
        <v>140</v>
      </c>
      <c r="N37" s="89">
        <f t="shared" ref="N37:N68" si="3">E37*M37</f>
        <v>9520</v>
      </c>
      <c r="O37" s="83">
        <v>526</v>
      </c>
      <c r="P37" s="90">
        <f t="shared" ref="P37:P68" si="4">E37*O37</f>
        <v>35768</v>
      </c>
      <c r="Q37" s="85">
        <f t="shared" ref="Q37:Q57" si="5">E37*(M37+O37)</f>
        <v>45288</v>
      </c>
      <c r="R37" s="86"/>
    </row>
    <row r="38" spans="1:18" ht="19.05" customHeight="1" x14ac:dyDescent="0.3">
      <c r="A38" s="79">
        <v>3</v>
      </c>
      <c r="B38" s="101" t="s">
        <v>204</v>
      </c>
      <c r="C38" s="82" t="s">
        <v>205</v>
      </c>
      <c r="D38" s="82" t="s">
        <v>196</v>
      </c>
      <c r="E38" s="79">
        <v>199</v>
      </c>
      <c r="F38" s="79" t="s">
        <v>78</v>
      </c>
      <c r="G38" s="81"/>
      <c r="H38" s="91" t="s">
        <v>197</v>
      </c>
      <c r="I38" s="92" t="s">
        <v>206</v>
      </c>
      <c r="J38" s="92" t="s">
        <v>207</v>
      </c>
      <c r="K38" s="91" t="s">
        <v>82</v>
      </c>
      <c r="L38" s="91" t="s">
        <v>83</v>
      </c>
      <c r="M38" s="103">
        <v>140</v>
      </c>
      <c r="N38" s="89">
        <f t="shared" si="3"/>
        <v>27860</v>
      </c>
      <c r="O38" s="103">
        <v>2097</v>
      </c>
      <c r="P38" s="90">
        <f t="shared" si="4"/>
        <v>417303</v>
      </c>
      <c r="Q38" s="94">
        <f t="shared" si="5"/>
        <v>445163</v>
      </c>
      <c r="R38" s="86"/>
    </row>
    <row r="39" spans="1:18" ht="19.05" customHeight="1" x14ac:dyDescent="0.3">
      <c r="A39" s="79">
        <v>4</v>
      </c>
      <c r="B39" s="101" t="s">
        <v>208</v>
      </c>
      <c r="C39" s="82" t="s">
        <v>209</v>
      </c>
      <c r="D39" s="82" t="s">
        <v>196</v>
      </c>
      <c r="E39" s="79">
        <v>3</v>
      </c>
      <c r="F39" s="79" t="s">
        <v>78</v>
      </c>
      <c r="G39" s="81"/>
      <c r="H39" s="79" t="s">
        <v>197</v>
      </c>
      <c r="I39" s="81" t="s">
        <v>210</v>
      </c>
      <c r="J39" s="81" t="s">
        <v>211</v>
      </c>
      <c r="K39" s="79" t="s">
        <v>82</v>
      </c>
      <c r="L39" s="79" t="s">
        <v>83</v>
      </c>
      <c r="M39" s="83">
        <v>233</v>
      </c>
      <c r="N39" s="89">
        <f t="shared" si="3"/>
        <v>699</v>
      </c>
      <c r="O39" s="83">
        <v>28673</v>
      </c>
      <c r="P39" s="90">
        <f t="shared" si="4"/>
        <v>86019</v>
      </c>
      <c r="Q39" s="85">
        <f t="shared" si="5"/>
        <v>86718</v>
      </c>
      <c r="R39" s="86"/>
    </row>
    <row r="40" spans="1:18" ht="19.05" customHeight="1" x14ac:dyDescent="0.3">
      <c r="A40" s="79">
        <v>5</v>
      </c>
      <c r="B40" s="101" t="s">
        <v>212</v>
      </c>
      <c r="C40" s="82" t="s">
        <v>213</v>
      </c>
      <c r="D40" s="82" t="s">
        <v>196</v>
      </c>
      <c r="E40" s="79">
        <v>5</v>
      </c>
      <c r="F40" s="79" t="s">
        <v>78</v>
      </c>
      <c r="G40" s="81"/>
      <c r="H40" s="79" t="s">
        <v>197</v>
      </c>
      <c r="I40" s="81" t="s">
        <v>214</v>
      </c>
      <c r="J40" s="81" t="s">
        <v>215</v>
      </c>
      <c r="K40" s="79" t="s">
        <v>82</v>
      </c>
      <c r="L40" s="79" t="s">
        <v>83</v>
      </c>
      <c r="M40" s="83">
        <v>233</v>
      </c>
      <c r="N40" s="89">
        <f t="shared" si="3"/>
        <v>1165</v>
      </c>
      <c r="O40" s="83">
        <v>18053</v>
      </c>
      <c r="P40" s="90">
        <f t="shared" si="4"/>
        <v>90265</v>
      </c>
      <c r="Q40" s="85">
        <f t="shared" si="5"/>
        <v>91430</v>
      </c>
      <c r="R40" s="86"/>
    </row>
    <row r="41" spans="1:18" ht="19.05" customHeight="1" x14ac:dyDescent="0.3">
      <c r="A41" s="79">
        <v>6</v>
      </c>
      <c r="B41" s="101" t="s">
        <v>216</v>
      </c>
      <c r="C41" s="82" t="s">
        <v>217</v>
      </c>
      <c r="D41" s="82" t="s">
        <v>196</v>
      </c>
      <c r="E41" s="79">
        <v>1</v>
      </c>
      <c r="F41" s="79" t="s">
        <v>78</v>
      </c>
      <c r="G41" s="81"/>
      <c r="H41" s="79" t="s">
        <v>197</v>
      </c>
      <c r="I41" s="81" t="s">
        <v>218</v>
      </c>
      <c r="J41" s="81" t="s">
        <v>219</v>
      </c>
      <c r="K41" s="79" t="s">
        <v>82</v>
      </c>
      <c r="L41" s="79" t="s">
        <v>83</v>
      </c>
      <c r="M41" s="83">
        <v>117</v>
      </c>
      <c r="N41" s="89">
        <f t="shared" si="3"/>
        <v>117</v>
      </c>
      <c r="O41" s="83">
        <v>605310</v>
      </c>
      <c r="P41" s="90">
        <f t="shared" si="4"/>
        <v>605310</v>
      </c>
      <c r="Q41" s="85">
        <f t="shared" si="5"/>
        <v>605427</v>
      </c>
      <c r="R41" s="86"/>
    </row>
    <row r="42" spans="1:18" ht="19.05" customHeight="1" x14ac:dyDescent="0.3">
      <c r="A42" s="79">
        <v>7</v>
      </c>
      <c r="B42" s="101" t="s">
        <v>220</v>
      </c>
      <c r="C42" s="82" t="s">
        <v>221</v>
      </c>
      <c r="D42" s="82" t="s">
        <v>196</v>
      </c>
      <c r="E42" s="79">
        <v>4</v>
      </c>
      <c r="F42" s="79" t="s">
        <v>78</v>
      </c>
      <c r="G42" s="81"/>
      <c r="H42" s="79" t="s">
        <v>197</v>
      </c>
      <c r="I42" s="81" t="s">
        <v>222</v>
      </c>
      <c r="J42" s="81" t="s">
        <v>223</v>
      </c>
      <c r="K42" s="79" t="s">
        <v>82</v>
      </c>
      <c r="L42" s="79" t="s">
        <v>83</v>
      </c>
      <c r="M42" s="83">
        <v>140</v>
      </c>
      <c r="N42" s="89">
        <f t="shared" si="3"/>
        <v>560</v>
      </c>
      <c r="O42" s="83">
        <v>329204</v>
      </c>
      <c r="P42" s="90">
        <f t="shared" si="4"/>
        <v>1316816</v>
      </c>
      <c r="Q42" s="85">
        <f t="shared" si="5"/>
        <v>1317376</v>
      </c>
      <c r="R42" s="86"/>
    </row>
    <row r="43" spans="1:18" ht="19.05" customHeight="1" x14ac:dyDescent="0.3">
      <c r="A43" s="79">
        <v>8</v>
      </c>
      <c r="B43" s="101" t="s">
        <v>224</v>
      </c>
      <c r="C43" s="82" t="s">
        <v>225</v>
      </c>
      <c r="D43" s="82" t="s">
        <v>196</v>
      </c>
      <c r="E43" s="79">
        <v>3</v>
      </c>
      <c r="F43" s="79" t="s">
        <v>78</v>
      </c>
      <c r="G43" s="81"/>
      <c r="H43" s="79" t="s">
        <v>197</v>
      </c>
      <c r="I43" s="81" t="s">
        <v>226</v>
      </c>
      <c r="J43" s="81" t="s">
        <v>227</v>
      </c>
      <c r="K43" s="79" t="s">
        <v>82</v>
      </c>
      <c r="L43" s="79" t="s">
        <v>83</v>
      </c>
      <c r="M43" s="83">
        <v>140</v>
      </c>
      <c r="N43" s="89">
        <f t="shared" si="3"/>
        <v>420</v>
      </c>
      <c r="O43" s="83">
        <v>228542</v>
      </c>
      <c r="P43" s="90">
        <f t="shared" si="4"/>
        <v>685626</v>
      </c>
      <c r="Q43" s="85">
        <f t="shared" si="5"/>
        <v>686046</v>
      </c>
      <c r="R43" s="86"/>
    </row>
    <row r="44" spans="1:18" ht="19.05" customHeight="1" x14ac:dyDescent="0.3">
      <c r="A44" s="79">
        <v>9</v>
      </c>
      <c r="B44" s="101" t="s">
        <v>228</v>
      </c>
      <c r="C44" s="82" t="s">
        <v>229</v>
      </c>
      <c r="D44" s="82" t="s">
        <v>196</v>
      </c>
      <c r="E44" s="79">
        <v>281</v>
      </c>
      <c r="F44" s="79" t="s">
        <v>230</v>
      </c>
      <c r="G44" s="81"/>
      <c r="H44" s="79" t="s">
        <v>197</v>
      </c>
      <c r="I44" s="81" t="s">
        <v>231</v>
      </c>
      <c r="J44" s="81" t="s">
        <v>232</v>
      </c>
      <c r="K44" s="79" t="s">
        <v>82</v>
      </c>
      <c r="L44" s="79" t="s">
        <v>83</v>
      </c>
      <c r="M44" s="83">
        <v>0</v>
      </c>
      <c r="N44" s="89">
        <f t="shared" si="3"/>
        <v>0</v>
      </c>
      <c r="O44" s="83">
        <v>19</v>
      </c>
      <c r="P44" s="90">
        <f t="shared" si="4"/>
        <v>5339</v>
      </c>
      <c r="Q44" s="85">
        <f t="shared" si="5"/>
        <v>5339</v>
      </c>
      <c r="R44" s="86"/>
    </row>
    <row r="45" spans="1:18" ht="19.05" customHeight="1" x14ac:dyDescent="0.3">
      <c r="A45" s="79">
        <v>10</v>
      </c>
      <c r="B45" s="101" t="s">
        <v>233</v>
      </c>
      <c r="C45" s="82" t="s">
        <v>234</v>
      </c>
      <c r="D45" s="82" t="s">
        <v>167</v>
      </c>
      <c r="E45" s="79">
        <v>15</v>
      </c>
      <c r="F45" s="79" t="s">
        <v>78</v>
      </c>
      <c r="G45" s="81"/>
      <c r="H45" s="79" t="s">
        <v>168</v>
      </c>
      <c r="I45" s="81" t="s">
        <v>235</v>
      </c>
      <c r="J45" s="81" t="s">
        <v>236</v>
      </c>
      <c r="K45" s="79" t="s">
        <v>82</v>
      </c>
      <c r="L45" s="79" t="s">
        <v>83</v>
      </c>
      <c r="M45" s="83">
        <v>58</v>
      </c>
      <c r="N45" s="89">
        <f t="shared" si="3"/>
        <v>870</v>
      </c>
      <c r="O45" s="83">
        <v>1805</v>
      </c>
      <c r="P45" s="90">
        <f t="shared" si="4"/>
        <v>27075</v>
      </c>
      <c r="Q45" s="85">
        <f t="shared" si="5"/>
        <v>27945</v>
      </c>
      <c r="R45" s="86"/>
    </row>
    <row r="46" spans="1:18" ht="19.05" customHeight="1" x14ac:dyDescent="0.3">
      <c r="A46" s="79">
        <v>11</v>
      </c>
      <c r="B46" s="101" t="s">
        <v>237</v>
      </c>
      <c r="C46" s="104" t="s">
        <v>238</v>
      </c>
      <c r="D46" s="82" t="s">
        <v>167</v>
      </c>
      <c r="E46" s="79">
        <v>17</v>
      </c>
      <c r="F46" s="79" t="s">
        <v>78</v>
      </c>
      <c r="G46" s="81"/>
      <c r="H46" s="79" t="s">
        <v>168</v>
      </c>
      <c r="I46" s="81" t="s">
        <v>239</v>
      </c>
      <c r="J46" s="81" t="s">
        <v>240</v>
      </c>
      <c r="K46" s="79" t="s">
        <v>82</v>
      </c>
      <c r="L46" s="79" t="s">
        <v>83</v>
      </c>
      <c r="M46" s="83">
        <v>2</v>
      </c>
      <c r="N46" s="89">
        <f t="shared" si="3"/>
        <v>34</v>
      </c>
      <c r="O46" s="83">
        <v>3558</v>
      </c>
      <c r="P46" s="90">
        <f t="shared" si="4"/>
        <v>60486</v>
      </c>
      <c r="Q46" s="85">
        <f t="shared" si="5"/>
        <v>60520</v>
      </c>
      <c r="R46" s="86"/>
    </row>
    <row r="47" spans="1:18" ht="19.05" customHeight="1" x14ac:dyDescent="0.3">
      <c r="A47" s="79">
        <v>12</v>
      </c>
      <c r="B47" s="101" t="s">
        <v>171</v>
      </c>
      <c r="C47" s="82" t="s">
        <v>172</v>
      </c>
      <c r="D47" s="82" t="s">
        <v>167</v>
      </c>
      <c r="E47" s="79">
        <v>30</v>
      </c>
      <c r="F47" s="79" t="s">
        <v>132</v>
      </c>
      <c r="G47" s="81"/>
      <c r="H47" s="79" t="s">
        <v>168</v>
      </c>
      <c r="I47" s="81" t="s">
        <v>173</v>
      </c>
      <c r="J47" s="81" t="s">
        <v>174</v>
      </c>
      <c r="K47" s="79" t="s">
        <v>82</v>
      </c>
      <c r="L47" s="79" t="s">
        <v>83</v>
      </c>
      <c r="M47" s="83">
        <v>2</v>
      </c>
      <c r="N47" s="89">
        <f t="shared" si="3"/>
        <v>60</v>
      </c>
      <c r="O47" s="83">
        <v>112</v>
      </c>
      <c r="P47" s="90">
        <f t="shared" si="4"/>
        <v>3360</v>
      </c>
      <c r="Q47" s="85">
        <f t="shared" si="5"/>
        <v>3420</v>
      </c>
      <c r="R47" s="86"/>
    </row>
    <row r="48" spans="1:18" ht="19.05" customHeight="1" x14ac:dyDescent="0.3">
      <c r="A48" s="79">
        <v>13</v>
      </c>
      <c r="B48" s="101" t="s">
        <v>241</v>
      </c>
      <c r="C48" s="82" t="s">
        <v>242</v>
      </c>
      <c r="D48" s="82" t="s">
        <v>167</v>
      </c>
      <c r="E48" s="79">
        <v>34</v>
      </c>
      <c r="F48" s="79" t="s">
        <v>132</v>
      </c>
      <c r="G48" s="81"/>
      <c r="H48" s="79" t="s">
        <v>168</v>
      </c>
      <c r="I48" s="81" t="s">
        <v>243</v>
      </c>
      <c r="J48" s="81" t="s">
        <v>244</v>
      </c>
      <c r="K48" s="79" t="s">
        <v>82</v>
      </c>
      <c r="L48" s="79" t="s">
        <v>83</v>
      </c>
      <c r="M48" s="83">
        <v>2</v>
      </c>
      <c r="N48" s="89">
        <f t="shared" si="3"/>
        <v>68</v>
      </c>
      <c r="O48" s="83">
        <v>170</v>
      </c>
      <c r="P48" s="90">
        <f t="shared" si="4"/>
        <v>5780</v>
      </c>
      <c r="Q48" s="85">
        <f t="shared" si="5"/>
        <v>5848</v>
      </c>
      <c r="R48" s="86"/>
    </row>
    <row r="49" spans="1:19" ht="19.05" customHeight="1" x14ac:dyDescent="0.3">
      <c r="A49" s="244">
        <v>14</v>
      </c>
      <c r="B49" s="245" t="s">
        <v>245</v>
      </c>
      <c r="C49" s="246" t="s">
        <v>246</v>
      </c>
      <c r="D49" s="246" t="s">
        <v>142</v>
      </c>
      <c r="E49" s="244">
        <v>20000</v>
      </c>
      <c r="F49" s="244" t="s">
        <v>132</v>
      </c>
      <c r="G49" s="247"/>
      <c r="H49" s="244" t="s">
        <v>143</v>
      </c>
      <c r="I49" s="247" t="s">
        <v>247</v>
      </c>
      <c r="J49" s="247" t="s">
        <v>717</v>
      </c>
      <c r="K49" s="244" t="s">
        <v>82</v>
      </c>
      <c r="L49" s="244" t="s">
        <v>83</v>
      </c>
      <c r="M49" s="262">
        <v>1</v>
      </c>
      <c r="N49" s="248">
        <f t="shared" si="3"/>
        <v>20000</v>
      </c>
      <c r="O49" s="262">
        <v>3</v>
      </c>
      <c r="P49" s="249">
        <f t="shared" si="4"/>
        <v>60000</v>
      </c>
      <c r="Q49" s="250">
        <f t="shared" si="5"/>
        <v>80000</v>
      </c>
      <c r="R49" s="251"/>
    </row>
    <row r="50" spans="1:19" ht="19.05" customHeight="1" x14ac:dyDescent="0.3">
      <c r="A50" s="79">
        <v>15</v>
      </c>
      <c r="B50" s="101" t="s">
        <v>248</v>
      </c>
      <c r="C50" s="82" t="s">
        <v>249</v>
      </c>
      <c r="D50" s="82" t="s">
        <v>142</v>
      </c>
      <c r="E50" s="79">
        <f>E51*70*1.1</f>
        <v>2464</v>
      </c>
      <c r="F50" s="79" t="s">
        <v>155</v>
      </c>
      <c r="G50" s="81"/>
      <c r="H50" s="79" t="s">
        <v>143</v>
      </c>
      <c r="I50" s="81" t="s">
        <v>250</v>
      </c>
      <c r="J50" s="81" t="s">
        <v>249</v>
      </c>
      <c r="K50" s="79" t="s">
        <v>82</v>
      </c>
      <c r="L50" s="79" t="s">
        <v>83</v>
      </c>
      <c r="M50" s="83">
        <v>2</v>
      </c>
      <c r="N50" s="89">
        <f t="shared" si="3"/>
        <v>4928</v>
      </c>
      <c r="O50" s="83">
        <v>11</v>
      </c>
      <c r="P50" s="90">
        <f t="shared" si="4"/>
        <v>27104</v>
      </c>
      <c r="Q50" s="85">
        <f t="shared" si="5"/>
        <v>32032</v>
      </c>
      <c r="R50" s="86"/>
    </row>
    <row r="51" spans="1:19" ht="19.05" customHeight="1" x14ac:dyDescent="0.3">
      <c r="A51" s="79">
        <v>16</v>
      </c>
      <c r="B51" s="101" t="s">
        <v>251</v>
      </c>
      <c r="C51" s="82" t="s">
        <v>252</v>
      </c>
      <c r="D51" s="82" t="s">
        <v>186</v>
      </c>
      <c r="E51" s="79">
        <f>E45+E46</f>
        <v>32</v>
      </c>
      <c r="F51" s="79" t="s">
        <v>132</v>
      </c>
      <c r="G51" s="81"/>
      <c r="H51" s="79" t="s">
        <v>186</v>
      </c>
      <c r="I51" s="81" t="s">
        <v>253</v>
      </c>
      <c r="J51" s="81" t="s">
        <v>254</v>
      </c>
      <c r="K51" s="79" t="s">
        <v>82</v>
      </c>
      <c r="L51" s="79" t="s">
        <v>83</v>
      </c>
      <c r="M51" s="83">
        <v>117</v>
      </c>
      <c r="N51" s="89">
        <f t="shared" si="3"/>
        <v>3744</v>
      </c>
      <c r="O51" s="83">
        <v>271</v>
      </c>
      <c r="P51" s="90">
        <f t="shared" si="4"/>
        <v>8672</v>
      </c>
      <c r="Q51" s="85">
        <f t="shared" si="5"/>
        <v>12416</v>
      </c>
      <c r="R51" s="86"/>
    </row>
    <row r="52" spans="1:19" ht="19.05" customHeight="1" x14ac:dyDescent="0.3">
      <c r="A52" s="79">
        <v>17</v>
      </c>
      <c r="B52" s="101" t="s">
        <v>255</v>
      </c>
      <c r="C52" s="82" t="s">
        <v>256</v>
      </c>
      <c r="D52" s="82" t="s">
        <v>186</v>
      </c>
      <c r="E52" s="79">
        <v>100</v>
      </c>
      <c r="F52" s="79" t="s">
        <v>132</v>
      </c>
      <c r="G52" s="81"/>
      <c r="H52" s="79" t="s">
        <v>186</v>
      </c>
      <c r="I52" s="81" t="s">
        <v>257</v>
      </c>
      <c r="J52" s="81" t="s">
        <v>258</v>
      </c>
      <c r="K52" s="79" t="s">
        <v>82</v>
      </c>
      <c r="L52" s="79" t="s">
        <v>83</v>
      </c>
      <c r="M52" s="83">
        <v>466</v>
      </c>
      <c r="N52" s="89">
        <f t="shared" si="3"/>
        <v>46600</v>
      </c>
      <c r="O52" s="83">
        <v>404</v>
      </c>
      <c r="P52" s="90">
        <f t="shared" si="4"/>
        <v>40400</v>
      </c>
      <c r="Q52" s="85">
        <f t="shared" si="5"/>
        <v>87000</v>
      </c>
      <c r="R52" s="86"/>
    </row>
    <row r="53" spans="1:19" ht="19.05" customHeight="1" x14ac:dyDescent="0.3">
      <c r="A53" s="79">
        <v>18</v>
      </c>
      <c r="B53" s="101" t="s">
        <v>140</v>
      </c>
      <c r="C53" s="82" t="s">
        <v>259</v>
      </c>
      <c r="D53" s="82" t="s">
        <v>142</v>
      </c>
      <c r="E53" s="79">
        <f>E45+E46</f>
        <v>32</v>
      </c>
      <c r="F53" s="79" t="s">
        <v>132</v>
      </c>
      <c r="G53" s="81"/>
      <c r="H53" s="79" t="s">
        <v>143</v>
      </c>
      <c r="I53" s="81" t="s">
        <v>144</v>
      </c>
      <c r="J53" s="81" t="s">
        <v>141</v>
      </c>
      <c r="K53" s="79" t="s">
        <v>82</v>
      </c>
      <c r="L53" s="79" t="s">
        <v>83</v>
      </c>
      <c r="M53" s="83">
        <v>52</v>
      </c>
      <c r="N53" s="89">
        <f t="shared" si="3"/>
        <v>1664</v>
      </c>
      <c r="O53" s="83">
        <v>71</v>
      </c>
      <c r="P53" s="90">
        <f t="shared" si="4"/>
        <v>2272</v>
      </c>
      <c r="Q53" s="85">
        <f t="shared" si="5"/>
        <v>3936</v>
      </c>
      <c r="R53" s="86"/>
    </row>
    <row r="54" spans="1:19" ht="19.05" customHeight="1" x14ac:dyDescent="0.3">
      <c r="A54" s="79">
        <v>19</v>
      </c>
      <c r="B54" s="242" t="s">
        <v>666</v>
      </c>
      <c r="C54" s="233" t="s">
        <v>154</v>
      </c>
      <c r="D54" s="233" t="s">
        <v>142</v>
      </c>
      <c r="E54" s="232">
        <v>10560</v>
      </c>
      <c r="F54" s="232" t="s">
        <v>155</v>
      </c>
      <c r="G54" s="234"/>
      <c r="H54" s="232" t="s">
        <v>143</v>
      </c>
      <c r="I54" s="234" t="s">
        <v>156</v>
      </c>
      <c r="J54" s="234" t="s">
        <v>154</v>
      </c>
      <c r="K54" s="232" t="s">
        <v>82</v>
      </c>
      <c r="L54" s="232" t="s">
        <v>83</v>
      </c>
      <c r="M54" s="238">
        <v>1</v>
      </c>
      <c r="N54" s="238">
        <f t="shared" si="3"/>
        <v>10560</v>
      </c>
      <c r="O54" s="238">
        <v>2</v>
      </c>
      <c r="P54" s="239">
        <f t="shared" si="4"/>
        <v>21120</v>
      </c>
      <c r="Q54" s="240">
        <f t="shared" si="5"/>
        <v>31680</v>
      </c>
      <c r="R54" s="243"/>
      <c r="S54" s="57" t="s">
        <v>664</v>
      </c>
    </row>
    <row r="55" spans="1:19" ht="19.05" customHeight="1" x14ac:dyDescent="0.3">
      <c r="A55" s="244">
        <v>20</v>
      </c>
      <c r="B55" s="245" t="s">
        <v>667</v>
      </c>
      <c r="C55" s="246" t="s">
        <v>158</v>
      </c>
      <c r="D55" s="246" t="s">
        <v>142</v>
      </c>
      <c r="E55" s="244">
        <v>3</v>
      </c>
      <c r="F55" s="244" t="s">
        <v>132</v>
      </c>
      <c r="G55" s="247"/>
      <c r="H55" s="244" t="s">
        <v>143</v>
      </c>
      <c r="I55" s="247" t="s">
        <v>159</v>
      </c>
      <c r="J55" s="247" t="s">
        <v>158</v>
      </c>
      <c r="K55" s="244" t="s">
        <v>82</v>
      </c>
      <c r="L55" s="244" t="s">
        <v>83</v>
      </c>
      <c r="M55" s="248">
        <v>17</v>
      </c>
      <c r="N55" s="248">
        <f t="shared" si="3"/>
        <v>51</v>
      </c>
      <c r="O55" s="248">
        <v>308</v>
      </c>
      <c r="P55" s="249">
        <f t="shared" si="4"/>
        <v>924</v>
      </c>
      <c r="Q55" s="250">
        <f t="shared" si="5"/>
        <v>975</v>
      </c>
      <c r="R55" s="251"/>
    </row>
    <row r="56" spans="1:19" ht="19.05" customHeight="1" x14ac:dyDescent="0.3">
      <c r="A56" s="244">
        <v>21</v>
      </c>
      <c r="B56" s="245" t="s">
        <v>668</v>
      </c>
      <c r="C56" s="246" t="s">
        <v>260</v>
      </c>
      <c r="D56" s="246" t="s">
        <v>142</v>
      </c>
      <c r="E56" s="244">
        <f>E53</f>
        <v>32</v>
      </c>
      <c r="F56" s="244" t="s">
        <v>132</v>
      </c>
      <c r="G56" s="247"/>
      <c r="H56" s="244" t="s">
        <v>143</v>
      </c>
      <c r="I56" s="247" t="s">
        <v>261</v>
      </c>
      <c r="J56" s="247" t="s">
        <v>260</v>
      </c>
      <c r="K56" s="244" t="s">
        <v>82</v>
      </c>
      <c r="L56" s="244" t="s">
        <v>83</v>
      </c>
      <c r="M56" s="248">
        <v>6</v>
      </c>
      <c r="N56" s="248">
        <f t="shared" si="3"/>
        <v>192</v>
      </c>
      <c r="O56" s="248">
        <v>24</v>
      </c>
      <c r="P56" s="249">
        <f t="shared" si="4"/>
        <v>768</v>
      </c>
      <c r="Q56" s="250">
        <f t="shared" si="5"/>
        <v>960</v>
      </c>
      <c r="R56" s="251"/>
    </row>
    <row r="57" spans="1:19" ht="19.05" customHeight="1" x14ac:dyDescent="0.3">
      <c r="A57" s="244">
        <v>22</v>
      </c>
      <c r="B57" s="245" t="s">
        <v>669</v>
      </c>
      <c r="C57" s="246" t="s">
        <v>185</v>
      </c>
      <c r="D57" s="246" t="s">
        <v>186</v>
      </c>
      <c r="E57" s="244">
        <v>15000</v>
      </c>
      <c r="F57" s="244" t="s">
        <v>155</v>
      </c>
      <c r="G57" s="247"/>
      <c r="H57" s="244" t="s">
        <v>186</v>
      </c>
      <c r="I57" s="247" t="s">
        <v>187</v>
      </c>
      <c r="J57" s="247" t="s">
        <v>188</v>
      </c>
      <c r="K57" s="244" t="s">
        <v>82</v>
      </c>
      <c r="L57" s="244" t="s">
        <v>83</v>
      </c>
      <c r="M57" s="248">
        <v>10</v>
      </c>
      <c r="N57" s="248">
        <f t="shared" si="3"/>
        <v>150000</v>
      </c>
      <c r="O57" s="248">
        <v>3</v>
      </c>
      <c r="P57" s="249">
        <f t="shared" si="4"/>
        <v>45000</v>
      </c>
      <c r="Q57" s="250">
        <f t="shared" si="5"/>
        <v>195000</v>
      </c>
      <c r="R57" s="251"/>
    </row>
    <row r="58" spans="1:19" ht="19.05" customHeight="1" x14ac:dyDescent="0.3">
      <c r="A58" s="244">
        <v>23</v>
      </c>
      <c r="B58" s="245" t="s">
        <v>670</v>
      </c>
      <c r="C58" s="246" t="s">
        <v>190</v>
      </c>
      <c r="D58" s="246"/>
      <c r="E58" s="244">
        <v>1</v>
      </c>
      <c r="F58" s="244" t="s">
        <v>191</v>
      </c>
      <c r="G58" s="247"/>
      <c r="H58" s="244"/>
      <c r="I58" s="247"/>
      <c r="J58" s="247"/>
      <c r="K58" s="244" t="s">
        <v>82</v>
      </c>
      <c r="L58" s="244" t="s">
        <v>83</v>
      </c>
      <c r="M58" s="248">
        <v>5825</v>
      </c>
      <c r="N58" s="248">
        <f t="shared" si="3"/>
        <v>5825</v>
      </c>
      <c r="O58" s="248">
        <v>0</v>
      </c>
      <c r="P58" s="249">
        <f t="shared" si="4"/>
        <v>0</v>
      </c>
      <c r="Q58" s="250">
        <f t="shared" ref="Q58:Q62" si="6">E58*(M58+O58)</f>
        <v>5825</v>
      </c>
      <c r="R58" s="251"/>
    </row>
    <row r="59" spans="1:19" ht="19.05" customHeight="1" x14ac:dyDescent="0.3">
      <c r="A59" s="252"/>
      <c r="B59" s="245" t="s">
        <v>671</v>
      </c>
      <c r="C59" s="246"/>
      <c r="D59" s="246"/>
      <c r="E59" s="244"/>
      <c r="F59" s="244"/>
      <c r="G59" s="247"/>
      <c r="H59" s="244"/>
      <c r="I59" s="247"/>
      <c r="J59" s="247"/>
      <c r="K59" s="244"/>
      <c r="L59" s="244"/>
      <c r="M59" s="248"/>
      <c r="N59" s="248">
        <f t="shared" si="3"/>
        <v>0</v>
      </c>
      <c r="O59" s="248"/>
      <c r="P59" s="249">
        <f t="shared" si="4"/>
        <v>0</v>
      </c>
      <c r="Q59" s="250"/>
      <c r="R59" s="251"/>
    </row>
    <row r="60" spans="1:19" ht="19.05" customHeight="1" x14ac:dyDescent="0.3">
      <c r="A60" s="244">
        <v>1</v>
      </c>
      <c r="B60" s="245" t="s">
        <v>672</v>
      </c>
      <c r="C60" s="246" t="s">
        <v>263</v>
      </c>
      <c r="D60" s="246" t="s">
        <v>264</v>
      </c>
      <c r="E60" s="244">
        <v>1</v>
      </c>
      <c r="F60" s="244" t="s">
        <v>78</v>
      </c>
      <c r="G60" s="247"/>
      <c r="H60" s="244" t="s">
        <v>265</v>
      </c>
      <c r="I60" s="247" t="s">
        <v>266</v>
      </c>
      <c r="J60" s="247" t="s">
        <v>267</v>
      </c>
      <c r="K60" s="244" t="s">
        <v>82</v>
      </c>
      <c r="L60" s="244" t="s">
        <v>83</v>
      </c>
      <c r="M60" s="248">
        <v>0</v>
      </c>
      <c r="N60" s="248">
        <f t="shared" si="3"/>
        <v>0</v>
      </c>
      <c r="O60" s="248">
        <v>57978</v>
      </c>
      <c r="P60" s="249">
        <f t="shared" si="4"/>
        <v>57978</v>
      </c>
      <c r="Q60" s="250">
        <f t="shared" si="6"/>
        <v>57978</v>
      </c>
      <c r="R60" s="251"/>
    </row>
    <row r="61" spans="1:19" ht="19.05" customHeight="1" x14ac:dyDescent="0.3">
      <c r="A61" s="244">
        <v>2</v>
      </c>
      <c r="B61" s="245" t="s">
        <v>673</v>
      </c>
      <c r="C61" s="246" t="s">
        <v>268</v>
      </c>
      <c r="D61" s="246" t="s">
        <v>264</v>
      </c>
      <c r="E61" s="244">
        <v>1</v>
      </c>
      <c r="F61" s="244" t="s">
        <v>269</v>
      </c>
      <c r="G61" s="247"/>
      <c r="H61" s="244" t="s">
        <v>265</v>
      </c>
      <c r="I61" s="247" t="s">
        <v>270</v>
      </c>
      <c r="J61" s="247" t="s">
        <v>271</v>
      </c>
      <c r="K61" s="244" t="s">
        <v>82</v>
      </c>
      <c r="L61" s="244" t="s">
        <v>83</v>
      </c>
      <c r="M61" s="248">
        <v>0</v>
      </c>
      <c r="N61" s="248">
        <f t="shared" si="3"/>
        <v>0</v>
      </c>
      <c r="O61" s="248">
        <v>114793</v>
      </c>
      <c r="P61" s="249">
        <f t="shared" si="4"/>
        <v>114793</v>
      </c>
      <c r="Q61" s="250">
        <f t="shared" si="6"/>
        <v>114793</v>
      </c>
      <c r="R61" s="251"/>
    </row>
    <row r="62" spans="1:19" ht="19.05" customHeight="1" x14ac:dyDescent="0.3">
      <c r="A62" s="244">
        <v>3</v>
      </c>
      <c r="B62" s="245" t="s">
        <v>674</v>
      </c>
      <c r="C62" s="246" t="s">
        <v>272</v>
      </c>
      <c r="D62" s="246" t="s">
        <v>264</v>
      </c>
      <c r="E62" s="244">
        <v>1</v>
      </c>
      <c r="F62" s="244" t="s">
        <v>269</v>
      </c>
      <c r="G62" s="247"/>
      <c r="H62" s="244" t="s">
        <v>265</v>
      </c>
      <c r="I62" s="247" t="s">
        <v>273</v>
      </c>
      <c r="J62" s="247" t="s">
        <v>274</v>
      </c>
      <c r="K62" s="244" t="s">
        <v>82</v>
      </c>
      <c r="L62" s="244" t="s">
        <v>83</v>
      </c>
      <c r="M62" s="248">
        <v>0</v>
      </c>
      <c r="N62" s="248">
        <f t="shared" si="3"/>
        <v>0</v>
      </c>
      <c r="O62" s="248">
        <v>102890</v>
      </c>
      <c r="P62" s="249">
        <f t="shared" si="4"/>
        <v>102890</v>
      </c>
      <c r="Q62" s="250">
        <f t="shared" si="6"/>
        <v>102890</v>
      </c>
      <c r="R62" s="251"/>
    </row>
    <row r="63" spans="1:19" ht="19.05" customHeight="1" x14ac:dyDescent="0.3">
      <c r="A63" s="252"/>
      <c r="B63" s="245" t="s">
        <v>675</v>
      </c>
      <c r="C63" s="246"/>
      <c r="D63" s="246"/>
      <c r="E63" s="244"/>
      <c r="F63" s="244"/>
      <c r="G63" s="247"/>
      <c r="H63" s="244"/>
      <c r="I63" s="247"/>
      <c r="J63" s="247"/>
      <c r="K63" s="244"/>
      <c r="L63" s="244"/>
      <c r="M63" s="248">
        <v>0</v>
      </c>
      <c r="N63" s="248">
        <f t="shared" si="3"/>
        <v>0</v>
      </c>
      <c r="O63" s="248">
        <v>0</v>
      </c>
      <c r="P63" s="249">
        <f t="shared" si="4"/>
        <v>0</v>
      </c>
      <c r="Q63" s="250"/>
      <c r="R63" s="251"/>
    </row>
    <row r="64" spans="1:19" ht="19.05" customHeight="1" x14ac:dyDescent="0.3">
      <c r="A64" s="244">
        <v>1</v>
      </c>
      <c r="B64" s="245" t="s">
        <v>676</v>
      </c>
      <c r="C64" s="246" t="s">
        <v>276</v>
      </c>
      <c r="D64" s="246" t="s">
        <v>277</v>
      </c>
      <c r="E64" s="244">
        <v>15</v>
      </c>
      <c r="F64" s="244" t="s">
        <v>78</v>
      </c>
      <c r="G64" s="247"/>
      <c r="H64" s="244" t="s">
        <v>197</v>
      </c>
      <c r="I64" s="247" t="s">
        <v>278</v>
      </c>
      <c r="J64" s="247" t="s">
        <v>279</v>
      </c>
      <c r="K64" s="244" t="s">
        <v>82</v>
      </c>
      <c r="L64" s="244" t="s">
        <v>83</v>
      </c>
      <c r="M64" s="248">
        <v>0</v>
      </c>
      <c r="N64" s="248">
        <f t="shared" si="3"/>
        <v>0</v>
      </c>
      <c r="O64" s="248">
        <v>2283</v>
      </c>
      <c r="P64" s="249">
        <f t="shared" si="4"/>
        <v>34245</v>
      </c>
      <c r="Q64" s="250">
        <f t="shared" ref="Q64:Q67" si="7">E64*(M64+O64)</f>
        <v>34245</v>
      </c>
      <c r="R64" s="251"/>
    </row>
    <row r="65" spans="1:18" ht="19.05" customHeight="1" x14ac:dyDescent="0.3">
      <c r="A65" s="244">
        <v>2</v>
      </c>
      <c r="B65" s="245" t="s">
        <v>677</v>
      </c>
      <c r="C65" s="246" t="s">
        <v>280</v>
      </c>
      <c r="D65" s="246" t="s">
        <v>277</v>
      </c>
      <c r="E65" s="244">
        <v>50</v>
      </c>
      <c r="F65" s="244" t="s">
        <v>78</v>
      </c>
      <c r="G65" s="247"/>
      <c r="H65" s="244" t="s">
        <v>197</v>
      </c>
      <c r="I65" s="247" t="s">
        <v>281</v>
      </c>
      <c r="J65" s="247" t="s">
        <v>282</v>
      </c>
      <c r="K65" s="244" t="s">
        <v>82</v>
      </c>
      <c r="L65" s="244" t="s">
        <v>83</v>
      </c>
      <c r="M65" s="248">
        <v>29</v>
      </c>
      <c r="N65" s="248">
        <f t="shared" si="3"/>
        <v>1450</v>
      </c>
      <c r="O65" s="248">
        <v>58</v>
      </c>
      <c r="P65" s="249">
        <f t="shared" si="4"/>
        <v>2900</v>
      </c>
      <c r="Q65" s="250">
        <f t="shared" si="7"/>
        <v>4350</v>
      </c>
      <c r="R65" s="251"/>
    </row>
    <row r="66" spans="1:18" ht="19.05" customHeight="1" x14ac:dyDescent="0.3">
      <c r="A66" s="244">
        <v>3</v>
      </c>
      <c r="B66" s="245" t="s">
        <v>678</v>
      </c>
      <c r="C66" s="246" t="s">
        <v>283</v>
      </c>
      <c r="D66" s="246" t="s">
        <v>277</v>
      </c>
      <c r="E66" s="244">
        <v>1</v>
      </c>
      <c r="F66" s="244" t="s">
        <v>78</v>
      </c>
      <c r="G66" s="247"/>
      <c r="H66" s="244" t="s">
        <v>197</v>
      </c>
      <c r="I66" s="247" t="s">
        <v>284</v>
      </c>
      <c r="J66" s="247" t="s">
        <v>285</v>
      </c>
      <c r="K66" s="244" t="s">
        <v>82</v>
      </c>
      <c r="L66" s="244" t="s">
        <v>83</v>
      </c>
      <c r="M66" s="248">
        <v>0</v>
      </c>
      <c r="N66" s="248">
        <f t="shared" si="3"/>
        <v>0</v>
      </c>
      <c r="O66" s="248">
        <v>563</v>
      </c>
      <c r="P66" s="249">
        <f t="shared" si="4"/>
        <v>563</v>
      </c>
      <c r="Q66" s="250">
        <f t="shared" si="7"/>
        <v>563</v>
      </c>
      <c r="R66" s="251"/>
    </row>
    <row r="67" spans="1:18" ht="19.05" customHeight="1" x14ac:dyDescent="0.3">
      <c r="A67" s="244">
        <v>4</v>
      </c>
      <c r="B67" s="245" t="s">
        <v>679</v>
      </c>
      <c r="C67" s="246" t="s">
        <v>287</v>
      </c>
      <c r="D67" s="246" t="s">
        <v>277</v>
      </c>
      <c r="E67" s="244">
        <v>1</v>
      </c>
      <c r="F67" s="244" t="s">
        <v>269</v>
      </c>
      <c r="G67" s="247"/>
      <c r="H67" s="244" t="s">
        <v>197</v>
      </c>
      <c r="I67" s="247" t="s">
        <v>286</v>
      </c>
      <c r="J67" s="247" t="s">
        <v>287</v>
      </c>
      <c r="K67" s="244" t="s">
        <v>82</v>
      </c>
      <c r="L67" s="244" t="s">
        <v>83</v>
      </c>
      <c r="M67" s="248">
        <v>0</v>
      </c>
      <c r="N67" s="248">
        <f t="shared" si="3"/>
        <v>0</v>
      </c>
      <c r="O67" s="248">
        <v>1805</v>
      </c>
      <c r="P67" s="249">
        <f t="shared" si="4"/>
        <v>1805</v>
      </c>
      <c r="Q67" s="250">
        <f t="shared" si="7"/>
        <v>1805</v>
      </c>
      <c r="R67" s="251"/>
    </row>
    <row r="68" spans="1:18" ht="19.05" customHeight="1" x14ac:dyDescent="0.3">
      <c r="A68" s="252"/>
      <c r="B68" s="245" t="s">
        <v>680</v>
      </c>
      <c r="C68" s="246"/>
      <c r="D68" s="246"/>
      <c r="E68" s="244"/>
      <c r="F68" s="244"/>
      <c r="G68" s="247"/>
      <c r="H68" s="244"/>
      <c r="I68" s="247"/>
      <c r="J68" s="247"/>
      <c r="K68" s="244"/>
      <c r="L68" s="244"/>
      <c r="M68" s="248"/>
      <c r="N68" s="248">
        <f t="shared" si="3"/>
        <v>0</v>
      </c>
      <c r="O68" s="248"/>
      <c r="P68" s="249">
        <f t="shared" si="4"/>
        <v>0</v>
      </c>
      <c r="Q68" s="250"/>
      <c r="R68" s="251"/>
    </row>
    <row r="69" spans="1:18" ht="19.05" customHeight="1" x14ac:dyDescent="0.3">
      <c r="A69" s="244">
        <v>1</v>
      </c>
      <c r="B69" s="245" t="s">
        <v>681</v>
      </c>
      <c r="C69" s="246" t="s">
        <v>288</v>
      </c>
      <c r="D69" s="246" t="s">
        <v>289</v>
      </c>
      <c r="E69" s="244">
        <v>22000</v>
      </c>
      <c r="F69" s="244" t="s">
        <v>155</v>
      </c>
      <c r="G69" s="247"/>
      <c r="H69" s="244" t="s">
        <v>197</v>
      </c>
      <c r="I69" s="247" t="s">
        <v>290</v>
      </c>
      <c r="J69" s="247" t="s">
        <v>291</v>
      </c>
      <c r="K69" s="244" t="s">
        <v>82</v>
      </c>
      <c r="L69" s="244" t="s">
        <v>83</v>
      </c>
      <c r="M69" s="248">
        <v>5</v>
      </c>
      <c r="N69" s="248">
        <f t="shared" ref="N69:N101" si="8">E69*M69</f>
        <v>110000</v>
      </c>
      <c r="O69" s="248">
        <v>2</v>
      </c>
      <c r="P69" s="249">
        <f t="shared" ref="P69:P101" si="9">E69*O69</f>
        <v>44000</v>
      </c>
      <c r="Q69" s="250">
        <f t="shared" ref="Q69:Q78" si="10">E69*(M69+O69)</f>
        <v>154000</v>
      </c>
      <c r="R69" s="251"/>
    </row>
    <row r="70" spans="1:18" ht="19.05" customHeight="1" x14ac:dyDescent="0.3">
      <c r="A70" s="244">
        <v>2</v>
      </c>
      <c r="B70" s="245" t="s">
        <v>682</v>
      </c>
      <c r="C70" s="246" t="s">
        <v>292</v>
      </c>
      <c r="D70" s="246" t="s">
        <v>289</v>
      </c>
      <c r="E70" s="244">
        <v>1</v>
      </c>
      <c r="F70" s="244" t="s">
        <v>78</v>
      </c>
      <c r="G70" s="247"/>
      <c r="H70" s="244" t="s">
        <v>197</v>
      </c>
      <c r="I70" s="247" t="s">
        <v>293</v>
      </c>
      <c r="J70" s="247" t="s">
        <v>294</v>
      </c>
      <c r="K70" s="244" t="s">
        <v>82</v>
      </c>
      <c r="L70" s="244" t="s">
        <v>83</v>
      </c>
      <c r="M70" s="248">
        <v>117</v>
      </c>
      <c r="N70" s="248">
        <f t="shared" si="8"/>
        <v>117</v>
      </c>
      <c r="O70" s="248">
        <v>302655</v>
      </c>
      <c r="P70" s="249">
        <f t="shared" si="9"/>
        <v>302655</v>
      </c>
      <c r="Q70" s="250">
        <f t="shared" si="10"/>
        <v>302772</v>
      </c>
      <c r="R70" s="251"/>
    </row>
    <row r="71" spans="1:18" ht="19.05" customHeight="1" x14ac:dyDescent="0.3">
      <c r="A71" s="244">
        <v>3</v>
      </c>
      <c r="B71" s="245" t="s">
        <v>683</v>
      </c>
      <c r="C71" s="246" t="s">
        <v>295</v>
      </c>
      <c r="D71" s="246" t="s">
        <v>289</v>
      </c>
      <c r="E71" s="244">
        <v>323</v>
      </c>
      <c r="F71" s="244" t="s">
        <v>296</v>
      </c>
      <c r="G71" s="247"/>
      <c r="H71" s="244" t="s">
        <v>197</v>
      </c>
      <c r="I71" s="247" t="s">
        <v>297</v>
      </c>
      <c r="J71" s="247" t="s">
        <v>298</v>
      </c>
      <c r="K71" s="244" t="s">
        <v>82</v>
      </c>
      <c r="L71" s="244" t="s">
        <v>83</v>
      </c>
      <c r="M71" s="248">
        <v>29</v>
      </c>
      <c r="N71" s="248">
        <f t="shared" si="8"/>
        <v>9367</v>
      </c>
      <c r="O71" s="248">
        <v>41</v>
      </c>
      <c r="P71" s="249">
        <f t="shared" si="9"/>
        <v>13243</v>
      </c>
      <c r="Q71" s="250">
        <f t="shared" si="10"/>
        <v>22610</v>
      </c>
      <c r="R71" s="251"/>
    </row>
    <row r="72" spans="1:18" ht="19.05" customHeight="1" x14ac:dyDescent="0.3">
      <c r="A72" s="244">
        <v>4</v>
      </c>
      <c r="B72" s="245" t="s">
        <v>684</v>
      </c>
      <c r="C72" s="246" t="s">
        <v>299</v>
      </c>
      <c r="D72" s="246" t="s">
        <v>289</v>
      </c>
      <c r="E72" s="244">
        <v>9</v>
      </c>
      <c r="F72" s="244" t="s">
        <v>300</v>
      </c>
      <c r="G72" s="247"/>
      <c r="H72" s="244" t="s">
        <v>197</v>
      </c>
      <c r="I72" s="247" t="s">
        <v>301</v>
      </c>
      <c r="J72" s="247" t="s">
        <v>302</v>
      </c>
      <c r="K72" s="244" t="s">
        <v>82</v>
      </c>
      <c r="L72" s="244" t="s">
        <v>83</v>
      </c>
      <c r="M72" s="248">
        <v>29</v>
      </c>
      <c r="N72" s="248">
        <f t="shared" si="8"/>
        <v>261</v>
      </c>
      <c r="O72" s="248">
        <v>154</v>
      </c>
      <c r="P72" s="249">
        <f t="shared" si="9"/>
        <v>1386</v>
      </c>
      <c r="Q72" s="250">
        <f t="shared" si="10"/>
        <v>1647</v>
      </c>
      <c r="R72" s="251"/>
    </row>
    <row r="73" spans="1:18" ht="19.05" customHeight="1" x14ac:dyDescent="0.3">
      <c r="A73" s="244">
        <v>5</v>
      </c>
      <c r="B73" s="245" t="s">
        <v>685</v>
      </c>
      <c r="C73" s="246" t="s">
        <v>303</v>
      </c>
      <c r="D73" s="246" t="s">
        <v>289</v>
      </c>
      <c r="E73" s="244">
        <v>8800</v>
      </c>
      <c r="F73" s="244" t="s">
        <v>304</v>
      </c>
      <c r="G73" s="247"/>
      <c r="H73" s="244" t="s">
        <v>197</v>
      </c>
      <c r="I73" s="247" t="s">
        <v>305</v>
      </c>
      <c r="J73" s="247" t="s">
        <v>306</v>
      </c>
      <c r="K73" s="244" t="s">
        <v>82</v>
      </c>
      <c r="L73" s="244" t="s">
        <v>83</v>
      </c>
      <c r="M73" s="248">
        <v>6</v>
      </c>
      <c r="N73" s="248">
        <f t="shared" si="8"/>
        <v>52800</v>
      </c>
      <c r="O73" s="248">
        <v>8</v>
      </c>
      <c r="P73" s="249">
        <f t="shared" si="9"/>
        <v>70400</v>
      </c>
      <c r="Q73" s="250">
        <f t="shared" si="10"/>
        <v>123200</v>
      </c>
      <c r="R73" s="251"/>
    </row>
    <row r="74" spans="1:18" ht="19.05" customHeight="1" x14ac:dyDescent="0.3">
      <c r="A74" s="253">
        <v>6</v>
      </c>
      <c r="B74" s="245" t="s">
        <v>686</v>
      </c>
      <c r="C74" s="246" t="s">
        <v>307</v>
      </c>
      <c r="D74" s="246" t="s">
        <v>289</v>
      </c>
      <c r="E74" s="244">
        <v>1</v>
      </c>
      <c r="F74" s="244" t="s">
        <v>78</v>
      </c>
      <c r="G74" s="247"/>
      <c r="H74" s="244" t="s">
        <v>197</v>
      </c>
      <c r="I74" s="247" t="s">
        <v>308</v>
      </c>
      <c r="J74" s="247" t="s">
        <v>309</v>
      </c>
      <c r="K74" s="244" t="s">
        <v>82</v>
      </c>
      <c r="L74" s="244" t="s">
        <v>83</v>
      </c>
      <c r="M74" s="248">
        <v>350</v>
      </c>
      <c r="N74" s="248">
        <f t="shared" si="8"/>
        <v>350</v>
      </c>
      <c r="O74" s="248">
        <v>9664</v>
      </c>
      <c r="P74" s="249">
        <f t="shared" si="9"/>
        <v>9664</v>
      </c>
      <c r="Q74" s="250">
        <f t="shared" si="10"/>
        <v>10014</v>
      </c>
      <c r="R74" s="251"/>
    </row>
    <row r="75" spans="1:18" ht="19.05" customHeight="1" x14ac:dyDescent="0.3">
      <c r="A75" s="244">
        <v>7</v>
      </c>
      <c r="B75" s="245" t="s">
        <v>687</v>
      </c>
      <c r="C75" s="246" t="s">
        <v>311</v>
      </c>
      <c r="D75" s="246" t="s">
        <v>289</v>
      </c>
      <c r="E75" s="244">
        <v>1</v>
      </c>
      <c r="F75" s="244" t="s">
        <v>269</v>
      </c>
      <c r="G75" s="247"/>
      <c r="H75" s="244" t="s">
        <v>197</v>
      </c>
      <c r="I75" s="247" t="s">
        <v>310</v>
      </c>
      <c r="J75" s="247" t="s">
        <v>312</v>
      </c>
      <c r="K75" s="244" t="s">
        <v>82</v>
      </c>
      <c r="L75" s="244" t="s">
        <v>83</v>
      </c>
      <c r="M75" s="248">
        <v>0</v>
      </c>
      <c r="N75" s="248">
        <f t="shared" si="8"/>
        <v>0</v>
      </c>
      <c r="O75" s="248">
        <v>9027</v>
      </c>
      <c r="P75" s="249">
        <f t="shared" si="9"/>
        <v>9027</v>
      </c>
      <c r="Q75" s="250">
        <f t="shared" si="10"/>
        <v>9027</v>
      </c>
      <c r="R75" s="251"/>
    </row>
    <row r="76" spans="1:18" ht="19.05" customHeight="1" x14ac:dyDescent="0.3">
      <c r="A76" s="244">
        <v>8</v>
      </c>
      <c r="B76" s="245" t="s">
        <v>688</v>
      </c>
      <c r="C76" s="246" t="s">
        <v>314</v>
      </c>
      <c r="D76" s="246" t="s">
        <v>289</v>
      </c>
      <c r="E76" s="244">
        <v>1</v>
      </c>
      <c r="F76" s="244" t="s">
        <v>269</v>
      </c>
      <c r="G76" s="247"/>
      <c r="H76" s="244" t="s">
        <v>197</v>
      </c>
      <c r="I76" s="247" t="s">
        <v>313</v>
      </c>
      <c r="J76" s="247" t="s">
        <v>315</v>
      </c>
      <c r="K76" s="244" t="s">
        <v>82</v>
      </c>
      <c r="L76" s="244" t="s">
        <v>83</v>
      </c>
      <c r="M76" s="248">
        <v>0</v>
      </c>
      <c r="N76" s="248">
        <f t="shared" si="8"/>
        <v>0</v>
      </c>
      <c r="O76" s="248">
        <v>9558</v>
      </c>
      <c r="P76" s="249">
        <f t="shared" si="9"/>
        <v>9558</v>
      </c>
      <c r="Q76" s="250">
        <f t="shared" si="10"/>
        <v>9558</v>
      </c>
      <c r="R76" s="251"/>
    </row>
    <row r="77" spans="1:18" ht="19.05" customHeight="1" x14ac:dyDescent="0.3">
      <c r="A77" s="244">
        <v>7</v>
      </c>
      <c r="B77" s="245" t="s">
        <v>689</v>
      </c>
      <c r="C77" s="246" t="s">
        <v>316</v>
      </c>
      <c r="D77" s="246"/>
      <c r="E77" s="244">
        <v>3500</v>
      </c>
      <c r="F77" s="244" t="s">
        <v>155</v>
      </c>
      <c r="G77" s="247"/>
      <c r="H77" s="244" t="s">
        <v>83</v>
      </c>
      <c r="I77" s="247" t="s">
        <v>83</v>
      </c>
      <c r="J77" s="247" t="s">
        <v>83</v>
      </c>
      <c r="K77" s="244" t="s">
        <v>82</v>
      </c>
      <c r="L77" s="244" t="s">
        <v>83</v>
      </c>
      <c r="M77" s="248">
        <v>0</v>
      </c>
      <c r="N77" s="248">
        <f t="shared" si="8"/>
        <v>0</v>
      </c>
      <c r="O77" s="248">
        <v>36</v>
      </c>
      <c r="P77" s="249">
        <f t="shared" si="9"/>
        <v>126000</v>
      </c>
      <c r="Q77" s="250">
        <f t="shared" si="10"/>
        <v>126000</v>
      </c>
      <c r="R77" s="251"/>
    </row>
    <row r="78" spans="1:18" ht="19.05" customHeight="1" x14ac:dyDescent="0.3">
      <c r="A78" s="244">
        <v>8</v>
      </c>
      <c r="B78" s="245" t="s">
        <v>690</v>
      </c>
      <c r="C78" s="246" t="s">
        <v>317</v>
      </c>
      <c r="D78" s="246"/>
      <c r="E78" s="244">
        <v>2000</v>
      </c>
      <c r="F78" s="244" t="s">
        <v>318</v>
      </c>
      <c r="G78" s="247"/>
      <c r="H78" s="244" t="s">
        <v>83</v>
      </c>
      <c r="I78" s="247" t="s">
        <v>83</v>
      </c>
      <c r="J78" s="247" t="s">
        <v>83</v>
      </c>
      <c r="K78" s="244" t="s">
        <v>82</v>
      </c>
      <c r="L78" s="244" t="s">
        <v>83</v>
      </c>
      <c r="M78" s="248">
        <v>0</v>
      </c>
      <c r="N78" s="248">
        <f t="shared" si="8"/>
        <v>0</v>
      </c>
      <c r="O78" s="248">
        <v>29</v>
      </c>
      <c r="P78" s="249">
        <f t="shared" si="9"/>
        <v>58000</v>
      </c>
      <c r="Q78" s="250">
        <f t="shared" si="10"/>
        <v>58000</v>
      </c>
      <c r="R78" s="251"/>
    </row>
    <row r="79" spans="1:18" ht="19.05" customHeight="1" x14ac:dyDescent="0.3">
      <c r="A79" s="252"/>
      <c r="B79" s="245" t="s">
        <v>691</v>
      </c>
      <c r="C79" s="246"/>
      <c r="D79" s="246"/>
      <c r="E79" s="244"/>
      <c r="F79" s="244"/>
      <c r="G79" s="247"/>
      <c r="H79" s="244"/>
      <c r="I79" s="247"/>
      <c r="J79" s="247"/>
      <c r="K79" s="244"/>
      <c r="L79" s="244"/>
      <c r="M79" s="248"/>
      <c r="N79" s="248">
        <f t="shared" si="8"/>
        <v>0</v>
      </c>
      <c r="O79" s="248"/>
      <c r="P79" s="249">
        <f t="shared" si="9"/>
        <v>0</v>
      </c>
      <c r="Q79" s="250"/>
      <c r="R79" s="251"/>
    </row>
    <row r="80" spans="1:18" ht="19.05" customHeight="1" x14ac:dyDescent="0.3">
      <c r="A80" s="244">
        <v>1</v>
      </c>
      <c r="B80" s="245" t="s">
        <v>692</v>
      </c>
      <c r="C80" s="246" t="s">
        <v>319</v>
      </c>
      <c r="D80" s="246" t="s">
        <v>289</v>
      </c>
      <c r="E80" s="244">
        <v>11</v>
      </c>
      <c r="F80" s="244" t="s">
        <v>148</v>
      </c>
      <c r="G80" s="247"/>
      <c r="H80" s="244" t="s">
        <v>197</v>
      </c>
      <c r="I80" s="247" t="s">
        <v>320</v>
      </c>
      <c r="J80" s="247" t="s">
        <v>321</v>
      </c>
      <c r="K80" s="244" t="s">
        <v>82</v>
      </c>
      <c r="L80" s="244" t="s">
        <v>83</v>
      </c>
      <c r="M80" s="248">
        <v>350</v>
      </c>
      <c r="N80" s="248">
        <f t="shared" si="8"/>
        <v>3850</v>
      </c>
      <c r="O80" s="248">
        <v>658</v>
      </c>
      <c r="P80" s="249">
        <f t="shared" si="9"/>
        <v>7238</v>
      </c>
      <c r="Q80" s="250">
        <f>E80*(M80+O80)</f>
        <v>11088</v>
      </c>
      <c r="R80" s="251"/>
    </row>
    <row r="81" spans="1:19" ht="19.05" customHeight="1" x14ac:dyDescent="0.3">
      <c r="A81" s="244">
        <v>2</v>
      </c>
      <c r="B81" s="245" t="s">
        <v>693</v>
      </c>
      <c r="C81" s="246" t="s">
        <v>322</v>
      </c>
      <c r="D81" s="246" t="s">
        <v>289</v>
      </c>
      <c r="E81" s="244">
        <v>6</v>
      </c>
      <c r="F81" s="244" t="s">
        <v>78</v>
      </c>
      <c r="G81" s="247"/>
      <c r="H81" s="244" t="s">
        <v>197</v>
      </c>
      <c r="I81" s="247" t="s">
        <v>323</v>
      </c>
      <c r="J81" s="247" t="s">
        <v>324</v>
      </c>
      <c r="K81" s="244" t="s">
        <v>82</v>
      </c>
      <c r="L81" s="244" t="s">
        <v>83</v>
      </c>
      <c r="M81" s="248">
        <v>233</v>
      </c>
      <c r="N81" s="248">
        <f t="shared" si="8"/>
        <v>1398</v>
      </c>
      <c r="O81" s="248">
        <v>520</v>
      </c>
      <c r="P81" s="249">
        <f t="shared" si="9"/>
        <v>3120</v>
      </c>
      <c r="Q81" s="250">
        <f t="shared" ref="Q81:Q90" si="11">E81*(M81+O81)</f>
        <v>4518</v>
      </c>
      <c r="R81" s="251"/>
    </row>
    <row r="82" spans="1:19" ht="19.05" customHeight="1" x14ac:dyDescent="0.3">
      <c r="A82" s="244">
        <v>3</v>
      </c>
      <c r="B82" s="245" t="s">
        <v>694</v>
      </c>
      <c r="C82" s="246" t="s">
        <v>325</v>
      </c>
      <c r="D82" s="246" t="s">
        <v>289</v>
      </c>
      <c r="E82" s="244">
        <v>1</v>
      </c>
      <c r="F82" s="244" t="s">
        <v>78</v>
      </c>
      <c r="G82" s="247"/>
      <c r="H82" s="244" t="s">
        <v>197</v>
      </c>
      <c r="I82" s="247" t="s">
        <v>326</v>
      </c>
      <c r="J82" s="247" t="s">
        <v>327</v>
      </c>
      <c r="K82" s="244" t="s">
        <v>82</v>
      </c>
      <c r="L82" s="244" t="s">
        <v>83</v>
      </c>
      <c r="M82" s="248">
        <v>350</v>
      </c>
      <c r="N82" s="248">
        <f t="shared" si="8"/>
        <v>350</v>
      </c>
      <c r="O82" s="248">
        <v>1699</v>
      </c>
      <c r="P82" s="249">
        <f t="shared" si="9"/>
        <v>1699</v>
      </c>
      <c r="Q82" s="250">
        <f t="shared" si="11"/>
        <v>2049</v>
      </c>
      <c r="R82" s="251"/>
    </row>
    <row r="83" spans="1:19" ht="19.05" customHeight="1" x14ac:dyDescent="0.3">
      <c r="A83" s="244">
        <v>4</v>
      </c>
      <c r="B83" s="245" t="s">
        <v>695</v>
      </c>
      <c r="C83" s="246" t="s">
        <v>328</v>
      </c>
      <c r="D83" s="246" t="s">
        <v>289</v>
      </c>
      <c r="E83" s="244">
        <v>1</v>
      </c>
      <c r="F83" s="244" t="s">
        <v>78</v>
      </c>
      <c r="G83" s="247"/>
      <c r="H83" s="244" t="s">
        <v>197</v>
      </c>
      <c r="I83" s="247" t="s">
        <v>329</v>
      </c>
      <c r="J83" s="247" t="s">
        <v>330</v>
      </c>
      <c r="K83" s="244" t="s">
        <v>82</v>
      </c>
      <c r="L83" s="244" t="s">
        <v>83</v>
      </c>
      <c r="M83" s="248">
        <v>117</v>
      </c>
      <c r="N83" s="248">
        <f t="shared" si="8"/>
        <v>117</v>
      </c>
      <c r="O83" s="248">
        <v>228</v>
      </c>
      <c r="P83" s="249">
        <f t="shared" si="9"/>
        <v>228</v>
      </c>
      <c r="Q83" s="250">
        <f t="shared" si="11"/>
        <v>345</v>
      </c>
      <c r="R83" s="251"/>
    </row>
    <row r="84" spans="1:19" ht="19.05" customHeight="1" x14ac:dyDescent="0.3">
      <c r="A84" s="244">
        <v>5</v>
      </c>
      <c r="B84" s="245" t="s">
        <v>696</v>
      </c>
      <c r="C84" s="246" t="s">
        <v>331</v>
      </c>
      <c r="D84" s="246" t="s">
        <v>289</v>
      </c>
      <c r="E84" s="244">
        <v>1</v>
      </c>
      <c r="F84" s="244" t="s">
        <v>78</v>
      </c>
      <c r="G84" s="247"/>
      <c r="H84" s="244" t="s">
        <v>197</v>
      </c>
      <c r="I84" s="247" t="s">
        <v>332</v>
      </c>
      <c r="J84" s="247" t="s">
        <v>333</v>
      </c>
      <c r="K84" s="244" t="s">
        <v>82</v>
      </c>
      <c r="L84" s="244" t="s">
        <v>83</v>
      </c>
      <c r="M84" s="248">
        <v>117</v>
      </c>
      <c r="N84" s="248">
        <f t="shared" si="8"/>
        <v>117</v>
      </c>
      <c r="O84" s="248">
        <v>81</v>
      </c>
      <c r="P84" s="249">
        <f t="shared" si="9"/>
        <v>81</v>
      </c>
      <c r="Q84" s="250">
        <f t="shared" si="11"/>
        <v>198</v>
      </c>
      <c r="R84" s="251"/>
    </row>
    <row r="85" spans="1:19" ht="19.05" customHeight="1" x14ac:dyDescent="0.3">
      <c r="A85" s="244">
        <v>6</v>
      </c>
      <c r="B85" s="245" t="s">
        <v>697</v>
      </c>
      <c r="C85" s="246" t="s">
        <v>334</v>
      </c>
      <c r="D85" s="246" t="s">
        <v>289</v>
      </c>
      <c r="E85" s="244">
        <v>1</v>
      </c>
      <c r="F85" s="244" t="s">
        <v>132</v>
      </c>
      <c r="G85" s="247"/>
      <c r="H85" s="244" t="s">
        <v>197</v>
      </c>
      <c r="I85" s="247" t="s">
        <v>335</v>
      </c>
      <c r="J85" s="247" t="s">
        <v>336</v>
      </c>
      <c r="K85" s="244" t="s">
        <v>82</v>
      </c>
      <c r="L85" s="244" t="s">
        <v>83</v>
      </c>
      <c r="M85" s="248">
        <v>117</v>
      </c>
      <c r="N85" s="248">
        <f t="shared" si="8"/>
        <v>117</v>
      </c>
      <c r="O85" s="248">
        <v>48</v>
      </c>
      <c r="P85" s="249">
        <f t="shared" si="9"/>
        <v>48</v>
      </c>
      <c r="Q85" s="250">
        <f t="shared" si="11"/>
        <v>165</v>
      </c>
      <c r="R85" s="251"/>
    </row>
    <row r="86" spans="1:19" ht="19.05" customHeight="1" x14ac:dyDescent="0.3">
      <c r="A86" s="244">
        <v>7</v>
      </c>
      <c r="B86" s="245" t="s">
        <v>698</v>
      </c>
      <c r="C86" s="246" t="s">
        <v>337</v>
      </c>
      <c r="D86" s="246" t="s">
        <v>289</v>
      </c>
      <c r="E86" s="244">
        <v>11</v>
      </c>
      <c r="F86" s="244" t="s">
        <v>78</v>
      </c>
      <c r="G86" s="247"/>
      <c r="H86" s="244" t="s">
        <v>197</v>
      </c>
      <c r="I86" s="247" t="s">
        <v>338</v>
      </c>
      <c r="J86" s="247" t="s">
        <v>339</v>
      </c>
      <c r="K86" s="244" t="s">
        <v>82</v>
      </c>
      <c r="L86" s="244" t="s">
        <v>83</v>
      </c>
      <c r="M86" s="248">
        <v>70</v>
      </c>
      <c r="N86" s="248">
        <f t="shared" si="8"/>
        <v>770</v>
      </c>
      <c r="O86" s="248">
        <v>90</v>
      </c>
      <c r="P86" s="249">
        <f t="shared" si="9"/>
        <v>990</v>
      </c>
      <c r="Q86" s="250">
        <f t="shared" si="11"/>
        <v>1760</v>
      </c>
      <c r="R86" s="251"/>
    </row>
    <row r="87" spans="1:19" ht="19.05" customHeight="1" x14ac:dyDescent="0.3">
      <c r="A87" s="244">
        <v>8</v>
      </c>
      <c r="B87" s="245" t="s">
        <v>699</v>
      </c>
      <c r="C87" s="246" t="s">
        <v>341</v>
      </c>
      <c r="D87" s="246" t="s">
        <v>289</v>
      </c>
      <c r="E87" s="244">
        <v>1</v>
      </c>
      <c r="F87" s="244" t="s">
        <v>78</v>
      </c>
      <c r="G87" s="247"/>
      <c r="H87" s="244" t="s">
        <v>197</v>
      </c>
      <c r="I87" s="247" t="s">
        <v>340</v>
      </c>
      <c r="J87" s="247" t="s">
        <v>342</v>
      </c>
      <c r="K87" s="244" t="s">
        <v>82</v>
      </c>
      <c r="L87" s="244" t="s">
        <v>83</v>
      </c>
      <c r="M87" s="248">
        <v>0</v>
      </c>
      <c r="N87" s="248">
        <f t="shared" si="8"/>
        <v>0</v>
      </c>
      <c r="O87" s="248">
        <v>1062</v>
      </c>
      <c r="P87" s="249">
        <f t="shared" si="9"/>
        <v>1062</v>
      </c>
      <c r="Q87" s="250">
        <f t="shared" si="11"/>
        <v>1062</v>
      </c>
      <c r="R87" s="251"/>
    </row>
    <row r="88" spans="1:19" ht="19.05" customHeight="1" x14ac:dyDescent="0.3">
      <c r="A88" s="244">
        <v>9</v>
      </c>
      <c r="B88" s="245" t="s">
        <v>700</v>
      </c>
      <c r="C88" s="246" t="s">
        <v>343</v>
      </c>
      <c r="D88" s="246" t="s">
        <v>142</v>
      </c>
      <c r="E88" s="244">
        <v>2400</v>
      </c>
      <c r="F88" s="244" t="s">
        <v>155</v>
      </c>
      <c r="G88" s="247"/>
      <c r="H88" s="244" t="s">
        <v>143</v>
      </c>
      <c r="I88" s="247" t="s">
        <v>344</v>
      </c>
      <c r="J88" s="247" t="s">
        <v>343</v>
      </c>
      <c r="K88" s="244" t="s">
        <v>82</v>
      </c>
      <c r="L88" s="244" t="s">
        <v>83</v>
      </c>
      <c r="M88" s="248">
        <v>2</v>
      </c>
      <c r="N88" s="248">
        <f t="shared" si="8"/>
        <v>4800</v>
      </c>
      <c r="O88" s="248">
        <v>4</v>
      </c>
      <c r="P88" s="249">
        <f t="shared" si="9"/>
        <v>9600</v>
      </c>
      <c r="Q88" s="250">
        <f t="shared" si="11"/>
        <v>14400</v>
      </c>
      <c r="R88" s="251"/>
    </row>
    <row r="89" spans="1:19" ht="19.05" customHeight="1" x14ac:dyDescent="0.3">
      <c r="A89" s="244">
        <v>10</v>
      </c>
      <c r="B89" s="245" t="s">
        <v>700</v>
      </c>
      <c r="C89" s="246" t="s">
        <v>345</v>
      </c>
      <c r="D89" s="246" t="s">
        <v>142</v>
      </c>
      <c r="E89" s="244">
        <v>200</v>
      </c>
      <c r="F89" s="244" t="s">
        <v>155</v>
      </c>
      <c r="G89" s="247"/>
      <c r="H89" s="244" t="s">
        <v>143</v>
      </c>
      <c r="I89" s="247" t="s">
        <v>346</v>
      </c>
      <c r="J89" s="247" t="s">
        <v>345</v>
      </c>
      <c r="K89" s="244" t="s">
        <v>82</v>
      </c>
      <c r="L89" s="244" t="s">
        <v>83</v>
      </c>
      <c r="M89" s="248">
        <v>2</v>
      </c>
      <c r="N89" s="248">
        <f t="shared" si="8"/>
        <v>400</v>
      </c>
      <c r="O89" s="248">
        <v>5</v>
      </c>
      <c r="P89" s="249">
        <f t="shared" si="9"/>
        <v>1000</v>
      </c>
      <c r="Q89" s="250">
        <f t="shared" si="11"/>
        <v>1400</v>
      </c>
      <c r="R89" s="251"/>
    </row>
    <row r="90" spans="1:19" ht="19.05" customHeight="1" x14ac:dyDescent="0.3">
      <c r="A90" s="244">
        <v>11</v>
      </c>
      <c r="B90" s="245" t="s">
        <v>669</v>
      </c>
      <c r="C90" s="246" t="s">
        <v>185</v>
      </c>
      <c r="D90" s="246" t="s">
        <v>186</v>
      </c>
      <c r="E90" s="244">
        <v>1000</v>
      </c>
      <c r="F90" s="244" t="s">
        <v>155</v>
      </c>
      <c r="G90" s="247"/>
      <c r="H90" s="244" t="s">
        <v>186</v>
      </c>
      <c r="I90" s="247" t="s">
        <v>187</v>
      </c>
      <c r="J90" s="247" t="s">
        <v>188</v>
      </c>
      <c r="K90" s="244" t="s">
        <v>82</v>
      </c>
      <c r="L90" s="244" t="s">
        <v>83</v>
      </c>
      <c r="M90" s="248">
        <v>10</v>
      </c>
      <c r="N90" s="248">
        <f t="shared" si="8"/>
        <v>10000</v>
      </c>
      <c r="O90" s="248">
        <v>3</v>
      </c>
      <c r="P90" s="249">
        <f t="shared" si="9"/>
        <v>3000</v>
      </c>
      <c r="Q90" s="250">
        <f t="shared" si="11"/>
        <v>13000</v>
      </c>
      <c r="R90" s="251"/>
    </row>
    <row r="91" spans="1:19" ht="19.05" customHeight="1" x14ac:dyDescent="0.3">
      <c r="A91" s="252"/>
      <c r="B91" s="245" t="s">
        <v>701</v>
      </c>
      <c r="C91" s="246"/>
      <c r="D91" s="246"/>
      <c r="E91" s="244"/>
      <c r="F91" s="244"/>
      <c r="G91" s="247"/>
      <c r="H91" s="244"/>
      <c r="I91" s="247"/>
      <c r="J91" s="247"/>
      <c r="K91" s="244"/>
      <c r="L91" s="244"/>
      <c r="M91" s="248"/>
      <c r="N91" s="248">
        <f t="shared" si="8"/>
        <v>0</v>
      </c>
      <c r="O91" s="248"/>
      <c r="P91" s="249">
        <f t="shared" si="9"/>
        <v>0</v>
      </c>
      <c r="Q91" s="250"/>
      <c r="R91" s="251"/>
    </row>
    <row r="92" spans="1:19" ht="19.05" customHeight="1" x14ac:dyDescent="0.3">
      <c r="A92" s="244">
        <v>1</v>
      </c>
      <c r="B92" s="245" t="s">
        <v>702</v>
      </c>
      <c r="C92" s="246" t="s">
        <v>347</v>
      </c>
      <c r="D92" s="246" t="s">
        <v>89</v>
      </c>
      <c r="E92" s="244">
        <v>1</v>
      </c>
      <c r="F92" s="244" t="s">
        <v>78</v>
      </c>
      <c r="G92" s="247"/>
      <c r="H92" s="244" t="s">
        <v>90</v>
      </c>
      <c r="I92" s="247" t="s">
        <v>91</v>
      </c>
      <c r="J92" s="247" t="s">
        <v>92</v>
      </c>
      <c r="K92" s="244" t="s">
        <v>82</v>
      </c>
      <c r="L92" s="244" t="s">
        <v>83</v>
      </c>
      <c r="M92" s="248">
        <v>326</v>
      </c>
      <c r="N92" s="248">
        <f t="shared" si="8"/>
        <v>326</v>
      </c>
      <c r="O92" s="248">
        <v>4035</v>
      </c>
      <c r="P92" s="249">
        <f t="shared" si="9"/>
        <v>4035</v>
      </c>
      <c r="Q92" s="250">
        <f>E92*(M92+O92)</f>
        <v>4361</v>
      </c>
      <c r="R92" s="251"/>
    </row>
    <row r="93" spans="1:19" ht="19.05" customHeight="1" x14ac:dyDescent="0.3">
      <c r="A93" s="254">
        <v>2</v>
      </c>
      <c r="B93" s="255" t="s">
        <v>703</v>
      </c>
      <c r="C93" s="256" t="s">
        <v>661</v>
      </c>
      <c r="D93" s="256" t="s">
        <v>89</v>
      </c>
      <c r="E93" s="254">
        <v>9</v>
      </c>
      <c r="F93" s="254" t="s">
        <v>78</v>
      </c>
      <c r="G93" s="257"/>
      <c r="H93" s="254" t="s">
        <v>90</v>
      </c>
      <c r="I93" s="257" t="s">
        <v>94</v>
      </c>
      <c r="J93" s="257" t="s">
        <v>95</v>
      </c>
      <c r="K93" s="254" t="s">
        <v>82</v>
      </c>
      <c r="L93" s="254" t="s">
        <v>83</v>
      </c>
      <c r="M93" s="258">
        <v>233</v>
      </c>
      <c r="N93" s="258">
        <f t="shared" si="8"/>
        <v>2097</v>
      </c>
      <c r="O93" s="258">
        <v>3360</v>
      </c>
      <c r="P93" s="259">
        <f t="shared" si="9"/>
        <v>30240</v>
      </c>
      <c r="Q93" s="260">
        <f t="shared" ref="Q93:Q110" si="12">E93*(M93+O93)</f>
        <v>32337</v>
      </c>
      <c r="R93" s="261"/>
      <c r="S93" s="57" t="s">
        <v>713</v>
      </c>
    </row>
    <row r="94" spans="1:19" ht="18.600000000000001" customHeight="1" x14ac:dyDescent="0.3">
      <c r="A94" s="244">
        <v>3</v>
      </c>
      <c r="B94" s="245" t="s">
        <v>704</v>
      </c>
      <c r="C94" s="246" t="s">
        <v>348</v>
      </c>
      <c r="D94" s="246" t="s">
        <v>89</v>
      </c>
      <c r="E94" s="244">
        <v>9</v>
      </c>
      <c r="F94" s="244" t="s">
        <v>78</v>
      </c>
      <c r="G94" s="247"/>
      <c r="H94" s="244" t="s">
        <v>349</v>
      </c>
      <c r="I94" s="247" t="s">
        <v>350</v>
      </c>
      <c r="J94" s="247" t="s">
        <v>351</v>
      </c>
      <c r="K94" s="244" t="s">
        <v>82</v>
      </c>
      <c r="L94" s="244" t="s">
        <v>83</v>
      </c>
      <c r="M94" s="248">
        <v>233</v>
      </c>
      <c r="N94" s="248">
        <f t="shared" si="8"/>
        <v>2097</v>
      </c>
      <c r="O94" s="248">
        <v>781</v>
      </c>
      <c r="P94" s="249">
        <f t="shared" si="9"/>
        <v>7029</v>
      </c>
      <c r="Q94" s="250">
        <f t="shared" si="12"/>
        <v>9126</v>
      </c>
      <c r="R94" s="251"/>
    </row>
    <row r="95" spans="1:19" ht="19.05" customHeight="1" x14ac:dyDescent="0.3">
      <c r="A95" s="244">
        <v>4</v>
      </c>
      <c r="B95" s="245" t="s">
        <v>705</v>
      </c>
      <c r="C95" s="246" t="s">
        <v>102</v>
      </c>
      <c r="D95" s="246" t="s">
        <v>89</v>
      </c>
      <c r="E95" s="244">
        <v>9</v>
      </c>
      <c r="F95" s="244" t="s">
        <v>78</v>
      </c>
      <c r="G95" s="247"/>
      <c r="H95" s="244" t="s">
        <v>90</v>
      </c>
      <c r="I95" s="247" t="s">
        <v>352</v>
      </c>
      <c r="J95" s="247" t="s">
        <v>353</v>
      </c>
      <c r="K95" s="244" t="s">
        <v>82</v>
      </c>
      <c r="L95" s="244" t="s">
        <v>83</v>
      </c>
      <c r="M95" s="248">
        <v>17</v>
      </c>
      <c r="N95" s="248">
        <f t="shared" si="8"/>
        <v>153</v>
      </c>
      <c r="O95" s="248">
        <v>276</v>
      </c>
      <c r="P95" s="249">
        <f t="shared" si="9"/>
        <v>2484</v>
      </c>
      <c r="Q95" s="250">
        <f t="shared" si="12"/>
        <v>2637</v>
      </c>
      <c r="R95" s="251"/>
    </row>
    <row r="96" spans="1:19" ht="19.05" customHeight="1" x14ac:dyDescent="0.3">
      <c r="A96" s="244">
        <v>5</v>
      </c>
      <c r="B96" s="245" t="s">
        <v>706</v>
      </c>
      <c r="C96" s="246" t="s">
        <v>354</v>
      </c>
      <c r="D96" s="246" t="s">
        <v>89</v>
      </c>
      <c r="E96" s="244">
        <v>39</v>
      </c>
      <c r="F96" s="244" t="s">
        <v>78</v>
      </c>
      <c r="G96" s="247"/>
      <c r="H96" s="244" t="s">
        <v>90</v>
      </c>
      <c r="I96" s="247" t="s">
        <v>355</v>
      </c>
      <c r="J96" s="247" t="s">
        <v>354</v>
      </c>
      <c r="K96" s="244" t="s">
        <v>82</v>
      </c>
      <c r="L96" s="244" t="s">
        <v>83</v>
      </c>
      <c r="M96" s="248">
        <v>175</v>
      </c>
      <c r="N96" s="248">
        <f t="shared" si="8"/>
        <v>6825</v>
      </c>
      <c r="O96" s="248">
        <v>614</v>
      </c>
      <c r="P96" s="249">
        <f t="shared" si="9"/>
        <v>23946</v>
      </c>
      <c r="Q96" s="250">
        <f t="shared" si="12"/>
        <v>30771</v>
      </c>
      <c r="R96" s="251"/>
    </row>
    <row r="97" spans="1:19" ht="19.05" customHeight="1" x14ac:dyDescent="0.3">
      <c r="A97" s="244">
        <v>6</v>
      </c>
      <c r="B97" s="245" t="s">
        <v>707</v>
      </c>
      <c r="C97" s="246" t="s">
        <v>356</v>
      </c>
      <c r="D97" s="246" t="s">
        <v>349</v>
      </c>
      <c r="E97" s="244">
        <v>14</v>
      </c>
      <c r="F97" s="244" t="s">
        <v>78</v>
      </c>
      <c r="G97" s="247"/>
      <c r="H97" s="244" t="s">
        <v>186</v>
      </c>
      <c r="I97" s="247" t="s">
        <v>357</v>
      </c>
      <c r="J97" s="247" t="s">
        <v>356</v>
      </c>
      <c r="K97" s="244" t="s">
        <v>82</v>
      </c>
      <c r="L97" s="244" t="s">
        <v>83</v>
      </c>
      <c r="M97" s="248">
        <v>140</v>
      </c>
      <c r="N97" s="248">
        <f t="shared" si="8"/>
        <v>1960</v>
      </c>
      <c r="O97" s="248">
        <v>165</v>
      </c>
      <c r="P97" s="249">
        <f t="shared" si="9"/>
        <v>2310</v>
      </c>
      <c r="Q97" s="250">
        <f t="shared" si="12"/>
        <v>4270</v>
      </c>
      <c r="R97" s="251"/>
    </row>
    <row r="98" spans="1:19" ht="19.05" customHeight="1" x14ac:dyDescent="0.3">
      <c r="A98" s="244">
        <v>7</v>
      </c>
      <c r="B98" s="245" t="s">
        <v>708</v>
      </c>
      <c r="C98" s="246" t="s">
        <v>141</v>
      </c>
      <c r="D98" s="246" t="s">
        <v>142</v>
      </c>
      <c r="E98" s="244">
        <f>E92+E93</f>
        <v>10</v>
      </c>
      <c r="F98" s="244" t="s">
        <v>132</v>
      </c>
      <c r="G98" s="247"/>
      <c r="H98" s="244" t="s">
        <v>143</v>
      </c>
      <c r="I98" s="247" t="s">
        <v>144</v>
      </c>
      <c r="J98" s="247" t="s">
        <v>141</v>
      </c>
      <c r="K98" s="244" t="s">
        <v>82</v>
      </c>
      <c r="L98" s="244" t="s">
        <v>83</v>
      </c>
      <c r="M98" s="248">
        <v>52</v>
      </c>
      <c r="N98" s="248">
        <f t="shared" si="8"/>
        <v>520</v>
      </c>
      <c r="O98" s="248">
        <v>71</v>
      </c>
      <c r="P98" s="249">
        <f t="shared" si="9"/>
        <v>710</v>
      </c>
      <c r="Q98" s="250">
        <f t="shared" si="12"/>
        <v>1230</v>
      </c>
      <c r="R98" s="251"/>
    </row>
    <row r="99" spans="1:19" ht="19.05" customHeight="1" x14ac:dyDescent="0.3">
      <c r="A99" s="244">
        <v>8</v>
      </c>
      <c r="B99" s="245" t="s">
        <v>709</v>
      </c>
      <c r="C99" s="246" t="s">
        <v>146</v>
      </c>
      <c r="D99" s="246" t="s">
        <v>147</v>
      </c>
      <c r="E99" s="244">
        <f>E92+E93</f>
        <v>10</v>
      </c>
      <c r="F99" s="244" t="s">
        <v>148</v>
      </c>
      <c r="G99" s="247"/>
      <c r="H99" s="244" t="s">
        <v>149</v>
      </c>
      <c r="I99" s="247" t="s">
        <v>150</v>
      </c>
      <c r="J99" s="247" t="s">
        <v>146</v>
      </c>
      <c r="K99" s="244" t="s">
        <v>82</v>
      </c>
      <c r="L99" s="244" t="s">
        <v>83</v>
      </c>
      <c r="M99" s="248">
        <v>17</v>
      </c>
      <c r="N99" s="248">
        <f t="shared" si="8"/>
        <v>170</v>
      </c>
      <c r="O99" s="248">
        <v>240</v>
      </c>
      <c r="P99" s="249">
        <f t="shared" si="9"/>
        <v>2400</v>
      </c>
      <c r="Q99" s="250">
        <f t="shared" si="12"/>
        <v>2570</v>
      </c>
      <c r="R99" s="251"/>
    </row>
    <row r="100" spans="1:19" ht="19.05" customHeight="1" x14ac:dyDescent="0.3">
      <c r="A100" s="244">
        <v>9</v>
      </c>
      <c r="B100" s="245" t="s">
        <v>710</v>
      </c>
      <c r="C100" s="246" t="s">
        <v>152</v>
      </c>
      <c r="D100" s="246" t="s">
        <v>147</v>
      </c>
      <c r="E100" s="244">
        <v>1</v>
      </c>
      <c r="F100" s="244" t="s">
        <v>132</v>
      </c>
      <c r="G100" s="247"/>
      <c r="H100" s="244" t="s">
        <v>149</v>
      </c>
      <c r="I100" s="247" t="s">
        <v>153</v>
      </c>
      <c r="J100" s="247" t="s">
        <v>152</v>
      </c>
      <c r="K100" s="244" t="s">
        <v>82</v>
      </c>
      <c r="L100" s="244" t="s">
        <v>83</v>
      </c>
      <c r="M100" s="248">
        <v>17</v>
      </c>
      <c r="N100" s="248">
        <f t="shared" si="8"/>
        <v>17</v>
      </c>
      <c r="O100" s="248">
        <v>504</v>
      </c>
      <c r="P100" s="249">
        <f t="shared" si="9"/>
        <v>504</v>
      </c>
      <c r="Q100" s="250">
        <f t="shared" si="12"/>
        <v>521</v>
      </c>
      <c r="R100" s="251"/>
    </row>
    <row r="101" spans="1:19" ht="19.05" customHeight="1" x14ac:dyDescent="0.3">
      <c r="A101" s="79">
        <v>10</v>
      </c>
      <c r="B101" s="242" t="s">
        <v>666</v>
      </c>
      <c r="C101" s="233" t="s">
        <v>154</v>
      </c>
      <c r="D101" s="233" t="s">
        <v>142</v>
      </c>
      <c r="E101" s="232">
        <f>E99*300</f>
        <v>3000</v>
      </c>
      <c r="F101" s="232" t="s">
        <v>155</v>
      </c>
      <c r="G101" s="234"/>
      <c r="H101" s="232" t="s">
        <v>143</v>
      </c>
      <c r="I101" s="234" t="s">
        <v>156</v>
      </c>
      <c r="J101" s="234" t="s">
        <v>154</v>
      </c>
      <c r="K101" s="232" t="s">
        <v>82</v>
      </c>
      <c r="L101" s="232" t="s">
        <v>83</v>
      </c>
      <c r="M101" s="238">
        <v>1</v>
      </c>
      <c r="N101" s="238">
        <f t="shared" ref="N101:N113" si="13">E101*M101</f>
        <v>3000</v>
      </c>
      <c r="O101" s="238">
        <v>2</v>
      </c>
      <c r="P101" s="239">
        <f t="shared" ref="P101:P113" si="14">E101*O101</f>
        <v>6000</v>
      </c>
      <c r="Q101" s="240">
        <f t="shared" si="12"/>
        <v>9000</v>
      </c>
      <c r="R101" s="243"/>
      <c r="S101" s="57" t="s">
        <v>664</v>
      </c>
    </row>
    <row r="102" spans="1:19" ht="19.05" customHeight="1" x14ac:dyDescent="0.3">
      <c r="A102" s="79">
        <v>11</v>
      </c>
      <c r="B102" s="101" t="s">
        <v>157</v>
      </c>
      <c r="C102" s="82" t="s">
        <v>158</v>
      </c>
      <c r="D102" s="82" t="s">
        <v>142</v>
      </c>
      <c r="E102" s="79">
        <v>1</v>
      </c>
      <c r="F102" s="79" t="s">
        <v>132</v>
      </c>
      <c r="G102" s="81"/>
      <c r="H102" s="79" t="s">
        <v>143</v>
      </c>
      <c r="I102" s="81" t="s">
        <v>159</v>
      </c>
      <c r="J102" s="81" t="s">
        <v>158</v>
      </c>
      <c r="K102" s="79" t="s">
        <v>82</v>
      </c>
      <c r="L102" s="79" t="s">
        <v>83</v>
      </c>
      <c r="M102" s="83">
        <v>303</v>
      </c>
      <c r="N102" s="89">
        <f t="shared" si="13"/>
        <v>303</v>
      </c>
      <c r="O102" s="83">
        <v>308</v>
      </c>
      <c r="P102" s="90">
        <f t="shared" si="14"/>
        <v>308</v>
      </c>
      <c r="Q102" s="85">
        <f t="shared" si="12"/>
        <v>611</v>
      </c>
      <c r="R102" s="105"/>
    </row>
    <row r="103" spans="1:19" ht="19.05" customHeight="1" x14ac:dyDescent="0.3">
      <c r="A103" s="79">
        <v>12</v>
      </c>
      <c r="B103" s="101" t="s">
        <v>160</v>
      </c>
      <c r="C103" s="82" t="s">
        <v>161</v>
      </c>
      <c r="D103" s="82" t="s">
        <v>142</v>
      </c>
      <c r="E103" s="79">
        <f>E99</f>
        <v>10</v>
      </c>
      <c r="F103" s="79" t="s">
        <v>132</v>
      </c>
      <c r="G103" s="81"/>
      <c r="H103" s="79" t="s">
        <v>143</v>
      </c>
      <c r="I103" s="81" t="s">
        <v>162</v>
      </c>
      <c r="J103" s="81" t="s">
        <v>161</v>
      </c>
      <c r="K103" s="79" t="s">
        <v>82</v>
      </c>
      <c r="L103" s="79" t="s">
        <v>83</v>
      </c>
      <c r="M103" s="83">
        <v>6</v>
      </c>
      <c r="N103" s="89">
        <f t="shared" si="13"/>
        <v>60</v>
      </c>
      <c r="O103" s="83">
        <v>24</v>
      </c>
      <c r="P103" s="90">
        <f t="shared" si="14"/>
        <v>240</v>
      </c>
      <c r="Q103" s="85">
        <f t="shared" si="12"/>
        <v>300</v>
      </c>
      <c r="R103" s="105"/>
    </row>
    <row r="104" spans="1:19" ht="19.05" customHeight="1" x14ac:dyDescent="0.3">
      <c r="A104" s="79">
        <v>13</v>
      </c>
      <c r="B104" s="101" t="s">
        <v>714</v>
      </c>
      <c r="C104" s="82" t="s">
        <v>358</v>
      </c>
      <c r="D104" s="82" t="s">
        <v>142</v>
      </c>
      <c r="E104" s="79">
        <f>E99*2</f>
        <v>20</v>
      </c>
      <c r="F104" s="79" t="s">
        <v>132</v>
      </c>
      <c r="G104" s="81"/>
      <c r="H104" s="79" t="s">
        <v>143</v>
      </c>
      <c r="I104" s="81" t="s">
        <v>164</v>
      </c>
      <c r="J104" s="81" t="s">
        <v>715</v>
      </c>
      <c r="K104" s="79" t="s">
        <v>82</v>
      </c>
      <c r="L104" s="79" t="s">
        <v>83</v>
      </c>
      <c r="M104" s="83">
        <v>6</v>
      </c>
      <c r="N104" s="89">
        <f t="shared" si="13"/>
        <v>120</v>
      </c>
      <c r="O104" s="83">
        <v>13</v>
      </c>
      <c r="P104" s="90">
        <f t="shared" si="14"/>
        <v>260</v>
      </c>
      <c r="Q104" s="85">
        <f t="shared" si="12"/>
        <v>380</v>
      </c>
      <c r="R104" s="105"/>
    </row>
    <row r="105" spans="1:19" ht="19.05" customHeight="1" x14ac:dyDescent="0.3">
      <c r="A105" s="79">
        <v>14</v>
      </c>
      <c r="B105" s="101" t="s">
        <v>359</v>
      </c>
      <c r="C105" s="82" t="s">
        <v>360</v>
      </c>
      <c r="D105" s="82" t="s">
        <v>167</v>
      </c>
      <c r="E105" s="79">
        <v>1</v>
      </c>
      <c r="F105" s="79" t="s">
        <v>78</v>
      </c>
      <c r="G105" s="81"/>
      <c r="H105" s="79" t="s">
        <v>168</v>
      </c>
      <c r="I105" s="81" t="s">
        <v>361</v>
      </c>
      <c r="J105" s="81" t="s">
        <v>362</v>
      </c>
      <c r="K105" s="79" t="s">
        <v>82</v>
      </c>
      <c r="L105" s="79" t="s">
        <v>83</v>
      </c>
      <c r="M105" s="83">
        <v>58</v>
      </c>
      <c r="N105" s="89">
        <f t="shared" si="13"/>
        <v>58</v>
      </c>
      <c r="O105" s="83">
        <v>2920</v>
      </c>
      <c r="P105" s="90">
        <f t="shared" si="14"/>
        <v>2920</v>
      </c>
      <c r="Q105" s="85">
        <f t="shared" si="12"/>
        <v>2978</v>
      </c>
      <c r="R105" s="105"/>
    </row>
    <row r="106" spans="1:19" ht="19.05" customHeight="1" x14ac:dyDescent="0.3">
      <c r="A106" s="79">
        <v>15</v>
      </c>
      <c r="B106" s="101" t="s">
        <v>171</v>
      </c>
      <c r="C106" s="82" t="s">
        <v>172</v>
      </c>
      <c r="D106" s="82" t="s">
        <v>167</v>
      </c>
      <c r="E106" s="79">
        <f>(E105)*2</f>
        <v>2</v>
      </c>
      <c r="F106" s="79" t="s">
        <v>132</v>
      </c>
      <c r="G106" s="106"/>
      <c r="H106" s="79" t="s">
        <v>168</v>
      </c>
      <c r="I106" s="81" t="s">
        <v>173</v>
      </c>
      <c r="J106" s="81" t="s">
        <v>174</v>
      </c>
      <c r="K106" s="79" t="s">
        <v>82</v>
      </c>
      <c r="L106" s="79" t="s">
        <v>83</v>
      </c>
      <c r="M106" s="107">
        <v>2</v>
      </c>
      <c r="N106" s="89">
        <f t="shared" si="13"/>
        <v>4</v>
      </c>
      <c r="O106" s="107">
        <v>112</v>
      </c>
      <c r="P106" s="90">
        <f t="shared" si="14"/>
        <v>224</v>
      </c>
      <c r="Q106" s="85">
        <f t="shared" si="12"/>
        <v>228</v>
      </c>
      <c r="R106" s="105"/>
    </row>
    <row r="107" spans="1:19" ht="19.05" customHeight="1" x14ac:dyDescent="0.3">
      <c r="A107" s="79">
        <v>16</v>
      </c>
      <c r="B107" s="82" t="s">
        <v>175</v>
      </c>
      <c r="C107" s="82" t="s">
        <v>363</v>
      </c>
      <c r="D107" s="82" t="s">
        <v>142</v>
      </c>
      <c r="E107" s="79">
        <f>E96*70*1.1</f>
        <v>3003.0000000000005</v>
      </c>
      <c r="F107" s="108" t="s">
        <v>155</v>
      </c>
      <c r="G107" s="109"/>
      <c r="H107" s="79" t="s">
        <v>143</v>
      </c>
      <c r="I107" s="81" t="s">
        <v>364</v>
      </c>
      <c r="J107" s="81" t="s">
        <v>363</v>
      </c>
      <c r="K107" s="79" t="s">
        <v>82</v>
      </c>
      <c r="L107" s="79" t="s">
        <v>83</v>
      </c>
      <c r="M107" s="83">
        <v>2</v>
      </c>
      <c r="N107" s="89">
        <f t="shared" si="13"/>
        <v>6006.0000000000009</v>
      </c>
      <c r="O107" s="83">
        <v>6</v>
      </c>
      <c r="P107" s="90">
        <f t="shared" si="14"/>
        <v>18018.000000000004</v>
      </c>
      <c r="Q107" s="85">
        <f t="shared" si="12"/>
        <v>24024.000000000004</v>
      </c>
      <c r="R107" s="105"/>
    </row>
    <row r="108" spans="1:19" ht="19.05" customHeight="1" x14ac:dyDescent="0.3">
      <c r="A108" s="79">
        <v>17</v>
      </c>
      <c r="B108" s="82" t="s">
        <v>365</v>
      </c>
      <c r="C108" s="82" t="s">
        <v>180</v>
      </c>
      <c r="D108" s="82" t="s">
        <v>142</v>
      </c>
      <c r="E108" s="79">
        <f>E97*70*1.1</f>
        <v>1078</v>
      </c>
      <c r="F108" s="108" t="s">
        <v>155</v>
      </c>
      <c r="G108" s="109"/>
      <c r="H108" s="79" t="s">
        <v>143</v>
      </c>
      <c r="I108" s="81" t="s">
        <v>181</v>
      </c>
      <c r="J108" s="81" t="s">
        <v>180</v>
      </c>
      <c r="K108" s="79" t="s">
        <v>82</v>
      </c>
      <c r="L108" s="79" t="s">
        <v>83</v>
      </c>
      <c r="M108" s="83">
        <v>2</v>
      </c>
      <c r="N108" s="89">
        <f t="shared" si="13"/>
        <v>2156</v>
      </c>
      <c r="O108" s="83">
        <v>9</v>
      </c>
      <c r="P108" s="90">
        <f t="shared" si="14"/>
        <v>9702</v>
      </c>
      <c r="Q108" s="85">
        <f t="shared" si="12"/>
        <v>11858</v>
      </c>
      <c r="R108" s="105"/>
    </row>
    <row r="109" spans="1:19" ht="19.05" customHeight="1" x14ac:dyDescent="0.3">
      <c r="A109" s="79">
        <v>18</v>
      </c>
      <c r="B109" s="101" t="s">
        <v>184</v>
      </c>
      <c r="C109" s="82" t="s">
        <v>185</v>
      </c>
      <c r="D109" s="82" t="s">
        <v>186</v>
      </c>
      <c r="E109" s="79">
        <f>E107+E108</f>
        <v>4081.0000000000005</v>
      </c>
      <c r="F109" s="108" t="s">
        <v>155</v>
      </c>
      <c r="G109" s="109"/>
      <c r="H109" s="79" t="s">
        <v>186</v>
      </c>
      <c r="I109" s="81" t="s">
        <v>187</v>
      </c>
      <c r="J109" s="81" t="s">
        <v>188</v>
      </c>
      <c r="K109" s="79" t="s">
        <v>82</v>
      </c>
      <c r="L109" s="79" t="s">
        <v>83</v>
      </c>
      <c r="M109" s="83">
        <v>10</v>
      </c>
      <c r="N109" s="89">
        <f t="shared" si="13"/>
        <v>40810.000000000007</v>
      </c>
      <c r="O109" s="83">
        <v>3</v>
      </c>
      <c r="P109" s="90">
        <f t="shared" si="14"/>
        <v>12243.000000000002</v>
      </c>
      <c r="Q109" s="85">
        <f t="shared" si="12"/>
        <v>53053.000000000007</v>
      </c>
      <c r="R109" s="105"/>
    </row>
    <row r="110" spans="1:19" ht="19.05" customHeight="1" x14ac:dyDescent="0.3">
      <c r="A110" s="87">
        <v>19</v>
      </c>
      <c r="B110" s="88" t="s">
        <v>189</v>
      </c>
      <c r="C110" s="88" t="s">
        <v>190</v>
      </c>
      <c r="D110" s="88"/>
      <c r="E110" s="87">
        <v>1</v>
      </c>
      <c r="F110" s="110" t="s">
        <v>191</v>
      </c>
      <c r="G110" s="109"/>
      <c r="H110" s="79" t="s">
        <v>83</v>
      </c>
      <c r="I110" s="109" t="s">
        <v>83</v>
      </c>
      <c r="J110" s="81" t="s">
        <v>83</v>
      </c>
      <c r="K110" s="79" t="s">
        <v>82</v>
      </c>
      <c r="L110" s="79" t="s">
        <v>83</v>
      </c>
      <c r="M110" s="83">
        <v>5825</v>
      </c>
      <c r="N110" s="89">
        <f t="shared" si="13"/>
        <v>5825</v>
      </c>
      <c r="O110" s="83">
        <v>0</v>
      </c>
      <c r="P110" s="90">
        <f t="shared" si="14"/>
        <v>0</v>
      </c>
      <c r="Q110" s="85">
        <f t="shared" si="12"/>
        <v>5825</v>
      </c>
      <c r="R110" s="105"/>
    </row>
    <row r="111" spans="1:19" ht="19.05" customHeight="1" x14ac:dyDescent="0.3">
      <c r="A111" s="79"/>
      <c r="B111" s="111" t="s">
        <v>366</v>
      </c>
      <c r="C111" s="81"/>
      <c r="D111" s="82"/>
      <c r="E111" s="79"/>
      <c r="F111" s="108"/>
      <c r="G111" s="109"/>
      <c r="H111" s="79"/>
      <c r="I111" s="109"/>
      <c r="J111" s="81"/>
      <c r="K111" s="79"/>
      <c r="L111" s="79"/>
      <c r="M111" s="83"/>
      <c r="N111" s="89">
        <f t="shared" si="13"/>
        <v>0</v>
      </c>
      <c r="O111" s="83"/>
      <c r="P111" s="90">
        <f t="shared" si="14"/>
        <v>0</v>
      </c>
      <c r="Q111" s="112"/>
      <c r="R111" s="105"/>
    </row>
    <row r="112" spans="1:19" ht="19.05" customHeight="1" x14ac:dyDescent="0.3">
      <c r="A112" s="79">
        <v>1</v>
      </c>
      <c r="B112" s="82" t="s">
        <v>367</v>
      </c>
      <c r="C112" s="81"/>
      <c r="D112" s="82"/>
      <c r="E112" s="79">
        <v>1</v>
      </c>
      <c r="F112" s="108" t="s">
        <v>191</v>
      </c>
      <c r="G112" s="109"/>
      <c r="H112" s="79" t="s">
        <v>186</v>
      </c>
      <c r="I112" s="109"/>
      <c r="J112" s="81" t="s">
        <v>368</v>
      </c>
      <c r="K112" s="79" t="s">
        <v>82</v>
      </c>
      <c r="L112" s="79" t="s">
        <v>83</v>
      </c>
      <c r="M112" s="83">
        <v>0</v>
      </c>
      <c r="N112" s="89">
        <f t="shared" si="13"/>
        <v>0</v>
      </c>
      <c r="O112" s="83">
        <v>23363</v>
      </c>
      <c r="P112" s="90">
        <f t="shared" si="14"/>
        <v>23363</v>
      </c>
      <c r="Q112" s="85">
        <f>E112*(M112+O112)</f>
        <v>23363</v>
      </c>
      <c r="R112" s="105"/>
    </row>
    <row r="113" spans="1:18" ht="19.05" customHeight="1" x14ac:dyDescent="0.3">
      <c r="A113" s="79"/>
      <c r="B113" s="82"/>
      <c r="C113" s="81"/>
      <c r="D113" s="82"/>
      <c r="E113" s="109"/>
      <c r="F113" s="113"/>
      <c r="G113" s="109"/>
      <c r="H113" s="79"/>
      <c r="I113" s="109"/>
      <c r="J113" s="81"/>
      <c r="K113" s="79"/>
      <c r="L113" s="79"/>
      <c r="M113" s="83"/>
      <c r="N113" s="89">
        <f t="shared" si="13"/>
        <v>0</v>
      </c>
      <c r="O113" s="83"/>
      <c r="P113" s="90">
        <f t="shared" si="14"/>
        <v>0</v>
      </c>
      <c r="Q113" s="114">
        <f>SUM(Q3:Q112)</f>
        <v>7857359</v>
      </c>
      <c r="R113" s="105"/>
    </row>
    <row r="115" spans="1:18" ht="19.05" customHeight="1" x14ac:dyDescent="0.3">
      <c r="N115" s="115">
        <f>SUM(N4:N114)</f>
        <v>1187731</v>
      </c>
      <c r="P115" s="115">
        <f>SUM(P4:P114)</f>
        <v>6669628</v>
      </c>
    </row>
  </sheetData>
  <autoFilter ref="A2:XFD1048575" xr:uid="{00000000-0009-0000-0000-000003000000}"/>
  <mergeCells count="5">
    <mergeCell ref="A1:F1"/>
    <mergeCell ref="A4:A6"/>
    <mergeCell ref="B4:B6"/>
    <mergeCell ref="C4:C6"/>
    <mergeCell ref="D4:D6"/>
  </mergeCells>
  <phoneticPr fontId="4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outlinePr summaryBelow="0" summaryRight="0"/>
  </sheetPr>
  <dimension ref="A1:AN8"/>
  <sheetViews>
    <sheetView zoomScale="115" zoomScaleNormal="115" workbookViewId="0">
      <pane ySplit="3" topLeftCell="A4" activePane="bottomLeft" state="frozen"/>
      <selection pane="bottomLeft" activeCell="G7" sqref="G7"/>
    </sheetView>
  </sheetViews>
  <sheetFormatPr defaultColWidth="9" defaultRowHeight="14.25" customHeight="1" x14ac:dyDescent="0.3"/>
  <cols>
    <col min="1" max="1" width="11.90625" style="59" customWidth="1"/>
    <col min="2" max="2" width="28.7265625" style="59" customWidth="1"/>
    <col min="3" max="4" width="9.453125" style="59" customWidth="1"/>
    <col min="5" max="5" width="9" style="59"/>
    <col min="6" max="6" width="13.1796875" style="59" customWidth="1"/>
    <col min="7" max="8" width="15.6328125" style="59" customWidth="1"/>
    <col min="9" max="10" width="9" style="59"/>
    <col min="11" max="16" width="12.26953125" style="59" customWidth="1"/>
    <col min="17" max="17" width="11.36328125" style="59" customWidth="1"/>
    <col min="18" max="18" width="12.26953125" style="59" customWidth="1"/>
    <col min="19" max="40" width="9" style="59"/>
    <col min="41" max="16384" width="9" style="58"/>
  </cols>
  <sheetData>
    <row r="1" spans="1:8" s="57" customFormat="1" ht="37.950000000000003" customHeight="1" x14ac:dyDescent="0.3">
      <c r="A1" s="60" t="s">
        <v>0</v>
      </c>
      <c r="B1" s="61"/>
      <c r="C1" s="61"/>
      <c r="D1" s="61"/>
      <c r="E1" s="61"/>
    </row>
    <row r="2" spans="1:8" ht="30" customHeight="1" x14ac:dyDescent="0.3">
      <c r="A2" s="183" t="s">
        <v>369</v>
      </c>
      <c r="B2" s="183"/>
      <c r="C2" s="183"/>
      <c r="D2" s="183"/>
      <c r="E2" s="183"/>
      <c r="F2" s="183"/>
      <c r="G2" s="183"/>
      <c r="H2" s="183"/>
    </row>
    <row r="3" spans="1:8" ht="41.25" customHeight="1" x14ac:dyDescent="0.3">
      <c r="A3" s="62" t="s">
        <v>2</v>
      </c>
      <c r="B3" s="62" t="s">
        <v>370</v>
      </c>
      <c r="C3" s="62" t="s">
        <v>62</v>
      </c>
      <c r="D3" s="62" t="s">
        <v>63</v>
      </c>
      <c r="E3" s="62" t="s">
        <v>4</v>
      </c>
      <c r="F3" s="62" t="s">
        <v>371</v>
      </c>
      <c r="G3" s="62" t="s">
        <v>73</v>
      </c>
      <c r="H3" s="62" t="s">
        <v>372</v>
      </c>
    </row>
    <row r="4" spans="1:8" ht="41.25" customHeight="1" x14ac:dyDescent="0.3">
      <c r="A4" s="62">
        <v>1</v>
      </c>
      <c r="B4" s="62" t="s">
        <v>373</v>
      </c>
      <c r="C4" s="62">
        <v>1</v>
      </c>
      <c r="D4" s="62" t="s">
        <v>191</v>
      </c>
      <c r="E4" s="63">
        <v>0.13</v>
      </c>
      <c r="F4" s="62">
        <f>'软件-产品费用报价明细'!G11</f>
        <v>2270000</v>
      </c>
      <c r="G4" s="62">
        <f>C4*F4</f>
        <v>2270000</v>
      </c>
      <c r="H4" s="62">
        <f>G4*(1+E4)</f>
        <v>2565100</v>
      </c>
    </row>
    <row r="5" spans="1:8" ht="41.25" customHeight="1" x14ac:dyDescent="0.3">
      <c r="A5" s="62">
        <v>2</v>
      </c>
      <c r="B5" s="62" t="s">
        <v>374</v>
      </c>
      <c r="C5" s="62">
        <v>1</v>
      </c>
      <c r="D5" s="62" t="s">
        <v>191</v>
      </c>
      <c r="E5" s="63">
        <v>0.13</v>
      </c>
      <c r="F5" s="62">
        <f>'软件-实施费用报价明细'!N36</f>
        <v>1455000</v>
      </c>
      <c r="G5" s="62">
        <f>C5*F5</f>
        <v>1455000</v>
      </c>
      <c r="H5" s="62">
        <f>G5*(1+E5)</f>
        <v>1644150</v>
      </c>
    </row>
    <row r="6" spans="1:8" ht="41.25" customHeight="1" x14ac:dyDescent="0.3">
      <c r="A6" s="62">
        <v>3</v>
      </c>
      <c r="B6" s="62" t="s">
        <v>375</v>
      </c>
      <c r="C6" s="62">
        <v>2</v>
      </c>
      <c r="D6" s="62" t="s">
        <v>376</v>
      </c>
      <c r="E6" s="63">
        <v>0.13</v>
      </c>
      <c r="F6" s="62">
        <f>G4*5%</f>
        <v>113500</v>
      </c>
      <c r="G6" s="62">
        <f>C6*F6</f>
        <v>227000</v>
      </c>
      <c r="H6" s="62">
        <f>G6*(1+E6)</f>
        <v>256510</v>
      </c>
    </row>
    <row r="7" spans="1:8" ht="41.25" customHeight="1" x14ac:dyDescent="0.3">
      <c r="A7" s="62">
        <v>4</v>
      </c>
      <c r="B7" s="184" t="s">
        <v>377</v>
      </c>
      <c r="C7" s="184"/>
      <c r="D7" s="184"/>
      <c r="E7" s="184"/>
      <c r="F7" s="184"/>
      <c r="G7" s="62">
        <f>SUM(G4:G6)</f>
        <v>3952000</v>
      </c>
      <c r="H7" s="62">
        <f>SUM(H4:H6)</f>
        <v>4465760</v>
      </c>
    </row>
    <row r="8" spans="1:8" ht="181.2" customHeight="1" x14ac:dyDescent="0.3">
      <c r="A8" s="185" t="s">
        <v>378</v>
      </c>
      <c r="B8" s="185"/>
      <c r="C8" s="185"/>
      <c r="D8" s="185"/>
      <c r="E8" s="185"/>
      <c r="F8" s="185"/>
      <c r="G8" s="185"/>
      <c r="H8" s="185"/>
    </row>
  </sheetData>
  <mergeCells count="3">
    <mergeCell ref="A2:H2"/>
    <mergeCell ref="B7:F7"/>
    <mergeCell ref="A8:H8"/>
  </mergeCells>
  <phoneticPr fontId="4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outlinePr summaryBelow="0" summaryRight="0"/>
  </sheetPr>
  <dimension ref="A1:AN12"/>
  <sheetViews>
    <sheetView zoomScale="130" zoomScaleNormal="130" workbookViewId="0">
      <pane ySplit="1" topLeftCell="A2" activePane="bottomLeft" state="frozen"/>
      <selection pane="bottomLeft" activeCell="C14" sqref="C14"/>
    </sheetView>
  </sheetViews>
  <sheetFormatPr defaultColWidth="9" defaultRowHeight="14.25" customHeight="1" x14ac:dyDescent="0.3"/>
  <cols>
    <col min="1" max="1" width="9" style="48"/>
    <col min="2" max="2" width="19.453125" style="48" customWidth="1"/>
    <col min="3" max="3" width="12.6328125" style="48" customWidth="1"/>
    <col min="4" max="4" width="8.1796875" style="48" customWidth="1"/>
    <col min="5" max="5" width="11.6328125" style="48" customWidth="1"/>
    <col min="6" max="7" width="14" style="49" customWidth="1"/>
    <col min="8" max="8" width="13.1796875" style="48" customWidth="1"/>
    <col min="9" max="9" width="17.1796875" style="48" customWidth="1"/>
    <col min="10" max="40" width="9" style="48"/>
    <col min="41" max="16384" width="9" style="22"/>
  </cols>
  <sheetData>
    <row r="1" spans="1:40" s="47" customFormat="1" ht="29.25" customHeight="1" x14ac:dyDescent="0.3">
      <c r="A1" s="43" t="s">
        <v>2</v>
      </c>
      <c r="B1" s="43" t="s">
        <v>379</v>
      </c>
      <c r="C1" s="43" t="s">
        <v>380</v>
      </c>
      <c r="D1" s="43" t="s">
        <v>62</v>
      </c>
      <c r="E1" s="43" t="s">
        <v>63</v>
      </c>
      <c r="F1" s="43" t="s">
        <v>371</v>
      </c>
      <c r="G1" s="43" t="s">
        <v>381</v>
      </c>
      <c r="H1" s="43" t="s">
        <v>382</v>
      </c>
      <c r="I1" s="43" t="s">
        <v>7</v>
      </c>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row>
    <row r="2" spans="1:40" ht="29.25" customHeight="1" x14ac:dyDescent="0.3">
      <c r="A2" s="51">
        <f>ROW()-1</f>
        <v>1</v>
      </c>
      <c r="B2" s="37" t="s">
        <v>383</v>
      </c>
      <c r="C2" s="37" t="s">
        <v>384</v>
      </c>
      <c r="D2" s="37">
        <v>1</v>
      </c>
      <c r="E2" s="37" t="s">
        <v>269</v>
      </c>
      <c r="F2" s="52">
        <v>450000</v>
      </c>
      <c r="G2" s="52">
        <f>D2*F2</f>
        <v>450000</v>
      </c>
      <c r="H2" s="51" t="s">
        <v>385</v>
      </c>
      <c r="I2" s="186" t="s">
        <v>386</v>
      </c>
      <c r="K2" s="50"/>
    </row>
    <row r="3" spans="1:40" ht="29.25" customHeight="1" x14ac:dyDescent="0.3">
      <c r="A3" s="51">
        <f t="shared" ref="A3:A10" si="0">ROW()-1</f>
        <v>2</v>
      </c>
      <c r="B3" s="53" t="s">
        <v>387</v>
      </c>
      <c r="C3" s="54" t="s">
        <v>384</v>
      </c>
      <c r="D3" s="37">
        <v>1</v>
      </c>
      <c r="E3" s="37" t="s">
        <v>269</v>
      </c>
      <c r="F3" s="52">
        <v>300000</v>
      </c>
      <c r="G3" s="52">
        <f t="shared" ref="G3:G10" si="1">D3*F3</f>
        <v>300000</v>
      </c>
      <c r="H3" s="51" t="s">
        <v>385</v>
      </c>
      <c r="I3" s="187"/>
      <c r="K3" s="50"/>
    </row>
    <row r="4" spans="1:40" ht="29.25" customHeight="1" x14ac:dyDescent="0.3">
      <c r="A4" s="51">
        <f t="shared" si="0"/>
        <v>3</v>
      </c>
      <c r="B4" s="53" t="s">
        <v>388</v>
      </c>
      <c r="C4" s="37" t="s">
        <v>384</v>
      </c>
      <c r="D4" s="37">
        <v>1</v>
      </c>
      <c r="E4" s="37" t="s">
        <v>269</v>
      </c>
      <c r="F4" s="52">
        <v>250000</v>
      </c>
      <c r="G4" s="52">
        <f t="shared" si="1"/>
        <v>250000</v>
      </c>
      <c r="H4" s="51" t="s">
        <v>385</v>
      </c>
      <c r="I4" s="187"/>
      <c r="K4" s="50"/>
    </row>
    <row r="5" spans="1:40" ht="37.5" customHeight="1" x14ac:dyDescent="0.3">
      <c r="A5" s="51">
        <f t="shared" si="0"/>
        <v>4</v>
      </c>
      <c r="B5" s="53" t="s">
        <v>389</v>
      </c>
      <c r="C5" s="37" t="s">
        <v>384</v>
      </c>
      <c r="D5" s="37">
        <v>1</v>
      </c>
      <c r="E5" s="37" t="s">
        <v>269</v>
      </c>
      <c r="F5" s="52">
        <v>150000</v>
      </c>
      <c r="G5" s="52">
        <f t="shared" si="1"/>
        <v>150000</v>
      </c>
      <c r="H5" s="51" t="s">
        <v>385</v>
      </c>
      <c r="I5" s="187"/>
      <c r="K5" s="50"/>
    </row>
    <row r="6" spans="1:40" ht="37.5" customHeight="1" x14ac:dyDescent="0.3">
      <c r="A6" s="51">
        <f t="shared" si="0"/>
        <v>5</v>
      </c>
      <c r="B6" s="37" t="s">
        <v>390</v>
      </c>
      <c r="C6" s="37" t="s">
        <v>384</v>
      </c>
      <c r="D6" s="37">
        <v>1</v>
      </c>
      <c r="E6" s="37" t="s">
        <v>269</v>
      </c>
      <c r="F6" s="52">
        <v>300000</v>
      </c>
      <c r="G6" s="52">
        <f t="shared" si="1"/>
        <v>300000</v>
      </c>
      <c r="H6" s="51" t="s">
        <v>385</v>
      </c>
      <c r="I6" s="187"/>
      <c r="K6" s="50"/>
    </row>
    <row r="7" spans="1:40" ht="37.5" customHeight="1" x14ac:dyDescent="0.3">
      <c r="A7" s="51">
        <f t="shared" si="0"/>
        <v>6</v>
      </c>
      <c r="B7" s="37" t="s">
        <v>391</v>
      </c>
      <c r="C7" s="37" t="s">
        <v>384</v>
      </c>
      <c r="D7" s="37">
        <v>1</v>
      </c>
      <c r="E7" s="37" t="s">
        <v>269</v>
      </c>
      <c r="F7" s="52">
        <v>250000</v>
      </c>
      <c r="G7" s="52">
        <f t="shared" si="1"/>
        <v>250000</v>
      </c>
      <c r="H7" s="51" t="s">
        <v>385</v>
      </c>
      <c r="I7" s="187"/>
      <c r="K7" s="50"/>
    </row>
    <row r="8" spans="1:40" ht="37.5" customHeight="1" x14ac:dyDescent="0.3">
      <c r="A8" s="51">
        <f t="shared" si="0"/>
        <v>7</v>
      </c>
      <c r="B8" s="37" t="s">
        <v>392</v>
      </c>
      <c r="C8" s="37" t="s">
        <v>384</v>
      </c>
      <c r="D8" s="37">
        <v>1</v>
      </c>
      <c r="E8" s="37" t="s">
        <v>269</v>
      </c>
      <c r="F8" s="52">
        <v>20000</v>
      </c>
      <c r="G8" s="52">
        <f t="shared" si="1"/>
        <v>20000</v>
      </c>
      <c r="H8" s="51" t="s">
        <v>385</v>
      </c>
      <c r="I8" s="187"/>
      <c r="K8" s="50"/>
    </row>
    <row r="9" spans="1:40" ht="30" customHeight="1" x14ac:dyDescent="0.3">
      <c r="A9" s="51">
        <f t="shared" si="0"/>
        <v>8</v>
      </c>
      <c r="B9" s="37" t="s">
        <v>393</v>
      </c>
      <c r="C9" s="37" t="s">
        <v>384</v>
      </c>
      <c r="D9" s="37">
        <v>1</v>
      </c>
      <c r="E9" s="37" t="s">
        <v>269</v>
      </c>
      <c r="F9" s="52">
        <v>50000</v>
      </c>
      <c r="G9" s="52">
        <f t="shared" si="1"/>
        <v>50000</v>
      </c>
      <c r="H9" s="51" t="s">
        <v>385</v>
      </c>
      <c r="I9" s="187"/>
      <c r="K9" s="50"/>
    </row>
    <row r="10" spans="1:40" ht="26.25" customHeight="1" x14ac:dyDescent="0.3">
      <c r="A10" s="51">
        <f t="shared" si="0"/>
        <v>9</v>
      </c>
      <c r="B10" s="53" t="s">
        <v>394</v>
      </c>
      <c r="C10" s="37" t="s">
        <v>384</v>
      </c>
      <c r="D10" s="37">
        <v>1</v>
      </c>
      <c r="E10" s="37" t="s">
        <v>269</v>
      </c>
      <c r="F10" s="52">
        <v>500000</v>
      </c>
      <c r="G10" s="52">
        <f t="shared" si="1"/>
        <v>500000</v>
      </c>
      <c r="H10" s="51" t="s">
        <v>385</v>
      </c>
      <c r="I10" s="187"/>
      <c r="K10" s="50"/>
    </row>
    <row r="11" spans="1:40" ht="24" customHeight="1" x14ac:dyDescent="0.3">
      <c r="A11" s="51" t="s">
        <v>381</v>
      </c>
      <c r="B11" s="51"/>
      <c r="C11" s="51"/>
      <c r="D11" s="51"/>
      <c r="E11" s="51"/>
      <c r="F11" s="55"/>
      <c r="G11" s="56">
        <f>SUM(G2:G10)</f>
        <v>2270000</v>
      </c>
      <c r="H11" s="51"/>
      <c r="I11" s="51"/>
      <c r="K11" s="50"/>
    </row>
    <row r="12" spans="1:40" ht="14.25" customHeight="1" x14ac:dyDescent="0.3">
      <c r="K12" s="50"/>
    </row>
  </sheetData>
  <mergeCells count="1">
    <mergeCell ref="I2:I10"/>
  </mergeCells>
  <phoneticPr fontId="4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outlinePr summaryBelow="0" summaryRight="0"/>
  </sheetPr>
  <dimension ref="A1:AN44"/>
  <sheetViews>
    <sheetView workbookViewId="0">
      <pane xSplit="1" ySplit="4" topLeftCell="B17" activePane="bottomRight" state="frozen"/>
      <selection pane="topRight"/>
      <selection pane="bottomLeft"/>
      <selection pane="bottomRight" activeCell="C37" sqref="C37:N37"/>
    </sheetView>
  </sheetViews>
  <sheetFormatPr defaultColWidth="8.81640625" defaultRowHeight="14.25" customHeight="1" x14ac:dyDescent="0.25"/>
  <cols>
    <col min="1" max="1" width="13.81640625" style="24" customWidth="1"/>
    <col min="2" max="2" width="16" style="24" customWidth="1"/>
    <col min="3" max="3" width="9.81640625" style="24" customWidth="1"/>
    <col min="4" max="10" width="17.81640625" style="24" customWidth="1"/>
    <col min="11" max="11" width="20.08984375" style="24" customWidth="1"/>
    <col min="12" max="12" width="9.81640625" style="24" customWidth="1"/>
    <col min="13" max="13" width="15.81640625" style="24" customWidth="1"/>
    <col min="14" max="14" width="12.81640625" style="24" customWidth="1"/>
    <col min="15" max="40" width="8.81640625" style="24"/>
    <col min="41" max="16384" width="8.81640625" style="22"/>
  </cols>
  <sheetData>
    <row r="1" spans="1:14" s="21" customFormat="1" ht="25.5" customHeight="1" x14ac:dyDescent="0.15">
      <c r="A1" s="188" t="s">
        <v>395</v>
      </c>
      <c r="B1" s="189"/>
      <c r="C1" s="189"/>
      <c r="D1" s="189"/>
      <c r="E1" s="189"/>
      <c r="F1" s="189"/>
      <c r="G1" s="189"/>
      <c r="H1" s="189"/>
      <c r="I1" s="189"/>
      <c r="J1" s="189"/>
      <c r="K1" s="25"/>
      <c r="L1" s="25"/>
      <c r="M1" s="25"/>
      <c r="N1" s="25"/>
    </row>
    <row r="2" spans="1:14" ht="25.5" customHeight="1" x14ac:dyDescent="0.25">
      <c r="A2" s="190" t="s">
        <v>396</v>
      </c>
      <c r="B2" s="191"/>
      <c r="C2" s="191"/>
      <c r="D2" s="191"/>
      <c r="E2" s="191"/>
      <c r="F2" s="191"/>
      <c r="G2" s="191"/>
      <c r="H2" s="191"/>
      <c r="I2" s="191"/>
      <c r="J2" s="191"/>
      <c r="K2" s="191"/>
      <c r="L2" s="191"/>
      <c r="M2" s="191"/>
      <c r="N2" s="192"/>
    </row>
    <row r="3" spans="1:14" s="23" customFormat="1" ht="14.25" customHeight="1" x14ac:dyDescent="0.3">
      <c r="A3" s="207" t="s">
        <v>397</v>
      </c>
      <c r="B3" s="196" t="s">
        <v>398</v>
      </c>
      <c r="C3" s="214" t="s">
        <v>399</v>
      </c>
      <c r="D3" s="193" t="s">
        <v>400</v>
      </c>
      <c r="E3" s="194"/>
      <c r="F3" s="194"/>
      <c r="G3" s="194"/>
      <c r="H3" s="194"/>
      <c r="I3" s="194"/>
      <c r="J3" s="194"/>
      <c r="K3" s="194"/>
      <c r="L3" s="195"/>
      <c r="M3" s="196" t="s">
        <v>401</v>
      </c>
      <c r="N3" s="197"/>
    </row>
    <row r="4" spans="1:14" s="23" customFormat="1" ht="15.6" x14ac:dyDescent="0.3">
      <c r="A4" s="208"/>
      <c r="B4" s="211"/>
      <c r="C4" s="215"/>
      <c r="D4" s="27" t="s">
        <v>402</v>
      </c>
      <c r="E4" s="27" t="s">
        <v>403</v>
      </c>
      <c r="F4" s="27" t="s">
        <v>404</v>
      </c>
      <c r="G4" s="27" t="s">
        <v>405</v>
      </c>
      <c r="H4" s="27" t="s">
        <v>406</v>
      </c>
      <c r="I4" s="27" t="s">
        <v>407</v>
      </c>
      <c r="J4" s="27" t="s">
        <v>408</v>
      </c>
      <c r="K4" s="27" t="s">
        <v>409</v>
      </c>
      <c r="L4" s="216" t="s">
        <v>410</v>
      </c>
      <c r="M4" s="217" t="s">
        <v>411</v>
      </c>
      <c r="N4" s="219" t="s">
        <v>412</v>
      </c>
    </row>
    <row r="5" spans="1:14" s="23" customFormat="1" ht="16.5" customHeight="1" x14ac:dyDescent="0.3">
      <c r="A5" s="28"/>
      <c r="B5" s="26" t="s">
        <v>413</v>
      </c>
      <c r="C5" s="29" t="s">
        <v>414</v>
      </c>
      <c r="D5" s="30" t="s">
        <v>415</v>
      </c>
      <c r="E5" s="30" t="s">
        <v>416</v>
      </c>
      <c r="F5" s="30" t="s">
        <v>417</v>
      </c>
      <c r="G5" s="30" t="s">
        <v>418</v>
      </c>
      <c r="H5" s="30" t="s">
        <v>419</v>
      </c>
      <c r="I5" s="30" t="s">
        <v>420</v>
      </c>
      <c r="J5" s="30" t="s">
        <v>421</v>
      </c>
      <c r="K5" s="30" t="s">
        <v>422</v>
      </c>
      <c r="L5" s="215"/>
      <c r="M5" s="218"/>
      <c r="N5" s="220"/>
    </row>
    <row r="6" spans="1:14" ht="14.25" customHeight="1" x14ac:dyDescent="0.25">
      <c r="A6" s="209"/>
      <c r="B6" s="212" t="s">
        <v>423</v>
      </c>
      <c r="C6" s="31" t="s">
        <v>424</v>
      </c>
      <c r="D6" s="31">
        <v>8</v>
      </c>
      <c r="E6" s="31">
        <v>10</v>
      </c>
      <c r="F6" s="31">
        <v>12</v>
      </c>
      <c r="G6" s="31">
        <v>20</v>
      </c>
      <c r="H6" s="31">
        <v>8</v>
      </c>
      <c r="I6" s="31">
        <v>5</v>
      </c>
      <c r="J6" s="31">
        <v>15</v>
      </c>
      <c r="K6" s="31">
        <v>0</v>
      </c>
      <c r="L6" s="32">
        <f t="shared" ref="L6:L35" si="0">SUM(D6:K6)</f>
        <v>78</v>
      </c>
      <c r="M6" s="33">
        <v>2000</v>
      </c>
      <c r="N6" s="34">
        <f t="shared" ref="N6:N35" si="1">M6*L6</f>
        <v>156000</v>
      </c>
    </row>
    <row r="7" spans="1:14" ht="14.25" customHeight="1" x14ac:dyDescent="0.25">
      <c r="A7" s="210"/>
      <c r="B7" s="213"/>
      <c r="C7" s="35" t="s">
        <v>425</v>
      </c>
      <c r="D7" s="36">
        <v>0</v>
      </c>
      <c r="E7" s="36">
        <v>0</v>
      </c>
      <c r="F7" s="36">
        <v>0</v>
      </c>
      <c r="G7" s="36">
        <v>0</v>
      </c>
      <c r="H7" s="36">
        <v>0</v>
      </c>
      <c r="I7" s="36">
        <v>0</v>
      </c>
      <c r="J7" s="36">
        <v>0</v>
      </c>
      <c r="K7" s="36">
        <v>0</v>
      </c>
      <c r="L7" s="37">
        <f t="shared" si="0"/>
        <v>0</v>
      </c>
      <c r="M7" s="38">
        <v>2000</v>
      </c>
      <c r="N7" s="39">
        <f t="shared" si="1"/>
        <v>0</v>
      </c>
    </row>
    <row r="8" spans="1:14" ht="14.25" customHeight="1" x14ac:dyDescent="0.25">
      <c r="A8" s="209"/>
      <c r="B8" s="212" t="s">
        <v>426</v>
      </c>
      <c r="C8" s="31" t="s">
        <v>424</v>
      </c>
      <c r="D8" s="31">
        <v>3</v>
      </c>
      <c r="E8" s="31">
        <v>5</v>
      </c>
      <c r="F8" s="31">
        <v>0</v>
      </c>
      <c r="G8" s="31">
        <v>0</v>
      </c>
      <c r="H8" s="31">
        <v>0</v>
      </c>
      <c r="I8" s="31">
        <v>0</v>
      </c>
      <c r="J8" s="31">
        <v>0</v>
      </c>
      <c r="K8" s="31">
        <v>0</v>
      </c>
      <c r="L8" s="32">
        <f t="shared" si="0"/>
        <v>8</v>
      </c>
      <c r="M8" s="33">
        <v>2000</v>
      </c>
      <c r="N8" s="34">
        <f t="shared" si="1"/>
        <v>16000</v>
      </c>
    </row>
    <row r="9" spans="1:14" ht="14.25" customHeight="1" x14ac:dyDescent="0.25">
      <c r="A9" s="210"/>
      <c r="B9" s="213"/>
      <c r="C9" s="35" t="s">
        <v>425</v>
      </c>
      <c r="D9" s="40">
        <v>0</v>
      </c>
      <c r="E9" s="35">
        <v>5</v>
      </c>
      <c r="F9" s="35">
        <v>15</v>
      </c>
      <c r="G9" s="35">
        <v>5</v>
      </c>
      <c r="H9" s="35">
        <v>0</v>
      </c>
      <c r="I9" s="35">
        <v>0</v>
      </c>
      <c r="J9" s="35">
        <v>0</v>
      </c>
      <c r="K9" s="35">
        <v>0</v>
      </c>
      <c r="L9" s="37">
        <f t="shared" si="0"/>
        <v>25</v>
      </c>
      <c r="M9" s="38">
        <v>2000</v>
      </c>
      <c r="N9" s="39">
        <f t="shared" si="1"/>
        <v>50000</v>
      </c>
    </row>
    <row r="10" spans="1:14" ht="14.25" customHeight="1" x14ac:dyDescent="0.25">
      <c r="A10" s="209"/>
      <c r="B10" s="212" t="s">
        <v>427</v>
      </c>
      <c r="C10" s="31" t="s">
        <v>424</v>
      </c>
      <c r="D10" s="31">
        <v>3</v>
      </c>
      <c r="E10" s="31">
        <v>0</v>
      </c>
      <c r="F10" s="31">
        <v>0</v>
      </c>
      <c r="G10" s="31">
        <v>0</v>
      </c>
      <c r="H10" s="31">
        <v>0</v>
      </c>
      <c r="I10" s="31">
        <v>0</v>
      </c>
      <c r="J10" s="31">
        <v>0</v>
      </c>
      <c r="K10" s="31">
        <v>0</v>
      </c>
      <c r="L10" s="32">
        <f t="shared" si="0"/>
        <v>3</v>
      </c>
      <c r="M10" s="33">
        <v>2000</v>
      </c>
      <c r="N10" s="34">
        <f t="shared" si="1"/>
        <v>6000</v>
      </c>
    </row>
    <row r="11" spans="1:14" ht="14.25" customHeight="1" x14ac:dyDescent="0.25">
      <c r="A11" s="210"/>
      <c r="B11" s="213"/>
      <c r="C11" s="35" t="s">
        <v>425</v>
      </c>
      <c r="D11" s="40">
        <v>0</v>
      </c>
      <c r="E11" s="35">
        <v>10</v>
      </c>
      <c r="F11" s="35">
        <v>15</v>
      </c>
      <c r="G11" s="35">
        <v>0</v>
      </c>
      <c r="H11" s="35">
        <v>0</v>
      </c>
      <c r="I11" s="35">
        <v>0</v>
      </c>
      <c r="J11" s="35">
        <v>0</v>
      </c>
      <c r="K11" s="35">
        <v>0</v>
      </c>
      <c r="L11" s="37">
        <f t="shared" si="0"/>
        <v>25</v>
      </c>
      <c r="M11" s="38">
        <v>2000</v>
      </c>
      <c r="N11" s="39">
        <f t="shared" si="1"/>
        <v>50000</v>
      </c>
    </row>
    <row r="12" spans="1:14" ht="14.25" customHeight="1" x14ac:dyDescent="0.25">
      <c r="A12" s="209"/>
      <c r="B12" s="212" t="s">
        <v>428</v>
      </c>
      <c r="C12" s="31" t="s">
        <v>424</v>
      </c>
      <c r="D12" s="31">
        <v>0</v>
      </c>
      <c r="E12" s="31">
        <v>5</v>
      </c>
      <c r="F12" s="31">
        <v>0</v>
      </c>
      <c r="G12" s="31">
        <v>0</v>
      </c>
      <c r="H12" s="31">
        <v>0</v>
      </c>
      <c r="I12" s="31">
        <v>0</v>
      </c>
      <c r="J12" s="31">
        <v>0</v>
      </c>
      <c r="K12" s="31">
        <v>0</v>
      </c>
      <c r="L12" s="32">
        <f t="shared" si="0"/>
        <v>5</v>
      </c>
      <c r="M12" s="33">
        <v>2000</v>
      </c>
      <c r="N12" s="34">
        <f t="shared" si="1"/>
        <v>10000</v>
      </c>
    </row>
    <row r="13" spans="1:14" ht="14.25" customHeight="1" x14ac:dyDescent="0.25">
      <c r="A13" s="210"/>
      <c r="B13" s="213"/>
      <c r="C13" s="35" t="s">
        <v>425</v>
      </c>
      <c r="D13" s="40">
        <v>3</v>
      </c>
      <c r="E13" s="35">
        <v>5</v>
      </c>
      <c r="F13" s="35">
        <v>15</v>
      </c>
      <c r="G13" s="35">
        <v>10</v>
      </c>
      <c r="H13" s="35">
        <v>0</v>
      </c>
      <c r="I13" s="35">
        <v>0</v>
      </c>
      <c r="J13" s="35">
        <v>0</v>
      </c>
      <c r="K13" s="35">
        <v>0</v>
      </c>
      <c r="L13" s="37">
        <f t="shared" si="0"/>
        <v>33</v>
      </c>
      <c r="M13" s="38">
        <v>2000</v>
      </c>
      <c r="N13" s="39">
        <f t="shared" si="1"/>
        <v>66000</v>
      </c>
    </row>
    <row r="14" spans="1:14" ht="14.25" customHeight="1" x14ac:dyDescent="0.25">
      <c r="A14" s="209"/>
      <c r="B14" s="212" t="s">
        <v>429</v>
      </c>
      <c r="C14" s="31" t="s">
        <v>424</v>
      </c>
      <c r="D14" s="31">
        <v>0</v>
      </c>
      <c r="E14" s="31">
        <v>0</v>
      </c>
      <c r="F14" s="31">
        <v>0</v>
      </c>
      <c r="G14" s="31">
        <v>0</v>
      </c>
      <c r="H14" s="31">
        <v>0</v>
      </c>
      <c r="I14" s="31">
        <v>0</v>
      </c>
      <c r="J14" s="31">
        <v>0</v>
      </c>
      <c r="K14" s="31">
        <v>0</v>
      </c>
      <c r="L14" s="32">
        <f t="shared" si="0"/>
        <v>0</v>
      </c>
      <c r="M14" s="33">
        <v>1500</v>
      </c>
      <c r="N14" s="34">
        <f t="shared" si="1"/>
        <v>0</v>
      </c>
    </row>
    <row r="15" spans="1:14" ht="14.25" customHeight="1" x14ac:dyDescent="0.25">
      <c r="A15" s="210"/>
      <c r="B15" s="213"/>
      <c r="C15" s="35" t="s">
        <v>425</v>
      </c>
      <c r="D15" s="35">
        <v>0</v>
      </c>
      <c r="E15" s="35">
        <v>3</v>
      </c>
      <c r="F15" s="35">
        <v>10</v>
      </c>
      <c r="G15" s="35">
        <v>2</v>
      </c>
      <c r="H15" s="35">
        <v>0</v>
      </c>
      <c r="I15" s="35">
        <v>0</v>
      </c>
      <c r="J15" s="35">
        <v>0</v>
      </c>
      <c r="K15" s="35">
        <v>0</v>
      </c>
      <c r="L15" s="37">
        <f t="shared" si="0"/>
        <v>15</v>
      </c>
      <c r="M15" s="38">
        <v>1500</v>
      </c>
      <c r="N15" s="39">
        <f t="shared" si="1"/>
        <v>22500</v>
      </c>
    </row>
    <row r="16" spans="1:14" ht="14.25" customHeight="1" x14ac:dyDescent="0.25">
      <c r="A16" s="209"/>
      <c r="B16" s="212" t="s">
        <v>430</v>
      </c>
      <c r="C16" s="31" t="s">
        <v>424</v>
      </c>
      <c r="D16" s="31">
        <v>0</v>
      </c>
      <c r="E16" s="31">
        <v>0</v>
      </c>
      <c r="F16" s="31">
        <v>0</v>
      </c>
      <c r="G16" s="31">
        <v>0</v>
      </c>
      <c r="H16" s="31">
        <v>0</v>
      </c>
      <c r="I16" s="31">
        <v>0</v>
      </c>
      <c r="J16" s="31">
        <v>0</v>
      </c>
      <c r="K16" s="31">
        <v>0</v>
      </c>
      <c r="L16" s="32">
        <f t="shared" si="0"/>
        <v>0</v>
      </c>
      <c r="M16" s="33">
        <v>2000</v>
      </c>
      <c r="N16" s="34">
        <f t="shared" si="1"/>
        <v>0</v>
      </c>
    </row>
    <row r="17" spans="1:14" ht="14.25" customHeight="1" x14ac:dyDescent="0.25">
      <c r="A17" s="210"/>
      <c r="B17" s="213"/>
      <c r="C17" s="35" t="s">
        <v>425</v>
      </c>
      <c r="D17" s="35">
        <v>0</v>
      </c>
      <c r="E17" s="35">
        <v>0</v>
      </c>
      <c r="F17" s="35">
        <v>0</v>
      </c>
      <c r="G17" s="35">
        <v>60</v>
      </c>
      <c r="H17" s="35">
        <v>10</v>
      </c>
      <c r="I17" s="35">
        <v>2</v>
      </c>
      <c r="J17" s="35">
        <v>0</v>
      </c>
      <c r="K17" s="35">
        <v>0</v>
      </c>
      <c r="L17" s="37">
        <f t="shared" si="0"/>
        <v>72</v>
      </c>
      <c r="M17" s="38">
        <v>2000</v>
      </c>
      <c r="N17" s="39">
        <f t="shared" si="1"/>
        <v>144000</v>
      </c>
    </row>
    <row r="18" spans="1:14" ht="14.25" customHeight="1" x14ac:dyDescent="0.25">
      <c r="A18" s="209"/>
      <c r="B18" s="212" t="s">
        <v>431</v>
      </c>
      <c r="C18" s="31" t="s">
        <v>424</v>
      </c>
      <c r="D18" s="31">
        <v>0</v>
      </c>
      <c r="E18" s="31">
        <v>0</v>
      </c>
      <c r="F18" s="31">
        <v>0</v>
      </c>
      <c r="G18" s="31">
        <v>0</v>
      </c>
      <c r="H18" s="31">
        <v>0</v>
      </c>
      <c r="I18" s="31">
        <v>0</v>
      </c>
      <c r="J18" s="31">
        <v>0</v>
      </c>
      <c r="K18" s="31">
        <v>0</v>
      </c>
      <c r="L18" s="32">
        <f t="shared" si="0"/>
        <v>0</v>
      </c>
      <c r="M18" s="33">
        <v>2000</v>
      </c>
      <c r="N18" s="34">
        <f t="shared" si="1"/>
        <v>0</v>
      </c>
    </row>
    <row r="19" spans="1:14" ht="14.25" customHeight="1" x14ac:dyDescent="0.25">
      <c r="A19" s="210"/>
      <c r="B19" s="213"/>
      <c r="C19" s="35" t="s">
        <v>425</v>
      </c>
      <c r="D19" s="35">
        <v>0</v>
      </c>
      <c r="E19" s="35">
        <v>0</v>
      </c>
      <c r="F19" s="35">
        <v>0</v>
      </c>
      <c r="G19" s="35">
        <v>60</v>
      </c>
      <c r="H19" s="35">
        <v>10</v>
      </c>
      <c r="I19" s="35">
        <v>2</v>
      </c>
      <c r="J19" s="35">
        <v>0</v>
      </c>
      <c r="K19" s="35">
        <v>0</v>
      </c>
      <c r="L19" s="37">
        <f t="shared" si="0"/>
        <v>72</v>
      </c>
      <c r="M19" s="38">
        <v>2000</v>
      </c>
      <c r="N19" s="39">
        <f t="shared" si="1"/>
        <v>144000</v>
      </c>
    </row>
    <row r="20" spans="1:14" ht="14.25" customHeight="1" x14ac:dyDescent="0.25">
      <c r="A20" s="209"/>
      <c r="B20" s="212" t="s">
        <v>432</v>
      </c>
      <c r="C20" s="31" t="s">
        <v>424</v>
      </c>
      <c r="D20" s="31">
        <v>0</v>
      </c>
      <c r="E20" s="31">
        <v>0</v>
      </c>
      <c r="F20" s="31">
        <v>0</v>
      </c>
      <c r="G20" s="31">
        <v>0</v>
      </c>
      <c r="H20" s="31">
        <v>0</v>
      </c>
      <c r="I20" s="31">
        <v>0</v>
      </c>
      <c r="J20" s="31">
        <v>0</v>
      </c>
      <c r="K20" s="31">
        <v>0</v>
      </c>
      <c r="L20" s="32">
        <f t="shared" si="0"/>
        <v>0</v>
      </c>
      <c r="M20" s="33">
        <v>2000</v>
      </c>
      <c r="N20" s="34">
        <f t="shared" si="1"/>
        <v>0</v>
      </c>
    </row>
    <row r="21" spans="1:14" ht="14.25" customHeight="1" x14ac:dyDescent="0.25">
      <c r="A21" s="210"/>
      <c r="B21" s="213"/>
      <c r="C21" s="35" t="s">
        <v>425</v>
      </c>
      <c r="D21" s="35">
        <v>0</v>
      </c>
      <c r="E21" s="35">
        <v>0</v>
      </c>
      <c r="F21" s="35">
        <v>0</v>
      </c>
      <c r="G21" s="35">
        <v>60</v>
      </c>
      <c r="H21" s="35">
        <v>10</v>
      </c>
      <c r="I21" s="35">
        <v>2</v>
      </c>
      <c r="J21" s="35">
        <v>0</v>
      </c>
      <c r="K21" s="35">
        <v>0</v>
      </c>
      <c r="L21" s="37">
        <f t="shared" si="0"/>
        <v>72</v>
      </c>
      <c r="M21" s="38">
        <v>2000</v>
      </c>
      <c r="N21" s="39">
        <f t="shared" si="1"/>
        <v>144000</v>
      </c>
    </row>
    <row r="22" spans="1:14" ht="14.25" customHeight="1" x14ac:dyDescent="0.25">
      <c r="A22" s="209"/>
      <c r="B22" s="212" t="s">
        <v>433</v>
      </c>
      <c r="C22" s="31" t="s">
        <v>424</v>
      </c>
      <c r="D22" s="31">
        <v>0</v>
      </c>
      <c r="E22" s="31">
        <v>0</v>
      </c>
      <c r="F22" s="31">
        <v>0</v>
      </c>
      <c r="G22" s="31">
        <v>0</v>
      </c>
      <c r="H22" s="31">
        <v>0</v>
      </c>
      <c r="I22" s="31">
        <v>0</v>
      </c>
      <c r="J22" s="31">
        <v>0</v>
      </c>
      <c r="K22" s="31">
        <v>0</v>
      </c>
      <c r="L22" s="32">
        <f t="shared" si="0"/>
        <v>0</v>
      </c>
      <c r="M22" s="33">
        <v>2000</v>
      </c>
      <c r="N22" s="34">
        <f t="shared" si="1"/>
        <v>0</v>
      </c>
    </row>
    <row r="23" spans="1:14" ht="14.25" customHeight="1" x14ac:dyDescent="0.25">
      <c r="A23" s="210"/>
      <c r="B23" s="213"/>
      <c r="C23" s="35" t="s">
        <v>425</v>
      </c>
      <c r="D23" s="35">
        <v>0</v>
      </c>
      <c r="E23" s="35">
        <v>0</v>
      </c>
      <c r="F23" s="35">
        <v>0</v>
      </c>
      <c r="G23" s="35">
        <v>60</v>
      </c>
      <c r="H23" s="35">
        <v>10</v>
      </c>
      <c r="I23" s="35">
        <v>2</v>
      </c>
      <c r="J23" s="35">
        <v>0</v>
      </c>
      <c r="K23" s="35">
        <v>0</v>
      </c>
      <c r="L23" s="37">
        <f t="shared" si="0"/>
        <v>72</v>
      </c>
      <c r="M23" s="38">
        <v>2000</v>
      </c>
      <c r="N23" s="39">
        <f t="shared" si="1"/>
        <v>144000</v>
      </c>
    </row>
    <row r="24" spans="1:14" ht="14.25" customHeight="1" x14ac:dyDescent="0.25">
      <c r="A24" s="209"/>
      <c r="B24" s="212" t="s">
        <v>434</v>
      </c>
      <c r="C24" s="31" t="s">
        <v>424</v>
      </c>
      <c r="D24" s="31">
        <v>0</v>
      </c>
      <c r="E24" s="31">
        <v>0</v>
      </c>
      <c r="F24" s="31">
        <v>0</v>
      </c>
      <c r="G24" s="31">
        <v>0</v>
      </c>
      <c r="H24" s="31">
        <v>0</v>
      </c>
      <c r="I24" s="31">
        <v>0</v>
      </c>
      <c r="J24" s="31">
        <v>0</v>
      </c>
      <c r="K24" s="31">
        <v>0</v>
      </c>
      <c r="L24" s="32">
        <f t="shared" si="0"/>
        <v>0</v>
      </c>
      <c r="M24" s="33">
        <v>1200</v>
      </c>
      <c r="N24" s="34">
        <f t="shared" si="1"/>
        <v>0</v>
      </c>
    </row>
    <row r="25" spans="1:14" ht="14.25" customHeight="1" x14ac:dyDescent="0.25">
      <c r="A25" s="210"/>
      <c r="B25" s="213"/>
      <c r="C25" s="35" t="s">
        <v>425</v>
      </c>
      <c r="D25" s="35">
        <v>0</v>
      </c>
      <c r="E25" s="35">
        <v>0</v>
      </c>
      <c r="F25" s="35">
        <v>0</v>
      </c>
      <c r="G25" s="35">
        <v>0</v>
      </c>
      <c r="H25" s="35">
        <v>30</v>
      </c>
      <c r="I25" s="35">
        <v>0</v>
      </c>
      <c r="J25" s="35">
        <v>0</v>
      </c>
      <c r="K25" s="35">
        <v>0</v>
      </c>
      <c r="L25" s="37">
        <f t="shared" si="0"/>
        <v>30</v>
      </c>
      <c r="M25" s="38">
        <v>1200</v>
      </c>
      <c r="N25" s="39">
        <f t="shared" si="1"/>
        <v>36000</v>
      </c>
    </row>
    <row r="26" spans="1:14" ht="14.25" customHeight="1" x14ac:dyDescent="0.25">
      <c r="A26" s="209"/>
      <c r="B26" s="212" t="s">
        <v>435</v>
      </c>
      <c r="C26" s="31" t="s">
        <v>424</v>
      </c>
      <c r="D26" s="31">
        <v>0</v>
      </c>
      <c r="E26" s="31">
        <v>0</v>
      </c>
      <c r="F26" s="31">
        <v>0</v>
      </c>
      <c r="G26" s="31">
        <v>0</v>
      </c>
      <c r="H26" s="31">
        <v>0</v>
      </c>
      <c r="I26" s="31">
        <v>0</v>
      </c>
      <c r="J26" s="31">
        <v>0</v>
      </c>
      <c r="K26" s="31">
        <v>0</v>
      </c>
      <c r="L26" s="32">
        <f t="shared" si="0"/>
        <v>0</v>
      </c>
      <c r="M26" s="33">
        <v>1200</v>
      </c>
      <c r="N26" s="34">
        <f t="shared" si="1"/>
        <v>0</v>
      </c>
    </row>
    <row r="27" spans="1:14" ht="14.25" customHeight="1" x14ac:dyDescent="0.25">
      <c r="A27" s="210"/>
      <c r="B27" s="213"/>
      <c r="C27" s="35" t="s">
        <v>425</v>
      </c>
      <c r="D27" s="35">
        <v>0</v>
      </c>
      <c r="E27" s="35">
        <v>0</v>
      </c>
      <c r="F27" s="35">
        <v>0</v>
      </c>
      <c r="G27" s="35">
        <v>0</v>
      </c>
      <c r="H27" s="35">
        <v>30</v>
      </c>
      <c r="I27" s="35">
        <v>0</v>
      </c>
      <c r="J27" s="35">
        <v>0</v>
      </c>
      <c r="K27" s="35">
        <v>0</v>
      </c>
      <c r="L27" s="37">
        <f t="shared" si="0"/>
        <v>30</v>
      </c>
      <c r="M27" s="38">
        <v>1200</v>
      </c>
      <c r="N27" s="39">
        <f t="shared" si="1"/>
        <v>36000</v>
      </c>
    </row>
    <row r="28" spans="1:14" ht="14.25" customHeight="1" x14ac:dyDescent="0.25">
      <c r="A28" s="209"/>
      <c r="B28" s="212" t="s">
        <v>436</v>
      </c>
      <c r="C28" s="31" t="s">
        <v>424</v>
      </c>
      <c r="D28" s="31">
        <v>0</v>
      </c>
      <c r="E28" s="31">
        <v>0</v>
      </c>
      <c r="F28" s="31">
        <v>0</v>
      </c>
      <c r="G28" s="31">
        <v>0</v>
      </c>
      <c r="H28" s="31">
        <v>0</v>
      </c>
      <c r="I28" s="31">
        <v>40</v>
      </c>
      <c r="J28" s="31">
        <v>30</v>
      </c>
      <c r="K28" s="31">
        <v>0</v>
      </c>
      <c r="L28" s="32">
        <f t="shared" si="0"/>
        <v>70</v>
      </c>
      <c r="M28" s="33">
        <v>1500</v>
      </c>
      <c r="N28" s="34">
        <f t="shared" si="1"/>
        <v>105000</v>
      </c>
    </row>
    <row r="29" spans="1:14" ht="14.25" customHeight="1" x14ac:dyDescent="0.25">
      <c r="A29" s="210"/>
      <c r="B29" s="213"/>
      <c r="C29" s="35" t="s">
        <v>425</v>
      </c>
      <c r="D29" s="35">
        <v>0</v>
      </c>
      <c r="E29" s="35">
        <v>0</v>
      </c>
      <c r="F29" s="35">
        <v>0</v>
      </c>
      <c r="G29" s="35">
        <v>0</v>
      </c>
      <c r="H29" s="35">
        <v>0</v>
      </c>
      <c r="I29" s="35">
        <v>0</v>
      </c>
      <c r="J29" s="35">
        <v>0</v>
      </c>
      <c r="K29" s="35">
        <v>0</v>
      </c>
      <c r="L29" s="37">
        <f t="shared" si="0"/>
        <v>0</v>
      </c>
      <c r="M29" s="38">
        <v>1500</v>
      </c>
      <c r="N29" s="39">
        <f t="shared" si="1"/>
        <v>0</v>
      </c>
    </row>
    <row r="30" spans="1:14" ht="14.25" customHeight="1" x14ac:dyDescent="0.25">
      <c r="A30" s="209"/>
      <c r="B30" s="212" t="s">
        <v>437</v>
      </c>
      <c r="C30" s="31" t="s">
        <v>424</v>
      </c>
      <c r="D30" s="31">
        <v>0</v>
      </c>
      <c r="E30" s="31">
        <v>0</v>
      </c>
      <c r="F30" s="31">
        <v>0</v>
      </c>
      <c r="G30" s="31">
        <v>0</v>
      </c>
      <c r="H30" s="31">
        <v>0</v>
      </c>
      <c r="I30" s="31">
        <v>0</v>
      </c>
      <c r="J30" s="31">
        <v>0</v>
      </c>
      <c r="K30" s="31">
        <v>0</v>
      </c>
      <c r="L30" s="32">
        <f t="shared" si="0"/>
        <v>0</v>
      </c>
      <c r="M30" s="33">
        <v>1500</v>
      </c>
      <c r="N30" s="34">
        <f t="shared" si="1"/>
        <v>0</v>
      </c>
    </row>
    <row r="31" spans="1:14" ht="14.25" customHeight="1" x14ac:dyDescent="0.25">
      <c r="A31" s="210"/>
      <c r="B31" s="213"/>
      <c r="C31" s="35" t="s">
        <v>425</v>
      </c>
      <c r="D31" s="35">
        <v>0</v>
      </c>
      <c r="E31" s="35">
        <v>0</v>
      </c>
      <c r="F31" s="35">
        <v>0</v>
      </c>
      <c r="G31" s="35">
        <v>0</v>
      </c>
      <c r="H31" s="35">
        <v>0</v>
      </c>
      <c r="I31" s="35">
        <v>40</v>
      </c>
      <c r="J31" s="35">
        <v>30</v>
      </c>
      <c r="K31" s="35">
        <v>0</v>
      </c>
      <c r="L31" s="37">
        <f t="shared" si="0"/>
        <v>70</v>
      </c>
      <c r="M31" s="38">
        <v>1500</v>
      </c>
      <c r="N31" s="39">
        <f t="shared" si="1"/>
        <v>105000</v>
      </c>
    </row>
    <row r="32" spans="1:14" ht="14.25" customHeight="1" x14ac:dyDescent="0.25">
      <c r="A32" s="209"/>
      <c r="B32" s="212" t="s">
        <v>438</v>
      </c>
      <c r="C32" s="31" t="s">
        <v>424</v>
      </c>
      <c r="D32" s="31">
        <v>0</v>
      </c>
      <c r="E32" s="31">
        <v>0</v>
      </c>
      <c r="F32" s="31">
        <v>0</v>
      </c>
      <c r="G32" s="31">
        <v>0</v>
      </c>
      <c r="H32" s="31">
        <v>0</v>
      </c>
      <c r="I32" s="31">
        <v>0</v>
      </c>
      <c r="J32" s="31">
        <v>0</v>
      </c>
      <c r="K32" s="31">
        <v>132</v>
      </c>
      <c r="L32" s="32">
        <f t="shared" si="0"/>
        <v>132</v>
      </c>
      <c r="M32" s="33">
        <v>1500</v>
      </c>
      <c r="N32" s="34">
        <f t="shared" si="1"/>
        <v>198000</v>
      </c>
    </row>
    <row r="33" spans="1:14" ht="14.25" customHeight="1" x14ac:dyDescent="0.25">
      <c r="A33" s="210"/>
      <c r="B33" s="213"/>
      <c r="C33" s="35" t="s">
        <v>425</v>
      </c>
      <c r="D33" s="35">
        <v>0</v>
      </c>
      <c r="E33" s="35">
        <v>0</v>
      </c>
      <c r="F33" s="35">
        <v>0</v>
      </c>
      <c r="G33" s="35">
        <v>0</v>
      </c>
      <c r="H33" s="35">
        <v>0</v>
      </c>
      <c r="I33" s="35">
        <v>0</v>
      </c>
      <c r="J33" s="35">
        <v>0</v>
      </c>
      <c r="K33" s="35">
        <v>0</v>
      </c>
      <c r="L33" s="37">
        <f t="shared" si="0"/>
        <v>0</v>
      </c>
      <c r="M33" s="38">
        <v>1500</v>
      </c>
      <c r="N33" s="39">
        <f t="shared" si="1"/>
        <v>0</v>
      </c>
    </row>
    <row r="34" spans="1:14" ht="14.25" customHeight="1" x14ac:dyDescent="0.25">
      <c r="A34" s="209"/>
      <c r="B34" s="212" t="s">
        <v>439</v>
      </c>
      <c r="C34" s="31" t="s">
        <v>424</v>
      </c>
      <c r="D34" s="31">
        <v>0</v>
      </c>
      <c r="E34" s="31">
        <v>0</v>
      </c>
      <c r="F34" s="31">
        <v>0</v>
      </c>
      <c r="G34" s="31">
        <v>0</v>
      </c>
      <c r="H34" s="31">
        <v>0</v>
      </c>
      <c r="I34" s="31">
        <v>0</v>
      </c>
      <c r="J34" s="31">
        <v>0</v>
      </c>
      <c r="K34" s="31">
        <v>0</v>
      </c>
      <c r="L34" s="32">
        <f t="shared" si="0"/>
        <v>0</v>
      </c>
      <c r="M34" s="33">
        <v>1500</v>
      </c>
      <c r="N34" s="34">
        <f t="shared" si="1"/>
        <v>0</v>
      </c>
    </row>
    <row r="35" spans="1:14" ht="14.25" customHeight="1" x14ac:dyDescent="0.25">
      <c r="A35" s="210"/>
      <c r="B35" s="213"/>
      <c r="C35" s="35" t="s">
        <v>425</v>
      </c>
      <c r="D35" s="35">
        <v>0</v>
      </c>
      <c r="E35" s="35">
        <v>0</v>
      </c>
      <c r="F35" s="35">
        <v>0</v>
      </c>
      <c r="G35" s="35">
        <v>0</v>
      </c>
      <c r="H35" s="35">
        <v>0</v>
      </c>
      <c r="I35" s="35">
        <v>10</v>
      </c>
      <c r="J35" s="35">
        <v>5</v>
      </c>
      <c r="K35" s="35">
        <v>0</v>
      </c>
      <c r="L35" s="37">
        <f t="shared" si="0"/>
        <v>15</v>
      </c>
      <c r="M35" s="38">
        <v>1500</v>
      </c>
      <c r="N35" s="39">
        <f t="shared" si="1"/>
        <v>22500</v>
      </c>
    </row>
    <row r="36" spans="1:14" ht="14.25" customHeight="1" x14ac:dyDescent="0.25">
      <c r="A36" s="41"/>
      <c r="B36" s="42"/>
      <c r="C36" s="42"/>
      <c r="D36" s="42"/>
      <c r="E36" s="42"/>
      <c r="F36" s="42"/>
      <c r="G36" s="42"/>
      <c r="H36" s="42"/>
      <c r="I36" s="42"/>
      <c r="J36" s="42"/>
      <c r="K36" s="43" t="s">
        <v>440</v>
      </c>
      <c r="L36" s="44">
        <f>SUM(L6:L35)</f>
        <v>827</v>
      </c>
      <c r="M36" s="43" t="s">
        <v>441</v>
      </c>
      <c r="N36" s="45">
        <f>SUM(N6:N35)</f>
        <v>1455000</v>
      </c>
    </row>
    <row r="37" spans="1:14" ht="14.25" customHeight="1" x14ac:dyDescent="0.25">
      <c r="A37" s="223" t="s">
        <v>442</v>
      </c>
      <c r="B37" s="224"/>
      <c r="C37" s="198" t="s">
        <v>443</v>
      </c>
      <c r="D37" s="198"/>
      <c r="E37" s="198"/>
      <c r="F37" s="198"/>
      <c r="G37" s="198"/>
      <c r="H37" s="198"/>
      <c r="I37" s="198"/>
      <c r="J37" s="198"/>
      <c r="K37" s="198"/>
      <c r="L37" s="198"/>
      <c r="M37" s="198"/>
      <c r="N37" s="199"/>
    </row>
    <row r="38" spans="1:14" ht="14.25" customHeight="1" x14ac:dyDescent="0.25">
      <c r="A38" s="223"/>
      <c r="B38" s="224"/>
      <c r="C38" s="200" t="s">
        <v>444</v>
      </c>
      <c r="D38" s="201"/>
      <c r="E38" s="201"/>
      <c r="F38" s="201"/>
      <c r="G38" s="201"/>
      <c r="H38" s="201"/>
      <c r="I38" s="201"/>
      <c r="J38" s="201"/>
      <c r="K38" s="201"/>
      <c r="L38" s="201"/>
      <c r="M38" s="201"/>
      <c r="N38" s="202"/>
    </row>
    <row r="39" spans="1:14" ht="14.25" customHeight="1" x14ac:dyDescent="0.25">
      <c r="A39" s="227"/>
      <c r="B39" s="228"/>
      <c r="C39" s="198" t="s">
        <v>445</v>
      </c>
      <c r="D39" s="198"/>
      <c r="E39" s="198"/>
      <c r="F39" s="198"/>
      <c r="G39" s="198"/>
      <c r="H39" s="198"/>
      <c r="I39" s="198"/>
      <c r="J39" s="198"/>
      <c r="K39" s="198"/>
      <c r="L39" s="198"/>
      <c r="M39" s="198"/>
      <c r="N39" s="199"/>
    </row>
    <row r="40" spans="1:14" ht="14.25" customHeight="1" x14ac:dyDescent="0.25">
      <c r="A40" s="221" t="s">
        <v>446</v>
      </c>
      <c r="B40" s="222"/>
      <c r="C40" s="203" t="s">
        <v>447</v>
      </c>
      <c r="D40" s="203"/>
      <c r="E40" s="203"/>
      <c r="F40" s="203"/>
      <c r="G40" s="203"/>
      <c r="H40" s="203"/>
      <c r="I40" s="203"/>
      <c r="J40" s="203"/>
      <c r="K40" s="203"/>
      <c r="L40" s="203"/>
      <c r="M40" s="203"/>
      <c r="N40" s="204"/>
    </row>
    <row r="41" spans="1:14" ht="14.25" customHeight="1" x14ac:dyDescent="0.25">
      <c r="A41" s="223"/>
      <c r="B41" s="224"/>
      <c r="C41" s="203"/>
      <c r="D41" s="203"/>
      <c r="E41" s="203"/>
      <c r="F41" s="203"/>
      <c r="G41" s="203"/>
      <c r="H41" s="203"/>
      <c r="I41" s="203"/>
      <c r="J41" s="203"/>
      <c r="K41" s="203"/>
      <c r="L41" s="203"/>
      <c r="M41" s="203"/>
      <c r="N41" s="204"/>
    </row>
    <row r="42" spans="1:14" ht="14.25" customHeight="1" x14ac:dyDescent="0.25">
      <c r="A42" s="225"/>
      <c r="B42" s="226"/>
      <c r="C42" s="205"/>
      <c r="D42" s="205"/>
      <c r="E42" s="205"/>
      <c r="F42" s="205"/>
      <c r="G42" s="205"/>
      <c r="H42" s="205"/>
      <c r="I42" s="205"/>
      <c r="J42" s="205"/>
      <c r="K42" s="205"/>
      <c r="L42" s="205"/>
      <c r="M42" s="205"/>
      <c r="N42" s="206"/>
    </row>
    <row r="44" spans="1:14" ht="14.25" customHeight="1" x14ac:dyDescent="0.25">
      <c r="A44" s="46" t="s">
        <v>448</v>
      </c>
    </row>
  </sheetData>
  <sheetProtection insertHyperlinks="0" autoFilter="0"/>
  <mergeCells count="48">
    <mergeCell ref="A40:B42"/>
    <mergeCell ref="A37:B39"/>
    <mergeCell ref="B34:B35"/>
    <mergeCell ref="C3:C4"/>
    <mergeCell ref="L4:L5"/>
    <mergeCell ref="M4:M5"/>
    <mergeCell ref="N4:N5"/>
    <mergeCell ref="B24:B25"/>
    <mergeCell ref="B26:B27"/>
    <mergeCell ref="B28:B29"/>
    <mergeCell ref="B30:B31"/>
    <mergeCell ref="B32:B33"/>
    <mergeCell ref="B14:B15"/>
    <mergeCell ref="B16:B17"/>
    <mergeCell ref="B18:B19"/>
    <mergeCell ref="B20:B21"/>
    <mergeCell ref="B22:B23"/>
    <mergeCell ref="B3:B4"/>
    <mergeCell ref="B6:B7"/>
    <mergeCell ref="B8:B9"/>
    <mergeCell ref="B10:B11"/>
    <mergeCell ref="B12:B13"/>
    <mergeCell ref="A26:A27"/>
    <mergeCell ref="A28:A29"/>
    <mergeCell ref="A30:A31"/>
    <mergeCell ref="A32:A33"/>
    <mergeCell ref="A34:A35"/>
    <mergeCell ref="C38:N38"/>
    <mergeCell ref="C39:N39"/>
    <mergeCell ref="C40:N40"/>
    <mergeCell ref="C41:N41"/>
    <mergeCell ref="C42:N42"/>
    <mergeCell ref="A1:J1"/>
    <mergeCell ref="A2:N2"/>
    <mergeCell ref="D3:L3"/>
    <mergeCell ref="M3:N3"/>
    <mergeCell ref="C37:N37"/>
    <mergeCell ref="A3:A4"/>
    <mergeCell ref="A6:A7"/>
    <mergeCell ref="A8:A9"/>
    <mergeCell ref="A10:A11"/>
    <mergeCell ref="A12:A13"/>
    <mergeCell ref="A14:A15"/>
    <mergeCell ref="A16:A17"/>
    <mergeCell ref="A18:A19"/>
    <mergeCell ref="A20:A21"/>
    <mergeCell ref="A22:A23"/>
    <mergeCell ref="A24:A25"/>
  </mergeCells>
  <phoneticPr fontId="4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86"/>
  <sheetViews>
    <sheetView zoomScale="130" zoomScaleNormal="130" workbookViewId="0">
      <pane ySplit="1" topLeftCell="A2" activePane="bottomLeft" state="frozen"/>
      <selection pane="bottomLeft" activeCell="D16" sqref="D16"/>
    </sheetView>
  </sheetViews>
  <sheetFormatPr defaultColWidth="10" defaultRowHeight="15.6" x14ac:dyDescent="0.3"/>
  <cols>
    <col min="1" max="1" width="18.26953125" customWidth="1"/>
    <col min="2" max="2" width="17.36328125"/>
    <col min="3" max="3" width="16.453125" style="2" customWidth="1"/>
    <col min="4" max="4" width="32.90625" style="2" customWidth="1"/>
    <col min="5" max="5" width="12.453125" style="2"/>
    <col min="6" max="6" width="41.6328125" style="3" customWidth="1"/>
    <col min="7" max="7" width="6.6328125"/>
  </cols>
  <sheetData>
    <row r="1" spans="1:7" s="1" customFormat="1" x14ac:dyDescent="0.3">
      <c r="A1" s="4" t="s">
        <v>449</v>
      </c>
      <c r="B1" s="4" t="s">
        <v>450</v>
      </c>
      <c r="C1" s="5" t="s">
        <v>2</v>
      </c>
      <c r="D1" s="5" t="s">
        <v>451</v>
      </c>
      <c r="E1" s="5" t="s">
        <v>62</v>
      </c>
      <c r="F1" s="5" t="s">
        <v>452</v>
      </c>
      <c r="G1" s="4"/>
    </row>
    <row r="2" spans="1:7" x14ac:dyDescent="0.3">
      <c r="A2" s="229" t="s">
        <v>453</v>
      </c>
      <c r="B2" s="229" t="s">
        <v>454</v>
      </c>
      <c r="C2" s="7">
        <v>1</v>
      </c>
      <c r="D2" s="7" t="s">
        <v>455</v>
      </c>
      <c r="E2" s="7" t="s">
        <v>456</v>
      </c>
      <c r="F2" s="8" t="s">
        <v>457</v>
      </c>
      <c r="G2" s="9"/>
    </row>
    <row r="3" spans="1:7" ht="26.4" x14ac:dyDescent="0.3">
      <c r="A3" s="230"/>
      <c r="B3" s="230"/>
      <c r="C3" s="7">
        <v>2</v>
      </c>
      <c r="D3" s="7" t="s">
        <v>458</v>
      </c>
      <c r="E3" s="7" t="s">
        <v>459</v>
      </c>
      <c r="F3" s="8" t="s">
        <v>460</v>
      </c>
      <c r="G3" s="9"/>
    </row>
    <row r="4" spans="1:7" x14ac:dyDescent="0.3">
      <c r="A4" s="230"/>
      <c r="B4" s="230"/>
      <c r="C4" s="7">
        <v>3</v>
      </c>
      <c r="D4" s="7" t="s">
        <v>461</v>
      </c>
      <c r="E4" s="7" t="s">
        <v>462</v>
      </c>
      <c r="F4" s="8" t="s">
        <v>463</v>
      </c>
      <c r="G4" s="9"/>
    </row>
    <row r="5" spans="1:7" x14ac:dyDescent="0.3">
      <c r="A5" s="230"/>
      <c r="B5" s="230"/>
      <c r="C5" s="7">
        <v>4</v>
      </c>
      <c r="D5" s="7" t="s">
        <v>464</v>
      </c>
      <c r="E5" s="7" t="s">
        <v>462</v>
      </c>
      <c r="F5" s="8" t="s">
        <v>465</v>
      </c>
      <c r="G5" s="9"/>
    </row>
    <row r="6" spans="1:7" x14ac:dyDescent="0.3">
      <c r="A6" s="230"/>
      <c r="B6" s="230"/>
      <c r="C6" s="7">
        <v>5</v>
      </c>
      <c r="D6" s="7" t="s">
        <v>466</v>
      </c>
      <c r="E6" s="7" t="s">
        <v>467</v>
      </c>
      <c r="F6" s="8" t="s">
        <v>468</v>
      </c>
      <c r="G6" s="9"/>
    </row>
    <row r="7" spans="1:7" x14ac:dyDescent="0.3">
      <c r="A7" s="230"/>
      <c r="B7" s="230"/>
      <c r="C7" s="7">
        <v>6</v>
      </c>
      <c r="D7" s="7" t="s">
        <v>469</v>
      </c>
      <c r="E7" s="7" t="s">
        <v>470</v>
      </c>
      <c r="F7" s="8" t="s">
        <v>471</v>
      </c>
      <c r="G7" s="9"/>
    </row>
    <row r="8" spans="1:7" x14ac:dyDescent="0.3">
      <c r="A8" s="230"/>
      <c r="B8" s="230"/>
      <c r="C8" s="7">
        <v>7</v>
      </c>
      <c r="D8" s="7" t="s">
        <v>472</v>
      </c>
      <c r="E8" s="7" t="s">
        <v>470</v>
      </c>
      <c r="F8" s="8" t="s">
        <v>473</v>
      </c>
      <c r="G8" s="9"/>
    </row>
    <row r="9" spans="1:7" x14ac:dyDescent="0.3">
      <c r="A9" s="230"/>
      <c r="B9" s="230"/>
      <c r="C9" s="7">
        <v>8</v>
      </c>
      <c r="D9" s="7" t="s">
        <v>474</v>
      </c>
      <c r="E9" s="7" t="s">
        <v>475</v>
      </c>
      <c r="F9" s="8" t="s">
        <v>476</v>
      </c>
      <c r="G9" s="9"/>
    </row>
    <row r="10" spans="1:7" x14ac:dyDescent="0.3">
      <c r="A10" s="230"/>
      <c r="B10" s="230"/>
      <c r="C10" s="7">
        <v>9</v>
      </c>
      <c r="D10" s="7" t="s">
        <v>477</v>
      </c>
      <c r="E10" s="7" t="s">
        <v>478</v>
      </c>
      <c r="F10" s="8" t="s">
        <v>479</v>
      </c>
      <c r="G10" s="9"/>
    </row>
    <row r="11" spans="1:7" x14ac:dyDescent="0.3">
      <c r="A11" s="230"/>
      <c r="B11" s="230"/>
      <c r="C11" s="7">
        <v>10</v>
      </c>
      <c r="D11" s="7" t="s">
        <v>480</v>
      </c>
      <c r="E11" s="7" t="s">
        <v>481</v>
      </c>
      <c r="F11" s="8" t="s">
        <v>482</v>
      </c>
      <c r="G11" s="9"/>
    </row>
    <row r="12" spans="1:7" x14ac:dyDescent="0.3">
      <c r="A12" s="230"/>
      <c r="B12" s="230"/>
      <c r="C12" s="7">
        <v>11</v>
      </c>
      <c r="D12" s="7" t="s">
        <v>483</v>
      </c>
      <c r="E12" s="7" t="s">
        <v>484</v>
      </c>
      <c r="F12" s="8" t="s">
        <v>485</v>
      </c>
      <c r="G12" s="9"/>
    </row>
    <row r="13" spans="1:7" ht="26.4" x14ac:dyDescent="0.3">
      <c r="A13" s="230"/>
      <c r="B13" s="230"/>
      <c r="C13" s="7">
        <v>12</v>
      </c>
      <c r="D13" s="7" t="s">
        <v>486</v>
      </c>
      <c r="E13" s="7" t="s">
        <v>487</v>
      </c>
      <c r="F13" s="8" t="s">
        <v>488</v>
      </c>
      <c r="G13" s="9"/>
    </row>
    <row r="14" spans="1:7" ht="26.4" x14ac:dyDescent="0.3">
      <c r="A14" s="230"/>
      <c r="B14" s="230"/>
      <c r="C14" s="7">
        <v>13</v>
      </c>
      <c r="D14" s="7" t="s">
        <v>489</v>
      </c>
      <c r="E14" s="7" t="s">
        <v>490</v>
      </c>
      <c r="F14" s="8" t="s">
        <v>491</v>
      </c>
      <c r="G14" s="9"/>
    </row>
    <row r="15" spans="1:7" x14ac:dyDescent="0.3">
      <c r="A15" s="230"/>
      <c r="B15" s="230"/>
      <c r="C15" s="7">
        <v>14</v>
      </c>
      <c r="D15" s="7" t="s">
        <v>492</v>
      </c>
      <c r="E15" s="7" t="s">
        <v>493</v>
      </c>
      <c r="F15" s="8" t="s">
        <v>494</v>
      </c>
      <c r="G15" s="9"/>
    </row>
    <row r="16" spans="1:7" x14ac:dyDescent="0.3">
      <c r="A16" s="230"/>
      <c r="B16" s="231"/>
      <c r="C16" s="7">
        <v>15</v>
      </c>
      <c r="D16" s="7" t="s">
        <v>495</v>
      </c>
      <c r="E16" s="7" t="s">
        <v>496</v>
      </c>
      <c r="F16" s="8" t="s">
        <v>497</v>
      </c>
      <c r="G16" s="9"/>
    </row>
    <row r="17" spans="1:7" x14ac:dyDescent="0.3">
      <c r="A17" s="230"/>
      <c r="B17" s="229" t="s">
        <v>498</v>
      </c>
      <c r="C17" s="7">
        <v>16</v>
      </c>
      <c r="D17" s="7" t="s">
        <v>499</v>
      </c>
      <c r="E17" s="7" t="s">
        <v>500</v>
      </c>
      <c r="F17" s="8" t="s">
        <v>501</v>
      </c>
      <c r="G17" s="9"/>
    </row>
    <row r="18" spans="1:7" x14ac:dyDescent="0.3">
      <c r="A18" s="230"/>
      <c r="B18" s="231"/>
      <c r="C18" s="7">
        <v>17</v>
      </c>
      <c r="D18" s="7" t="s">
        <v>502</v>
      </c>
      <c r="E18" s="7" t="s">
        <v>503</v>
      </c>
      <c r="F18" s="8" t="s">
        <v>504</v>
      </c>
      <c r="G18" s="9"/>
    </row>
    <row r="19" spans="1:7" x14ac:dyDescent="0.3">
      <c r="A19" s="230"/>
      <c r="B19" s="229" t="s">
        <v>505</v>
      </c>
      <c r="C19" s="7">
        <v>18</v>
      </c>
      <c r="D19" s="7" t="s">
        <v>506</v>
      </c>
      <c r="E19" s="7" t="s">
        <v>507</v>
      </c>
      <c r="F19" s="8" t="s">
        <v>508</v>
      </c>
      <c r="G19" s="9"/>
    </row>
    <row r="20" spans="1:7" x14ac:dyDescent="0.3">
      <c r="A20" s="230"/>
      <c r="B20" s="231"/>
      <c r="C20" s="7">
        <v>19</v>
      </c>
      <c r="D20" s="7" t="s">
        <v>509</v>
      </c>
      <c r="E20" s="7" t="s">
        <v>83</v>
      </c>
      <c r="F20" s="8" t="s">
        <v>510</v>
      </c>
      <c r="G20" s="9"/>
    </row>
    <row r="21" spans="1:7" x14ac:dyDescent="0.3">
      <c r="A21" s="230"/>
      <c r="B21" s="9" t="s">
        <v>511</v>
      </c>
      <c r="C21" s="7"/>
      <c r="D21" s="7"/>
      <c r="E21" s="7"/>
      <c r="F21" s="8" t="s">
        <v>510</v>
      </c>
      <c r="G21" s="9"/>
    </row>
    <row r="22" spans="1:7" x14ac:dyDescent="0.3">
      <c r="A22" s="230"/>
      <c r="B22" s="229" t="s">
        <v>512</v>
      </c>
      <c r="C22" s="7">
        <v>20</v>
      </c>
      <c r="D22" s="7" t="s">
        <v>513</v>
      </c>
      <c r="E22" s="7"/>
      <c r="F22" s="8" t="s">
        <v>514</v>
      </c>
      <c r="G22" s="9"/>
    </row>
    <row r="23" spans="1:7" x14ac:dyDescent="0.3">
      <c r="A23" s="230"/>
      <c r="B23" s="230"/>
      <c r="C23" s="7">
        <v>21</v>
      </c>
      <c r="D23" s="7" t="s">
        <v>515</v>
      </c>
      <c r="E23" s="7" t="s">
        <v>516</v>
      </c>
      <c r="F23" s="8" t="s">
        <v>517</v>
      </c>
      <c r="G23" s="9"/>
    </row>
    <row r="24" spans="1:7" x14ac:dyDescent="0.3">
      <c r="A24" s="230"/>
      <c r="B24" s="231"/>
      <c r="C24" s="7">
        <v>22</v>
      </c>
      <c r="D24" s="7" t="s">
        <v>518</v>
      </c>
      <c r="E24" s="7"/>
      <c r="F24" s="8" t="s">
        <v>519</v>
      </c>
      <c r="G24" s="9"/>
    </row>
    <row r="25" spans="1:7" x14ac:dyDescent="0.3">
      <c r="A25" s="230"/>
      <c r="B25" s="229" t="s">
        <v>520</v>
      </c>
      <c r="C25" s="7">
        <v>23</v>
      </c>
      <c r="D25" s="7" t="s">
        <v>521</v>
      </c>
      <c r="E25" s="7" t="s">
        <v>493</v>
      </c>
      <c r="F25" s="8" t="s">
        <v>522</v>
      </c>
      <c r="G25" s="9"/>
    </row>
    <row r="26" spans="1:7" x14ac:dyDescent="0.3">
      <c r="A26" s="230"/>
      <c r="B26" s="231"/>
      <c r="C26" s="7">
        <v>24</v>
      </c>
      <c r="D26" s="7" t="s">
        <v>523</v>
      </c>
      <c r="E26" s="7" t="s">
        <v>524</v>
      </c>
      <c r="F26" s="8" t="s">
        <v>525</v>
      </c>
      <c r="G26" s="9"/>
    </row>
    <row r="27" spans="1:7" x14ac:dyDescent="0.3">
      <c r="A27" s="230"/>
      <c r="B27" s="9" t="s">
        <v>526</v>
      </c>
      <c r="C27" s="7"/>
      <c r="D27" s="7"/>
      <c r="E27" s="7"/>
      <c r="F27" s="8" t="s">
        <v>527</v>
      </c>
      <c r="G27" s="9"/>
    </row>
    <row r="28" spans="1:7" x14ac:dyDescent="0.3">
      <c r="A28" s="230"/>
      <c r="B28" s="229" t="s">
        <v>528</v>
      </c>
      <c r="C28" s="7">
        <v>25</v>
      </c>
      <c r="D28" s="7" t="s">
        <v>529</v>
      </c>
      <c r="E28" s="7"/>
      <c r="F28" s="8" t="s">
        <v>530</v>
      </c>
      <c r="G28" s="9"/>
    </row>
    <row r="29" spans="1:7" x14ac:dyDescent="0.3">
      <c r="A29" s="230"/>
      <c r="B29" s="230"/>
      <c r="C29" s="7">
        <v>26</v>
      </c>
      <c r="D29" s="7" t="s">
        <v>531</v>
      </c>
      <c r="E29" s="7"/>
      <c r="F29" s="8" t="s">
        <v>532</v>
      </c>
      <c r="G29" s="9"/>
    </row>
    <row r="30" spans="1:7" x14ac:dyDescent="0.3">
      <c r="A30" s="230"/>
      <c r="B30" s="230"/>
      <c r="C30" s="7">
        <v>27</v>
      </c>
      <c r="D30" s="7" t="s">
        <v>533</v>
      </c>
      <c r="E30" s="7"/>
      <c r="F30" s="8" t="s">
        <v>534</v>
      </c>
      <c r="G30" s="9"/>
    </row>
    <row r="31" spans="1:7" x14ac:dyDescent="0.3">
      <c r="A31" s="230"/>
      <c r="B31" s="230"/>
      <c r="C31" s="7"/>
      <c r="D31" s="7" t="s">
        <v>535</v>
      </c>
      <c r="E31" s="7"/>
      <c r="F31" s="8" t="s">
        <v>536</v>
      </c>
      <c r="G31" s="9"/>
    </row>
    <row r="32" spans="1:7" x14ac:dyDescent="0.3">
      <c r="A32" s="230"/>
      <c r="B32" s="230"/>
      <c r="C32" s="7"/>
      <c r="D32" s="7" t="s">
        <v>537</v>
      </c>
      <c r="E32" s="7"/>
      <c r="F32" s="8">
        <v>8</v>
      </c>
      <c r="G32" s="9"/>
    </row>
    <row r="33" spans="1:7" x14ac:dyDescent="0.3">
      <c r="A33" s="230"/>
      <c r="B33" s="230"/>
      <c r="C33" s="7"/>
      <c r="D33" s="7" t="s">
        <v>538</v>
      </c>
      <c r="E33" s="7"/>
      <c r="F33" s="8">
        <v>15</v>
      </c>
      <c r="G33" s="9"/>
    </row>
    <row r="34" spans="1:7" x14ac:dyDescent="0.3">
      <c r="A34" s="230"/>
      <c r="B34" s="230"/>
      <c r="C34" s="7"/>
      <c r="D34" s="7" t="s">
        <v>539</v>
      </c>
      <c r="E34" s="7"/>
      <c r="F34" s="8" t="s">
        <v>540</v>
      </c>
      <c r="G34" s="9"/>
    </row>
    <row r="35" spans="1:7" x14ac:dyDescent="0.3">
      <c r="A35" s="230"/>
      <c r="B35" s="231"/>
      <c r="C35" s="7"/>
      <c r="D35" s="7" t="s">
        <v>541</v>
      </c>
      <c r="E35" s="7"/>
      <c r="F35" s="8" t="s">
        <v>542</v>
      </c>
      <c r="G35" s="9"/>
    </row>
    <row r="36" spans="1:7" ht="26.4" x14ac:dyDescent="0.3">
      <c r="A36" s="231"/>
      <c r="B36" s="9" t="s">
        <v>543</v>
      </c>
      <c r="C36" s="7">
        <v>28</v>
      </c>
      <c r="D36" s="7" t="s">
        <v>275</v>
      </c>
      <c r="E36" s="7"/>
      <c r="F36" s="8" t="s">
        <v>544</v>
      </c>
      <c r="G36" s="9"/>
    </row>
    <row r="37" spans="1:7" x14ac:dyDescent="0.3">
      <c r="A37" s="229" t="s">
        <v>14</v>
      </c>
      <c r="B37" s="229" t="s">
        <v>545</v>
      </c>
      <c r="C37" s="7">
        <v>29</v>
      </c>
      <c r="D37" s="7" t="s">
        <v>546</v>
      </c>
      <c r="E37" s="7"/>
      <c r="F37" s="8" t="s">
        <v>547</v>
      </c>
      <c r="G37" s="9"/>
    </row>
    <row r="38" spans="1:7" x14ac:dyDescent="0.3">
      <c r="A38" s="230"/>
      <c r="B38" s="230"/>
      <c r="C38" s="7">
        <v>30</v>
      </c>
      <c r="D38" s="7" t="s">
        <v>548</v>
      </c>
      <c r="E38" s="7"/>
      <c r="F38" s="8" t="s">
        <v>549</v>
      </c>
      <c r="G38" s="9"/>
    </row>
    <row r="39" spans="1:7" x14ac:dyDescent="0.3">
      <c r="A39" s="230"/>
      <c r="B39" s="230"/>
      <c r="C39" s="7">
        <v>31</v>
      </c>
      <c r="D39" s="7" t="s">
        <v>550</v>
      </c>
      <c r="E39" s="7"/>
      <c r="F39" s="8" t="s">
        <v>551</v>
      </c>
      <c r="G39" s="9"/>
    </row>
    <row r="40" spans="1:7" x14ac:dyDescent="0.3">
      <c r="A40" s="230"/>
      <c r="B40" s="229" t="s">
        <v>552</v>
      </c>
      <c r="C40" s="7">
        <v>32</v>
      </c>
      <c r="D40" s="7" t="s">
        <v>553</v>
      </c>
      <c r="E40" s="7"/>
      <c r="F40" s="8" t="s">
        <v>554</v>
      </c>
      <c r="G40" s="9"/>
    </row>
    <row r="41" spans="1:7" x14ac:dyDescent="0.3">
      <c r="A41" s="230"/>
      <c r="B41" s="230"/>
      <c r="C41" s="7">
        <v>33</v>
      </c>
      <c r="D41" s="7" t="s">
        <v>555</v>
      </c>
      <c r="E41" s="7"/>
      <c r="F41" s="8" t="s">
        <v>556</v>
      </c>
      <c r="G41" s="9"/>
    </row>
    <row r="42" spans="1:7" x14ac:dyDescent="0.3">
      <c r="A42" s="230"/>
      <c r="B42" s="231"/>
      <c r="C42" s="7">
        <v>34</v>
      </c>
      <c r="D42" s="7" t="s">
        <v>262</v>
      </c>
      <c r="E42" s="7"/>
      <c r="F42" s="8" t="s">
        <v>557</v>
      </c>
      <c r="G42" s="9"/>
    </row>
    <row r="43" spans="1:7" x14ac:dyDescent="0.3">
      <c r="A43" s="231"/>
      <c r="B43" s="9" t="s">
        <v>558</v>
      </c>
      <c r="C43" s="7">
        <v>35</v>
      </c>
      <c r="D43" s="7" t="s">
        <v>559</v>
      </c>
      <c r="E43" s="7"/>
      <c r="F43" s="8" t="s">
        <v>560</v>
      </c>
      <c r="G43" s="9"/>
    </row>
    <row r="44" spans="1:7" x14ac:dyDescent="0.3">
      <c r="A44" s="6"/>
      <c r="B44" s="9"/>
      <c r="C44" s="7"/>
      <c r="D44" s="7"/>
      <c r="E44" s="7"/>
      <c r="F44" s="8"/>
      <c r="G44" s="9"/>
    </row>
    <row r="45" spans="1:7" x14ac:dyDescent="0.3">
      <c r="A45" s="10" t="s">
        <v>561</v>
      </c>
      <c r="B45" s="10" t="s">
        <v>562</v>
      </c>
      <c r="C45" s="11" t="s">
        <v>563</v>
      </c>
      <c r="D45" s="11" t="s">
        <v>564</v>
      </c>
      <c r="E45" s="11"/>
      <c r="F45" s="12" t="s">
        <v>565</v>
      </c>
      <c r="G45" s="10" t="s">
        <v>566</v>
      </c>
    </row>
    <row r="46" spans="1:7" ht="26.4" x14ac:dyDescent="0.3">
      <c r="A46" s="13" t="s">
        <v>567</v>
      </c>
      <c r="B46" s="13" t="s">
        <v>568</v>
      </c>
      <c r="C46" s="14" t="s">
        <v>569</v>
      </c>
      <c r="D46" s="14" t="s">
        <v>570</v>
      </c>
      <c r="E46" s="14"/>
      <c r="F46" s="15">
        <v>24</v>
      </c>
      <c r="G46" s="13" t="s">
        <v>571</v>
      </c>
    </row>
    <row r="47" spans="1:7" ht="26.4" x14ac:dyDescent="0.3">
      <c r="A47" s="13" t="s">
        <v>567</v>
      </c>
      <c r="B47" s="13" t="s">
        <v>568</v>
      </c>
      <c r="C47" s="14" t="s">
        <v>572</v>
      </c>
      <c r="D47" s="14" t="s">
        <v>573</v>
      </c>
      <c r="E47" s="14"/>
      <c r="F47" s="15">
        <v>16</v>
      </c>
      <c r="G47" s="13" t="s">
        <v>571</v>
      </c>
    </row>
    <row r="48" spans="1:7" ht="26.4" x14ac:dyDescent="0.3">
      <c r="A48" s="13" t="s">
        <v>567</v>
      </c>
      <c r="B48" s="13" t="s">
        <v>568</v>
      </c>
      <c r="C48" s="14" t="s">
        <v>574</v>
      </c>
      <c r="D48" s="14" t="s">
        <v>575</v>
      </c>
      <c r="E48" s="14"/>
      <c r="F48" s="15">
        <v>0</v>
      </c>
      <c r="G48" s="13" t="s">
        <v>576</v>
      </c>
    </row>
    <row r="49" spans="1:7" ht="26.4" x14ac:dyDescent="0.3">
      <c r="A49" s="13" t="s">
        <v>567</v>
      </c>
      <c r="B49" s="13" t="s">
        <v>568</v>
      </c>
      <c r="C49" s="14" t="s">
        <v>577</v>
      </c>
      <c r="D49" s="14" t="s">
        <v>578</v>
      </c>
      <c r="E49" s="14"/>
      <c r="F49" s="15">
        <v>1</v>
      </c>
      <c r="G49" s="13" t="s">
        <v>576</v>
      </c>
    </row>
    <row r="50" spans="1:7" x14ac:dyDescent="0.3">
      <c r="A50" s="13" t="s">
        <v>567</v>
      </c>
      <c r="B50" s="13" t="s">
        <v>568</v>
      </c>
      <c r="C50" s="14" t="s">
        <v>579</v>
      </c>
      <c r="D50" s="14" t="s">
        <v>580</v>
      </c>
      <c r="E50" s="14"/>
      <c r="F50" s="15">
        <v>2</v>
      </c>
      <c r="G50" s="13" t="s">
        <v>576</v>
      </c>
    </row>
    <row r="51" spans="1:7" ht="26.4" x14ac:dyDescent="0.3">
      <c r="A51" s="13" t="s">
        <v>567</v>
      </c>
      <c r="B51" s="13" t="s">
        <v>581</v>
      </c>
      <c r="C51" s="14" t="s">
        <v>582</v>
      </c>
      <c r="D51" s="14" t="s">
        <v>583</v>
      </c>
      <c r="E51" s="14"/>
      <c r="F51" s="15">
        <v>1</v>
      </c>
      <c r="G51" s="13" t="s">
        <v>576</v>
      </c>
    </row>
    <row r="52" spans="1:7" ht="26.4" x14ac:dyDescent="0.3">
      <c r="A52" s="13" t="s">
        <v>567</v>
      </c>
      <c r="B52" s="13" t="s">
        <v>581</v>
      </c>
      <c r="C52" s="14" t="s">
        <v>584</v>
      </c>
      <c r="D52" s="14" t="s">
        <v>585</v>
      </c>
      <c r="E52" s="14"/>
      <c r="F52" s="15">
        <v>1</v>
      </c>
      <c r="G52" s="13" t="s">
        <v>576</v>
      </c>
    </row>
    <row r="53" spans="1:7" ht="26.4" x14ac:dyDescent="0.3">
      <c r="A53" s="13" t="s">
        <v>567</v>
      </c>
      <c r="B53" s="13" t="s">
        <v>581</v>
      </c>
      <c r="C53" s="14" t="s">
        <v>586</v>
      </c>
      <c r="D53" s="14" t="s">
        <v>587</v>
      </c>
      <c r="E53" s="14"/>
      <c r="F53" s="15">
        <v>0</v>
      </c>
      <c r="G53" s="13" t="s">
        <v>571</v>
      </c>
    </row>
    <row r="54" spans="1:7" ht="26.4" x14ac:dyDescent="0.3">
      <c r="A54" s="13" t="s">
        <v>567</v>
      </c>
      <c r="B54" s="13" t="s">
        <v>588</v>
      </c>
      <c r="C54" s="14" t="s">
        <v>589</v>
      </c>
      <c r="D54" s="14" t="s">
        <v>590</v>
      </c>
      <c r="E54" s="14"/>
      <c r="F54" s="15">
        <v>1</v>
      </c>
      <c r="G54" s="13" t="s">
        <v>571</v>
      </c>
    </row>
    <row r="55" spans="1:7" ht="26.4" x14ac:dyDescent="0.3">
      <c r="A55" s="13" t="s">
        <v>567</v>
      </c>
      <c r="B55" s="13" t="s">
        <v>588</v>
      </c>
      <c r="C55" s="14" t="s">
        <v>591</v>
      </c>
      <c r="D55" s="14" t="s">
        <v>592</v>
      </c>
      <c r="E55" s="14"/>
      <c r="F55" s="15">
        <v>0</v>
      </c>
      <c r="G55" s="13" t="s">
        <v>571</v>
      </c>
    </row>
    <row r="56" spans="1:7" x14ac:dyDescent="0.3">
      <c r="A56" s="13" t="s">
        <v>567</v>
      </c>
      <c r="B56" s="13" t="s">
        <v>593</v>
      </c>
      <c r="C56" s="14" t="s">
        <v>594</v>
      </c>
      <c r="D56" s="14" t="s">
        <v>595</v>
      </c>
      <c r="E56" s="14"/>
      <c r="F56" s="15" t="s">
        <v>83</v>
      </c>
      <c r="G56" s="13" t="s">
        <v>576</v>
      </c>
    </row>
    <row r="57" spans="1:7" ht="26.4" x14ac:dyDescent="0.3">
      <c r="A57" s="13" t="s">
        <v>567</v>
      </c>
      <c r="B57" s="13" t="s">
        <v>593</v>
      </c>
      <c r="C57" s="14" t="s">
        <v>596</v>
      </c>
      <c r="D57" s="14" t="s">
        <v>597</v>
      </c>
      <c r="E57" s="14"/>
      <c r="F57" s="15">
        <v>4</v>
      </c>
      <c r="G57" s="13" t="s">
        <v>571</v>
      </c>
    </row>
    <row r="58" spans="1:7" ht="26.4" x14ac:dyDescent="0.3">
      <c r="A58" s="13" t="s">
        <v>567</v>
      </c>
      <c r="B58" s="13" t="s">
        <v>593</v>
      </c>
      <c r="C58" s="14" t="s">
        <v>598</v>
      </c>
      <c r="D58" s="14" t="s">
        <v>597</v>
      </c>
      <c r="E58" s="14"/>
      <c r="F58" s="15">
        <v>3</v>
      </c>
      <c r="G58" s="13" t="s">
        <v>571</v>
      </c>
    </row>
    <row r="59" spans="1:7" ht="39.6" x14ac:dyDescent="0.3">
      <c r="A59" s="13" t="s">
        <v>567</v>
      </c>
      <c r="B59" s="13" t="s">
        <v>593</v>
      </c>
      <c r="C59" s="14" t="s">
        <v>599</v>
      </c>
      <c r="D59" s="14" t="s">
        <v>600</v>
      </c>
      <c r="E59" s="14"/>
      <c r="F59" s="15">
        <v>0</v>
      </c>
      <c r="G59" s="13" t="s">
        <v>576</v>
      </c>
    </row>
    <row r="60" spans="1:7" ht="39.6" x14ac:dyDescent="0.3">
      <c r="A60" s="13" t="s">
        <v>567</v>
      </c>
      <c r="B60" s="13" t="s">
        <v>601</v>
      </c>
      <c r="C60" s="14" t="s">
        <v>602</v>
      </c>
      <c r="D60" s="14" t="s">
        <v>603</v>
      </c>
      <c r="E60" s="14"/>
      <c r="F60" s="15">
        <v>2</v>
      </c>
      <c r="G60" s="13" t="s">
        <v>571</v>
      </c>
    </row>
    <row r="61" spans="1:7" x14ac:dyDescent="0.3">
      <c r="A61" s="13" t="s">
        <v>567</v>
      </c>
      <c r="B61" s="13" t="s">
        <v>604</v>
      </c>
      <c r="C61" s="14" t="s">
        <v>605</v>
      </c>
      <c r="D61" s="14" t="s">
        <v>606</v>
      </c>
      <c r="E61" s="14"/>
      <c r="F61" s="15">
        <v>0</v>
      </c>
      <c r="G61" s="13" t="s">
        <v>576</v>
      </c>
    </row>
    <row r="62" spans="1:7" ht="26.4" x14ac:dyDescent="0.3">
      <c r="A62" s="13" t="s">
        <v>567</v>
      </c>
      <c r="B62" s="13" t="s">
        <v>607</v>
      </c>
      <c r="C62" s="14" t="s">
        <v>608</v>
      </c>
      <c r="D62" s="14" t="s">
        <v>609</v>
      </c>
      <c r="E62" s="14"/>
      <c r="F62" s="15">
        <v>0</v>
      </c>
      <c r="G62" s="13" t="s">
        <v>576</v>
      </c>
    </row>
    <row r="63" spans="1:7" ht="26.4" x14ac:dyDescent="0.3">
      <c r="A63" s="13" t="s">
        <v>567</v>
      </c>
      <c r="B63" s="13" t="s">
        <v>581</v>
      </c>
      <c r="C63" s="14" t="s">
        <v>610</v>
      </c>
      <c r="D63" s="14" t="s">
        <v>611</v>
      </c>
      <c r="E63" s="14"/>
      <c r="F63" s="15">
        <v>0</v>
      </c>
      <c r="G63" s="13" t="s">
        <v>576</v>
      </c>
    </row>
    <row r="64" spans="1:7" ht="26.4" x14ac:dyDescent="0.3">
      <c r="A64" s="13" t="s">
        <v>567</v>
      </c>
      <c r="B64" s="13" t="s">
        <v>612</v>
      </c>
      <c r="C64" s="14" t="s">
        <v>613</v>
      </c>
      <c r="D64" s="14" t="s">
        <v>614</v>
      </c>
      <c r="E64" s="14"/>
      <c r="F64" s="15">
        <v>34</v>
      </c>
      <c r="G64" s="13" t="s">
        <v>576</v>
      </c>
    </row>
    <row r="65" spans="1:7" ht="26.4" x14ac:dyDescent="0.3">
      <c r="A65" s="13" t="s">
        <v>567</v>
      </c>
      <c r="B65" s="13" t="s">
        <v>612</v>
      </c>
      <c r="C65" s="14" t="s">
        <v>613</v>
      </c>
      <c r="D65" s="14" t="s">
        <v>615</v>
      </c>
      <c r="E65" s="14"/>
      <c r="F65" s="15">
        <v>26</v>
      </c>
      <c r="G65" s="13" t="s">
        <v>576</v>
      </c>
    </row>
    <row r="66" spans="1:7" x14ac:dyDescent="0.3">
      <c r="A66" s="13" t="s">
        <v>567</v>
      </c>
      <c r="B66" s="13" t="s">
        <v>616</v>
      </c>
      <c r="C66" s="14" t="s">
        <v>617</v>
      </c>
      <c r="D66" s="14" t="s">
        <v>618</v>
      </c>
      <c r="E66" s="14"/>
      <c r="F66" s="15">
        <v>1</v>
      </c>
      <c r="G66" s="13" t="s">
        <v>576</v>
      </c>
    </row>
    <row r="67" spans="1:7" x14ac:dyDescent="0.3">
      <c r="A67" s="13" t="s">
        <v>567</v>
      </c>
      <c r="B67" s="13" t="s">
        <v>616</v>
      </c>
      <c r="C67" s="14" t="s">
        <v>619</v>
      </c>
      <c r="D67" s="14" t="s">
        <v>620</v>
      </c>
      <c r="E67" s="14"/>
      <c r="F67" s="15">
        <v>1</v>
      </c>
      <c r="G67" s="13" t="s">
        <v>576</v>
      </c>
    </row>
    <row r="68" spans="1:7" x14ac:dyDescent="0.3">
      <c r="A68" s="13" t="s">
        <v>567</v>
      </c>
      <c r="B68" s="13" t="s">
        <v>616</v>
      </c>
      <c r="C68" s="14" t="s">
        <v>621</v>
      </c>
      <c r="D68" s="14" t="s">
        <v>622</v>
      </c>
      <c r="E68" s="14"/>
      <c r="F68" s="15">
        <v>3</v>
      </c>
      <c r="G68" s="13" t="s">
        <v>576</v>
      </c>
    </row>
    <row r="69" spans="1:7" x14ac:dyDescent="0.3">
      <c r="A69" s="13" t="s">
        <v>567</v>
      </c>
      <c r="B69" s="13" t="s">
        <v>616</v>
      </c>
      <c r="C69" s="14" t="s">
        <v>623</v>
      </c>
      <c r="D69" s="14" t="s">
        <v>624</v>
      </c>
      <c r="E69" s="14"/>
      <c r="F69" s="15">
        <v>3</v>
      </c>
      <c r="G69" s="13" t="s">
        <v>576</v>
      </c>
    </row>
    <row r="70" spans="1:7" x14ac:dyDescent="0.3">
      <c r="A70" s="13" t="s">
        <v>567</v>
      </c>
      <c r="B70" s="13" t="s">
        <v>616</v>
      </c>
      <c r="C70" s="14" t="s">
        <v>625</v>
      </c>
      <c r="D70" s="14" t="s">
        <v>587</v>
      </c>
      <c r="E70" s="14"/>
      <c r="F70" s="15">
        <v>3</v>
      </c>
      <c r="G70" s="13" t="s">
        <v>571</v>
      </c>
    </row>
    <row r="71" spans="1:7" ht="39.6" x14ac:dyDescent="0.3">
      <c r="A71" s="13" t="s">
        <v>567</v>
      </c>
      <c r="B71" s="13" t="s">
        <v>626</v>
      </c>
      <c r="C71" s="14" t="s">
        <v>627</v>
      </c>
      <c r="D71" s="14" t="s">
        <v>628</v>
      </c>
      <c r="E71" s="14"/>
      <c r="F71" s="15">
        <v>311</v>
      </c>
      <c r="G71" s="13" t="s">
        <v>571</v>
      </c>
    </row>
    <row r="72" spans="1:7" x14ac:dyDescent="0.3">
      <c r="A72" s="9"/>
      <c r="B72" s="9"/>
      <c r="C72" s="7"/>
      <c r="D72" s="7"/>
      <c r="E72" s="7"/>
      <c r="F72" s="8"/>
      <c r="G72" s="9"/>
    </row>
    <row r="73" spans="1:7" x14ac:dyDescent="0.3">
      <c r="A73" s="16" t="s">
        <v>561</v>
      </c>
      <c r="B73" s="16" t="s">
        <v>562</v>
      </c>
      <c r="C73" s="17" t="s">
        <v>563</v>
      </c>
      <c r="D73" s="17" t="s">
        <v>564</v>
      </c>
      <c r="E73" s="17"/>
      <c r="F73" s="17" t="s">
        <v>565</v>
      </c>
      <c r="G73" s="16" t="s">
        <v>566</v>
      </c>
    </row>
    <row r="74" spans="1:7" x14ac:dyDescent="0.3">
      <c r="A74" s="18" t="s">
        <v>629</v>
      </c>
      <c r="B74" s="18" t="s">
        <v>627</v>
      </c>
      <c r="C74" s="19" t="s">
        <v>630</v>
      </c>
      <c r="D74" s="19" t="s">
        <v>631</v>
      </c>
      <c r="E74" s="19"/>
      <c r="F74" s="20">
        <v>311</v>
      </c>
      <c r="G74" s="18" t="s">
        <v>632</v>
      </c>
    </row>
    <row r="75" spans="1:7" x14ac:dyDescent="0.3">
      <c r="A75" s="18" t="s">
        <v>545</v>
      </c>
      <c r="B75" s="18" t="s">
        <v>633</v>
      </c>
      <c r="C75" s="19" t="s">
        <v>630</v>
      </c>
      <c r="D75" s="19" t="s">
        <v>634</v>
      </c>
      <c r="E75" s="19"/>
      <c r="F75" s="20">
        <v>92</v>
      </c>
      <c r="G75" s="18" t="s">
        <v>576</v>
      </c>
    </row>
    <row r="76" spans="1:7" x14ac:dyDescent="0.3">
      <c r="A76" s="18" t="s">
        <v>635</v>
      </c>
      <c r="B76" s="18" t="s">
        <v>636</v>
      </c>
      <c r="C76" s="19" t="s">
        <v>630</v>
      </c>
      <c r="D76" s="19" t="s">
        <v>637</v>
      </c>
      <c r="E76" s="19"/>
      <c r="F76" s="20">
        <v>0</v>
      </c>
      <c r="G76" s="18" t="s">
        <v>571</v>
      </c>
    </row>
    <row r="77" spans="1:7" x14ac:dyDescent="0.3">
      <c r="A77" s="18" t="s">
        <v>638</v>
      </c>
      <c r="B77" s="18" t="s">
        <v>639</v>
      </c>
      <c r="C77" s="19" t="s">
        <v>630</v>
      </c>
      <c r="D77" s="19" t="s">
        <v>531</v>
      </c>
      <c r="E77" s="19"/>
      <c r="F77" s="20">
        <v>150</v>
      </c>
      <c r="G77" s="18" t="s">
        <v>632</v>
      </c>
    </row>
    <row r="78" spans="1:7" x14ac:dyDescent="0.3">
      <c r="A78" s="18" t="s">
        <v>640</v>
      </c>
      <c r="B78" s="18" t="s">
        <v>641</v>
      </c>
      <c r="C78" s="19" t="s">
        <v>642</v>
      </c>
      <c r="D78" s="19" t="s">
        <v>643</v>
      </c>
      <c r="E78" s="19"/>
      <c r="F78" s="20">
        <v>7</v>
      </c>
      <c r="G78" s="18" t="s">
        <v>571</v>
      </c>
    </row>
    <row r="79" spans="1:7" x14ac:dyDescent="0.3">
      <c r="A79" s="18"/>
      <c r="B79" s="18" t="s">
        <v>644</v>
      </c>
      <c r="C79" s="19" t="s">
        <v>645</v>
      </c>
      <c r="D79" s="19" t="s">
        <v>646</v>
      </c>
      <c r="E79" s="19"/>
      <c r="F79" s="20">
        <v>6</v>
      </c>
      <c r="G79" s="18" t="s">
        <v>571</v>
      </c>
    </row>
    <row r="80" spans="1:7" x14ac:dyDescent="0.3">
      <c r="A80" s="18" t="s">
        <v>647</v>
      </c>
      <c r="B80" s="18" t="s">
        <v>641</v>
      </c>
      <c r="C80" s="19" t="s">
        <v>642</v>
      </c>
      <c r="D80" s="19" t="s">
        <v>647</v>
      </c>
      <c r="E80" s="19"/>
      <c r="F80" s="20">
        <v>28</v>
      </c>
      <c r="G80" s="18" t="s">
        <v>571</v>
      </c>
    </row>
    <row r="81" spans="1:7" x14ac:dyDescent="0.3">
      <c r="A81" s="18"/>
      <c r="B81" s="18" t="s">
        <v>644</v>
      </c>
      <c r="C81" s="19" t="s">
        <v>645</v>
      </c>
      <c r="D81" s="19" t="s">
        <v>648</v>
      </c>
      <c r="E81" s="19"/>
      <c r="F81" s="20">
        <v>28</v>
      </c>
      <c r="G81" s="18" t="s">
        <v>571</v>
      </c>
    </row>
    <row r="82" spans="1:7" x14ac:dyDescent="0.3">
      <c r="A82" s="18" t="s">
        <v>469</v>
      </c>
      <c r="B82" s="18" t="s">
        <v>641</v>
      </c>
      <c r="C82" s="19" t="s">
        <v>642</v>
      </c>
      <c r="D82" s="19" t="s">
        <v>649</v>
      </c>
      <c r="E82" s="19"/>
      <c r="F82" s="20">
        <v>9</v>
      </c>
      <c r="G82" s="18" t="s">
        <v>571</v>
      </c>
    </row>
    <row r="83" spans="1:7" x14ac:dyDescent="0.3">
      <c r="A83" s="18" t="s">
        <v>472</v>
      </c>
      <c r="B83" s="18" t="s">
        <v>641</v>
      </c>
      <c r="C83" s="19" t="s">
        <v>642</v>
      </c>
      <c r="D83" s="19" t="s">
        <v>650</v>
      </c>
      <c r="E83" s="19"/>
      <c r="F83" s="20">
        <v>28</v>
      </c>
      <c r="G83" s="18" t="s">
        <v>571</v>
      </c>
    </row>
    <row r="84" spans="1:7" x14ac:dyDescent="0.3">
      <c r="A84" s="18" t="s">
        <v>474</v>
      </c>
      <c r="B84" s="18" t="s">
        <v>553</v>
      </c>
      <c r="C84" s="19" t="s">
        <v>651</v>
      </c>
      <c r="D84" s="19" t="s">
        <v>652</v>
      </c>
      <c r="E84" s="19"/>
      <c r="F84" s="20">
        <v>30</v>
      </c>
      <c r="G84" s="18" t="s">
        <v>571</v>
      </c>
    </row>
    <row r="85" spans="1:7" x14ac:dyDescent="0.3">
      <c r="A85" s="18" t="s">
        <v>477</v>
      </c>
      <c r="B85" s="18" t="s">
        <v>653</v>
      </c>
      <c r="C85" s="19" t="s">
        <v>654</v>
      </c>
      <c r="D85" s="19" t="s">
        <v>652</v>
      </c>
      <c r="E85" s="19"/>
      <c r="F85" s="20">
        <v>200</v>
      </c>
      <c r="G85" s="18" t="s">
        <v>571</v>
      </c>
    </row>
    <row r="86" spans="1:7" x14ac:dyDescent="0.3">
      <c r="A86" s="18" t="s">
        <v>655</v>
      </c>
      <c r="B86" s="18" t="s">
        <v>656</v>
      </c>
      <c r="C86" s="19" t="s">
        <v>657</v>
      </c>
      <c r="D86" s="19" t="s">
        <v>658</v>
      </c>
      <c r="E86" s="19"/>
      <c r="F86" s="20">
        <v>13</v>
      </c>
      <c r="G86" s="18" t="s">
        <v>571</v>
      </c>
    </row>
  </sheetData>
  <mergeCells count="10">
    <mergeCell ref="A2:A36"/>
    <mergeCell ref="A37:A43"/>
    <mergeCell ref="B2:B16"/>
    <mergeCell ref="B17:B18"/>
    <mergeCell ref="B19:B20"/>
    <mergeCell ref="B22:B24"/>
    <mergeCell ref="B25:B26"/>
    <mergeCell ref="B28:B35"/>
    <mergeCell ref="B37:B39"/>
    <mergeCell ref="B40:B42"/>
  </mergeCells>
  <phoneticPr fontId="4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总价汇总表</vt:lpstr>
      <vt:lpstr>硬件-报价汇总表</vt:lpstr>
      <vt:lpstr>硬件-报价说明</vt:lpstr>
      <vt:lpstr>硬件-报价明细</vt:lpstr>
      <vt:lpstr>软件-报价汇总表</vt:lpstr>
      <vt:lpstr>软件-产品费用报价明细</vt:lpstr>
      <vt:lpstr>软件-实施费用报价明细</vt:lpstr>
      <vt:lpstr>附录五硬件场景需求表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2006-09-16T00:00:00Z</dcterms:created>
  <dcterms:modified xsi:type="dcterms:W3CDTF">2026-09-08T01:45:38Z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85E248223B05405BB697DAB47EE04EA7_13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