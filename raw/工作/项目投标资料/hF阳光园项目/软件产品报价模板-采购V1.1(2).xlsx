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\鹏网\26年\阳光电源\IOC平台\联想\答疑后\"/>
    </mc:Choice>
  </mc:AlternateContent>
  <xr:revisionPtr revIDLastSave="0" documentId="13_ncr:1_{67FDC7F1-E464-40FF-AB4A-0A115505AD20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总价汇总表" sheetId="1" r:id="rId1"/>
    <sheet name="软件-报价汇总表" sheetId="5" r:id="rId2"/>
    <sheet name="软件-产品费用报价明细" sheetId="6" r:id="rId3"/>
    <sheet name="软件-实施费用报价明细" sheetId="7" r:id="rId4"/>
  </sheets>
  <calcPr calcId="191029" iterateDelta="1E-4"/>
  <extLs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2" i="6"/>
  <c r="L33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L12" i="7"/>
  <c r="N12" i="7" s="1"/>
  <c r="N11" i="7"/>
  <c r="N10" i="7"/>
  <c r="N9" i="7"/>
  <c r="N8" i="7"/>
  <c r="N7" i="7"/>
  <c r="L6" i="7"/>
  <c r="N6" i="7" s="1"/>
  <c r="N33" i="7" l="1"/>
  <c r="G12" i="6" l="1"/>
  <c r="F4" i="5" s="1"/>
  <c r="G4" i="5" s="1"/>
  <c r="G6" i="5"/>
  <c r="H6" i="5" s="1"/>
  <c r="F5" i="5" l="1"/>
  <c r="G5" i="5" s="1"/>
  <c r="H7" i="5" l="1"/>
  <c r="G7" i="5"/>
  <c r="D5" i="1" s="1"/>
  <c r="E5" i="1" l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D4" authorId="0" shapeId="0" xr:uid="{00000000-0006-0000-0600-000001000000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仅为示意，请根据SOW要求划分关键阶段</t>
        </r>
        <r>
          <rPr>
            <sz val="10"/>
            <color rgb="FF000000"/>
            <rFont val="宋体"/>
            <family val="3"/>
            <charset val="134"/>
          </rPr>
          <t xml:space="preserve">
  - 卢晓华 lulu</t>
        </r>
        <r>
          <rPr>
            <sz val="10"/>
            <rFont val="宋体"/>
            <family val="3"/>
            <charset val="134"/>
          </rPr>
          <t xml:space="preserve">
  - 吕先超</t>
        </r>
      </text>
    </comment>
  </commentList>
</comments>
</file>

<file path=xl/sharedStrings.xml><?xml version="1.0" encoding="utf-8"?>
<sst xmlns="http://schemas.openxmlformats.org/spreadsheetml/2006/main" count="222" uniqueCount="114">
  <si>
    <t>密级：公开</t>
  </si>
  <si>
    <t>序号</t>
  </si>
  <si>
    <t>系统名称</t>
  </si>
  <si>
    <t>税率</t>
  </si>
  <si>
    <t>不含税总价</t>
  </si>
  <si>
    <t>含税总价</t>
  </si>
  <si>
    <t>备注</t>
  </si>
  <si>
    <t>硬件部分</t>
  </si>
  <si>
    <t>软件部分</t>
  </si>
  <si>
    <t>总计（元）</t>
  </si>
  <si>
    <t>按此未税金额投标</t>
  </si>
  <si>
    <t>数量</t>
  </si>
  <si>
    <t>单位</t>
  </si>
  <si>
    <t>未税小计</t>
  </si>
  <si>
    <t>项</t>
  </si>
  <si>
    <t>项目内容</t>
  </si>
  <si>
    <t>未税单价</t>
  </si>
  <si>
    <t>含税小计</t>
  </si>
  <si>
    <t>产品费用</t>
  </si>
  <si>
    <t>实施费用</t>
  </si>
  <si>
    <t>运维费（第四到第五年）</t>
  </si>
  <si>
    <t>年</t>
  </si>
  <si>
    <t>合计</t>
  </si>
  <si>
    <t>软件/模块名称</t>
  </si>
  <si>
    <t>版本号</t>
  </si>
  <si>
    <t>未税合计</t>
  </si>
  <si>
    <t>是否买断</t>
  </si>
  <si>
    <t>如是否买断为“否”，则报价需包含运维阶段（第一至五年）的所有订阅费用</t>
  </si>
  <si>
    <t>密级：秘密</t>
  </si>
  <si>
    <t>项目人员姓名</t>
  </si>
  <si>
    <t xml:space="preserve"> 项目角色</t>
  </si>
  <si>
    <t>实施方式</t>
  </si>
  <si>
    <t>人天数量（人/天）</t>
  </si>
  <si>
    <t>人天费用（未税）</t>
  </si>
  <si>
    <t>项目启动与流程分析、调研报告编写</t>
  </si>
  <si>
    <t>蓝图文件编写、讨论、评估、确认、汇报</t>
  </si>
  <si>
    <t>系统配置、客户化接口开发</t>
  </si>
  <si>
    <t>接口联调、内部测试</t>
  </si>
  <si>
    <t>关键用户测试（单元测试及集成测试）</t>
  </si>
  <si>
    <t>用户培训及KT</t>
  </si>
  <si>
    <t>上线准备</t>
  </si>
  <si>
    <t>上线后现场运维【3】个月</t>
  </si>
  <si>
    <t>人天汇总</t>
  </si>
  <si>
    <t>实施单价
（人/天/元）</t>
  </si>
  <si>
    <t>实施费用
小计(元)</t>
  </si>
  <si>
    <t>自然周</t>
  </si>
  <si>
    <t>现场/远程</t>
  </si>
  <si>
    <r>
      <rPr>
        <sz val="10"/>
        <color rgb="FF000000"/>
        <rFont val="微软雅黑"/>
        <family val="2"/>
        <charset val="134"/>
      </rPr>
      <t>Week1—</t>
    </r>
    <r>
      <rPr>
        <sz val="10"/>
        <color rgb="FFFF0000"/>
        <rFont val="微软雅黑"/>
        <family val="2"/>
        <charset val="134"/>
      </rPr>
      <t>Week？</t>
    </r>
  </si>
  <si>
    <t>Week？—Week？</t>
  </si>
  <si>
    <t>现场</t>
  </si>
  <si>
    <t>远程</t>
  </si>
  <si>
    <t>项目经理</t>
  </si>
  <si>
    <t>…...</t>
  </si>
  <si>
    <t>人天量总计</t>
  </si>
  <si>
    <t>费用总计</t>
  </si>
  <si>
    <t>：甲方备注</t>
  </si>
  <si>
    <t>请合理安排项目计划，人力投入需要具体到每个人员的每周投入</t>
  </si>
  <si>
    <t>本项目报价清单中单价固定，招标范围内总价包干。项目交付中若有需求量变更按投标单价据实结算；</t>
  </si>
  <si>
    <t>项目费用需要在表中具体到每个人员的实施费用，费用包含差旅食宿等一切费用，后期不再接受报价外费用。</t>
  </si>
  <si>
    <t>乙方备注：</t>
  </si>
  <si>
    <t>备注：以上是实施费用报价模板，须按照模板报价。</t>
  </si>
  <si>
    <t>x</t>
    <phoneticPr fontId="22" type="noConversion"/>
  </si>
  <si>
    <t>智慧物流</t>
    <phoneticPr fontId="24" type="noConversion"/>
  </si>
  <si>
    <t>智慧消防</t>
    <phoneticPr fontId="24" type="noConversion"/>
  </si>
  <si>
    <t>智慧安防</t>
    <phoneticPr fontId="24" type="noConversion"/>
  </si>
  <si>
    <t>宿舍管理</t>
    <phoneticPr fontId="24" type="noConversion"/>
  </si>
  <si>
    <t>外协人员管理</t>
    <phoneticPr fontId="24" type="noConversion"/>
  </si>
  <si>
    <t>报表管理模块</t>
    <phoneticPr fontId="24" type="noConversion"/>
  </si>
  <si>
    <t>移动及多屏应用</t>
    <phoneticPr fontId="24" type="noConversion"/>
  </si>
  <si>
    <t>智慧园区平台</t>
    <phoneticPr fontId="24" type="noConversion"/>
  </si>
  <si>
    <t>系统管理模块</t>
    <phoneticPr fontId="24" type="noConversion"/>
  </si>
  <si>
    <t>XX智慧园区一期建设清单报价清单-汇总表</t>
    <phoneticPr fontId="22" type="noConversion"/>
  </si>
  <si>
    <t>XX智慧园区一期建设清单（软件）报价清单</t>
    <phoneticPr fontId="24" type="noConversion"/>
  </si>
  <si>
    <t>【XX智慧园区一期建设项目】人天资源投入价格清单</t>
    <phoneticPr fontId="24" type="noConversion"/>
  </si>
  <si>
    <r>
      <t>报价须知：
1、三年免费维护（即一期整体验收后36个月），第四年开始维护费用比率为产品费用的【</t>
    </r>
    <r>
      <rPr>
        <sz val="11"/>
        <color rgb="FFFF0000"/>
        <rFont val="等线"/>
        <family val="3"/>
        <charset val="134"/>
      </rPr>
      <t>供应商填写</t>
    </r>
    <r>
      <rPr>
        <sz val="11"/>
        <color rgb="FF000000"/>
        <rFont val="等线"/>
        <family val="3"/>
        <charset val="134"/>
      </rPr>
      <t>】 %；即第四年开始每年收取【</t>
    </r>
    <r>
      <rPr>
        <sz val="11"/>
        <color rgb="FFFF0000"/>
        <rFont val="等线"/>
        <family val="3"/>
        <charset val="134"/>
      </rPr>
      <t>供应商填写</t>
    </r>
    <r>
      <rPr>
        <sz val="11"/>
        <color rgb="FF000000"/>
        <rFont val="等线"/>
        <family val="3"/>
        <charset val="134"/>
      </rPr>
      <t>】元；维保协议根据需要另行签订，维保价格不高于本次报价。
2、报价已包含完成本项目的一切费用；
3、报价有效期：90天；
4、付款方式：</t>
    </r>
    <r>
      <rPr>
        <sz val="11"/>
        <color rgb="FFFF0000"/>
        <rFont val="等线"/>
        <family val="3"/>
        <charset val="134"/>
      </rPr>
      <t>电汇，蓝图完成经客户确认后支付合同对应金额20%，上线完成经客户确认后支付合同对应金额50%，上线6个月保驾护航完成经客户确认后支付合同对应金额20%，自上线验收合格1年后支付10%。详见SOW 约定。</t>
    </r>
    <r>
      <rPr>
        <sz val="11"/>
        <color rgb="FF000000"/>
        <rFont val="等线"/>
        <family val="3"/>
        <charset val="134"/>
      </rPr>
      <t xml:space="preserve">
5、本项目一期的所有功能需求及产品，均由报价人提供；
6、实施费用为人天单价，后续增加期数（如有）实施费用以不高于本次人天价格执行；
7、人天费用不得已“赠送、总价折扣、缩减人天量形式”进行优惠；
8、单价需符合市场规律，价格不得以免费赠送形式报价；
9、本次项目具体清单，请按自己格式拟定，并且与本表一起盖章作为投标价格标；</t>
    </r>
    <phoneticPr fontId="24" type="noConversion"/>
  </si>
  <si>
    <t>V5.0</t>
    <phoneticPr fontId="22" type="noConversion"/>
  </si>
  <si>
    <t>套</t>
    <phoneticPr fontId="22" type="noConversion"/>
  </si>
  <si>
    <t>陈可妮</t>
  </si>
  <si>
    <t>Week1</t>
  </si>
  <si>
    <t>Week2—Week3</t>
  </si>
  <si>
    <t>Week4—Week10</t>
  </si>
  <si>
    <t>Week11—Week12</t>
  </si>
  <si>
    <t>Week12</t>
  </si>
  <si>
    <t>Week13</t>
  </si>
  <si>
    <t>Week14</t>
  </si>
  <si>
    <t>运维【3】个月</t>
  </si>
  <si>
    <t>麦茵婷</t>
  </si>
  <si>
    <t>产品经理</t>
  </si>
  <si>
    <t>张政</t>
  </si>
  <si>
    <t>前端JAVA开发工程师</t>
  </si>
  <si>
    <t>陈超胜</t>
  </si>
  <si>
    <t>谢新耒</t>
  </si>
  <si>
    <t>后端JAVA开发工程师</t>
  </si>
  <si>
    <t>运维【3】个月</t>
    <phoneticPr fontId="22" type="noConversion"/>
  </si>
  <si>
    <t>李帅</t>
  </si>
  <si>
    <t>唐超</t>
  </si>
  <si>
    <t>Week4—Week10</t>
    <phoneticPr fontId="22" type="noConversion"/>
  </si>
  <si>
    <t>农采冰</t>
  </si>
  <si>
    <t>测试工程师</t>
  </si>
  <si>
    <t>Week8—Week12</t>
  </si>
  <si>
    <t>杨涛</t>
  </si>
  <si>
    <t>UI工程师</t>
  </si>
  <si>
    <t>Week3</t>
  </si>
  <si>
    <t>Week4—Week12</t>
  </si>
  <si>
    <t>蔡松彬</t>
  </si>
  <si>
    <t>实施工程师</t>
  </si>
  <si>
    <t>张树强</t>
  </si>
  <si>
    <t>钟蔚为</t>
  </si>
  <si>
    <t>架构工程师</t>
  </si>
  <si>
    <t>Week1—Week2</t>
  </si>
  <si>
    <t>Week4—Week8</t>
  </si>
  <si>
    <t>李文涛</t>
  </si>
  <si>
    <t>业务顾问</t>
  </si>
  <si>
    <r>
      <t>实施费用增值税专票税率：</t>
    </r>
    <r>
      <rPr>
        <b/>
        <sz val="11"/>
        <color rgb="FFFF0000"/>
        <rFont val="等线"/>
        <family val="3"/>
        <charset val="134"/>
      </rPr>
      <t>【供应商填写】13 %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</si>
</sst>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DBNum2][$-804]General"/>
    <numFmt numFmtId="178" formatCode="0.00_);[Red]\(0.00\)"/>
  </numFmts>
  <fonts count="31" x14ac:knownFonts="1">
    <font>
      <sz val="12"/>
      <color theme="1"/>
      <name val="等线"/>
      <charset val="134"/>
      <scheme val="minor"/>
    </font>
    <font>
      <sz val="11"/>
      <color rgb="FF00000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0"/>
      <color rgb="FF7F7F7F"/>
      <name val="黑体"/>
      <family val="3"/>
      <charset val="134"/>
    </font>
    <font>
      <sz val="10"/>
      <color rgb="FF000000"/>
      <name val="黑体"/>
      <family val="3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rgb="FF000000"/>
      <name val="等线"/>
      <family val="3"/>
      <charset val="134"/>
    </font>
    <font>
      <b/>
      <sz val="11"/>
      <color rgb="FFFF0000"/>
      <name val="等线"/>
      <family val="3"/>
      <charset val="134"/>
    </font>
    <font>
      <sz val="10"/>
      <color rgb="FFFF0000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6"/>
      <color rgb="FF000000"/>
      <name val="等线"/>
      <family val="3"/>
      <charset val="134"/>
    </font>
    <font>
      <sz val="10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color rgb="FFFF0000"/>
      <name val="等线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b/>
      <sz val="12"/>
      <color rgb="FF000000"/>
      <name val="宋体"/>
      <family val="3"/>
      <charset val="134"/>
    </font>
    <font>
      <sz val="16"/>
      <color rgb="FF000000"/>
      <name val="等线"/>
      <family val="3"/>
      <charset val="134"/>
    </font>
    <font>
      <b/>
      <sz val="12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9" fillId="0" borderId="26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9" fillId="0" borderId="0" xfId="0" applyFont="1" applyAlignme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/>
    <xf numFmtId="177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/>
    <xf numFmtId="0" fontId="13" fillId="0" borderId="0" xfId="0" applyFont="1" applyAlignment="1">
      <alignment horizontal="center"/>
    </xf>
    <xf numFmtId="176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0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top" wrapText="1"/>
    </xf>
    <xf numFmtId="0" fontId="9" fillId="0" borderId="26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right" vertical="center"/>
    </xf>
    <xf numFmtId="178" fontId="11" fillId="0" borderId="1" xfId="0" applyNumberFormat="1" applyFont="1" applyBorder="1" applyAlignment="1">
      <alignment horizontal="right" vertical="center"/>
    </xf>
    <xf numFmtId="178" fontId="11" fillId="0" borderId="37" xfId="0" applyNumberFormat="1" applyFont="1" applyBorder="1" applyAlignment="1">
      <alignment horizontal="right" vertical="center"/>
    </xf>
    <xf numFmtId="176" fontId="13" fillId="0" borderId="1" xfId="0" applyNumberFormat="1" applyFont="1" applyBorder="1" applyAlignment="1">
      <alignment horizontal="right" vertical="center"/>
    </xf>
    <xf numFmtId="176" fontId="16" fillId="2" borderId="1" xfId="0" applyNumberFormat="1" applyFont="1" applyFill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2" borderId="21" xfId="0" applyFont="1" applyFill="1" applyBorder="1" applyAlignment="1">
      <alignment horizontal="right" vertical="center"/>
    </xf>
    <xf numFmtId="178" fontId="15" fillId="3" borderId="39" xfId="0" applyNumberFormat="1" applyFont="1" applyFill="1" applyBorder="1" applyAlignment="1">
      <alignment horizontal="right" vertical="center" wrapText="1"/>
    </xf>
    <xf numFmtId="178" fontId="15" fillId="3" borderId="39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F9"/>
  <sheetViews>
    <sheetView workbookViewId="0">
      <selection activeCell="E10" sqref="E10"/>
    </sheetView>
  </sheetViews>
  <sheetFormatPr defaultColWidth="9" defaultRowHeight="13.5" customHeight="1" x14ac:dyDescent="0.3"/>
  <cols>
    <col min="2" max="2" width="29" style="23" customWidth="1"/>
    <col min="3" max="3" width="15.1796875" style="23" customWidth="1"/>
    <col min="4" max="5" width="20" style="23" customWidth="1"/>
    <col min="6" max="6" width="22" style="23" customWidth="1"/>
  </cols>
  <sheetData>
    <row r="1" spans="1:6" ht="37.950000000000003" customHeight="1" x14ac:dyDescent="0.3">
      <c r="A1" s="22" t="s">
        <v>0</v>
      </c>
    </row>
    <row r="2" spans="1:6" ht="33" customHeight="1" x14ac:dyDescent="0.3">
      <c r="A2" s="49" t="s">
        <v>71</v>
      </c>
      <c r="B2" s="50"/>
      <c r="C2" s="50"/>
      <c r="D2" s="50"/>
      <c r="E2" s="50"/>
      <c r="F2" s="50"/>
    </row>
    <row r="3" spans="1:6" ht="21" customHeight="1" x14ac:dyDescent="0.3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</row>
    <row r="4" spans="1:6" ht="21" customHeight="1" x14ac:dyDescent="0.25">
      <c r="A4" s="24">
        <v>1</v>
      </c>
      <c r="B4" s="24" t="s">
        <v>7</v>
      </c>
      <c r="C4" s="43">
        <v>0.13</v>
      </c>
      <c r="D4" s="32" t="s">
        <v>61</v>
      </c>
      <c r="E4" s="32" t="s">
        <v>61</v>
      </c>
      <c r="F4" s="33" t="s">
        <v>61</v>
      </c>
    </row>
    <row r="5" spans="1:6" ht="21" customHeight="1" x14ac:dyDescent="0.25">
      <c r="A5" s="24">
        <v>2</v>
      </c>
      <c r="B5" s="26" t="s">
        <v>8</v>
      </c>
      <c r="C5" s="43">
        <v>0.13</v>
      </c>
      <c r="D5" s="107">
        <f>'软件-报价汇总表'!G7</f>
        <v>3167173</v>
      </c>
      <c r="E5" s="107">
        <f>D5*(1+C5)</f>
        <v>3578905.4899999998</v>
      </c>
      <c r="F5" s="25"/>
    </row>
    <row r="6" spans="1:6" ht="21" customHeight="1" x14ac:dyDescent="0.25">
      <c r="A6" s="27">
        <v>3</v>
      </c>
      <c r="B6" s="28" t="s">
        <v>9</v>
      </c>
      <c r="C6" s="28"/>
      <c r="D6" s="108">
        <f>SUM(D4:D5)</f>
        <v>3167173</v>
      </c>
      <c r="E6" s="29"/>
      <c r="F6" s="30"/>
    </row>
    <row r="7" spans="1:6" ht="22.05" customHeight="1" x14ac:dyDescent="0.3">
      <c r="D7" s="23" t="s">
        <v>10</v>
      </c>
    </row>
    <row r="9" spans="1:6" ht="13.5" customHeight="1" x14ac:dyDescent="0.25">
      <c r="B9" s="31"/>
    </row>
  </sheetData>
  <mergeCells count="1">
    <mergeCell ref="A2:F2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AN8"/>
  <sheetViews>
    <sheetView workbookViewId="0">
      <selection activeCell="H5" sqref="H5"/>
    </sheetView>
  </sheetViews>
  <sheetFormatPr defaultColWidth="9" defaultRowHeight="14.25" customHeight="1" x14ac:dyDescent="0.25"/>
  <cols>
    <col min="1" max="1" width="9" style="3"/>
    <col min="2" max="2" width="22.453125" style="3" customWidth="1"/>
    <col min="3" max="3" width="12" style="3" customWidth="1"/>
    <col min="4" max="5" width="9" style="3"/>
    <col min="6" max="6" width="13.1796875" style="3" customWidth="1"/>
    <col min="7" max="8" width="15.7265625" style="3" customWidth="1"/>
    <col min="9" max="40" width="9" style="3"/>
  </cols>
  <sheetData>
    <row r="1" spans="1:8" s="21" customFormat="1" ht="37.950000000000003" customHeight="1" x14ac:dyDescent="0.3">
      <c r="A1" s="22" t="s">
        <v>0</v>
      </c>
      <c r="B1" s="23"/>
      <c r="C1" s="23"/>
      <c r="D1" s="23"/>
      <c r="E1" s="23"/>
    </row>
    <row r="2" spans="1:8" ht="30" customHeight="1" x14ac:dyDescent="0.25">
      <c r="A2" s="51" t="s">
        <v>72</v>
      </c>
      <c r="B2" s="52"/>
      <c r="C2" s="52"/>
      <c r="D2" s="52"/>
      <c r="E2" s="52"/>
      <c r="F2" s="52"/>
      <c r="G2" s="52"/>
      <c r="H2" s="52"/>
    </row>
    <row r="3" spans="1:8" ht="41.25" customHeight="1" x14ac:dyDescent="0.25">
      <c r="A3" s="13" t="s">
        <v>1</v>
      </c>
      <c r="B3" s="13" t="s">
        <v>15</v>
      </c>
      <c r="C3" s="13" t="s">
        <v>11</v>
      </c>
      <c r="D3" s="13" t="s">
        <v>12</v>
      </c>
      <c r="E3" s="13" t="s">
        <v>3</v>
      </c>
      <c r="F3" s="13" t="s">
        <v>16</v>
      </c>
      <c r="G3" s="13" t="s">
        <v>13</v>
      </c>
      <c r="H3" s="13" t="s">
        <v>17</v>
      </c>
    </row>
    <row r="4" spans="1:8" ht="41.25" customHeight="1" x14ac:dyDescent="0.25">
      <c r="A4" s="13">
        <v>1</v>
      </c>
      <c r="B4" s="13" t="s">
        <v>18</v>
      </c>
      <c r="C4" s="13">
        <v>1</v>
      </c>
      <c r="D4" s="13" t="s">
        <v>14</v>
      </c>
      <c r="E4" s="48">
        <v>0.13</v>
      </c>
      <c r="F4" s="104">
        <f>'软件-产品费用报价明细'!G12</f>
        <v>709773</v>
      </c>
      <c r="G4" s="104">
        <f>C4*F4</f>
        <v>709773</v>
      </c>
      <c r="H4" s="13"/>
    </row>
    <row r="5" spans="1:8" ht="41.25" customHeight="1" x14ac:dyDescent="0.25">
      <c r="A5" s="13">
        <v>2</v>
      </c>
      <c r="B5" s="13" t="s">
        <v>19</v>
      </c>
      <c r="C5" s="13">
        <v>1</v>
      </c>
      <c r="D5" s="13" t="s">
        <v>14</v>
      </c>
      <c r="E5" s="48">
        <v>0.13</v>
      </c>
      <c r="F5" s="104">
        <f>'软件-实施费用报价明细'!N33</f>
        <v>2457400</v>
      </c>
      <c r="G5" s="104">
        <f>C5*F5</f>
        <v>2457400</v>
      </c>
      <c r="H5" s="13"/>
    </row>
    <row r="6" spans="1:8" ht="41.25" customHeight="1" x14ac:dyDescent="0.25">
      <c r="A6" s="13">
        <v>3</v>
      </c>
      <c r="B6" s="13" t="s">
        <v>20</v>
      </c>
      <c r="C6" s="13">
        <v>2</v>
      </c>
      <c r="D6" s="13" t="s">
        <v>21</v>
      </c>
      <c r="E6" s="48">
        <v>0.13</v>
      </c>
      <c r="F6" s="103"/>
      <c r="G6" s="104">
        <f>C6*F6</f>
        <v>0</v>
      </c>
      <c r="H6" s="13">
        <f>G6*(1+E6)</f>
        <v>0</v>
      </c>
    </row>
    <row r="7" spans="1:8" ht="41.25" customHeight="1" x14ac:dyDescent="0.25">
      <c r="A7" s="13">
        <v>4</v>
      </c>
      <c r="B7" s="53" t="s">
        <v>22</v>
      </c>
      <c r="C7" s="53"/>
      <c r="D7" s="53"/>
      <c r="E7" s="53"/>
      <c r="F7" s="53"/>
      <c r="G7" s="104">
        <f>SUM(G4:G6)</f>
        <v>3167173</v>
      </c>
      <c r="H7" s="13">
        <f>SUM(H4:H6)</f>
        <v>0</v>
      </c>
    </row>
    <row r="8" spans="1:8" ht="181.2" customHeight="1" x14ac:dyDescent="0.25">
      <c r="A8" s="54" t="s">
        <v>74</v>
      </c>
      <c r="B8" s="55"/>
      <c r="C8" s="55"/>
      <c r="D8" s="55"/>
      <c r="E8" s="55"/>
      <c r="F8" s="55"/>
      <c r="G8" s="55"/>
      <c r="H8" s="55"/>
    </row>
  </sheetData>
  <mergeCells count="3">
    <mergeCell ref="A2:H2"/>
    <mergeCell ref="B7:F7"/>
    <mergeCell ref="A8:H8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AN20"/>
  <sheetViews>
    <sheetView workbookViewId="0">
      <selection activeCell="F2" sqref="F2:G10"/>
    </sheetView>
  </sheetViews>
  <sheetFormatPr defaultColWidth="9" defaultRowHeight="14.25" customHeight="1" x14ac:dyDescent="0.3"/>
  <cols>
    <col min="1" max="1" width="9" style="19"/>
    <col min="2" max="2" width="19.453125" style="19" customWidth="1"/>
    <col min="3" max="3" width="12.7265625" style="19" customWidth="1"/>
    <col min="4" max="4" width="8.1796875" style="19" customWidth="1"/>
    <col min="5" max="6" width="11.7265625" style="19" customWidth="1"/>
    <col min="7" max="8" width="13.1796875" style="19" customWidth="1"/>
    <col min="9" max="9" width="17.1796875" style="19" customWidth="1"/>
    <col min="10" max="40" width="9" style="19"/>
  </cols>
  <sheetData>
    <row r="1" spans="1:9" ht="29.25" customHeight="1" x14ac:dyDescent="0.3">
      <c r="A1" s="13" t="s">
        <v>1</v>
      </c>
      <c r="B1" s="13" t="s">
        <v>23</v>
      </c>
      <c r="C1" s="13" t="s">
        <v>24</v>
      </c>
      <c r="D1" s="13" t="s">
        <v>11</v>
      </c>
      <c r="E1" s="13" t="s">
        <v>12</v>
      </c>
      <c r="F1" s="13" t="s">
        <v>16</v>
      </c>
      <c r="G1" s="13" t="s">
        <v>25</v>
      </c>
      <c r="H1" s="13" t="s">
        <v>26</v>
      </c>
      <c r="I1" s="13" t="s">
        <v>6</v>
      </c>
    </row>
    <row r="2" spans="1:9" ht="29.25" customHeight="1" x14ac:dyDescent="0.3">
      <c r="A2" s="13">
        <v>1</v>
      </c>
      <c r="B2" s="37" t="s">
        <v>62</v>
      </c>
      <c r="C2" s="13" t="s">
        <v>75</v>
      </c>
      <c r="D2" s="13">
        <v>1</v>
      </c>
      <c r="E2" s="13" t="s">
        <v>76</v>
      </c>
      <c r="F2" s="104">
        <v>198046</v>
      </c>
      <c r="G2" s="104">
        <f>F2*D2</f>
        <v>198046</v>
      </c>
      <c r="H2" s="13"/>
      <c r="I2" s="56" t="s">
        <v>27</v>
      </c>
    </row>
    <row r="3" spans="1:9" ht="29.25" customHeight="1" x14ac:dyDescent="0.3">
      <c r="A3" s="13">
        <v>2</v>
      </c>
      <c r="B3" s="37" t="s">
        <v>63</v>
      </c>
      <c r="C3" s="13" t="s">
        <v>75</v>
      </c>
      <c r="D3" s="13">
        <v>1</v>
      </c>
      <c r="E3" s="13" t="s">
        <v>76</v>
      </c>
      <c r="F3" s="105">
        <v>42505</v>
      </c>
      <c r="G3" s="104">
        <f t="shared" ref="G3:G9" si="0">F3*D3</f>
        <v>42505</v>
      </c>
      <c r="H3" s="13"/>
      <c r="I3" s="57"/>
    </row>
    <row r="4" spans="1:9" ht="29.25" customHeight="1" x14ac:dyDescent="0.3">
      <c r="A4" s="13">
        <v>3</v>
      </c>
      <c r="B4" s="37" t="s">
        <v>64</v>
      </c>
      <c r="C4" s="13" t="s">
        <v>75</v>
      </c>
      <c r="D4" s="13">
        <v>1</v>
      </c>
      <c r="E4" s="13" t="s">
        <v>76</v>
      </c>
      <c r="F4" s="105">
        <v>129850</v>
      </c>
      <c r="G4" s="104">
        <f t="shared" si="0"/>
        <v>129850</v>
      </c>
      <c r="H4" s="13"/>
      <c r="I4" s="57"/>
    </row>
    <row r="5" spans="1:9" ht="37.5" customHeight="1" x14ac:dyDescent="0.3">
      <c r="A5" s="13">
        <v>4</v>
      </c>
      <c r="B5" s="36" t="s">
        <v>65</v>
      </c>
      <c r="C5" s="13" t="s">
        <v>75</v>
      </c>
      <c r="D5" s="13">
        <v>1</v>
      </c>
      <c r="E5" s="13" t="s">
        <v>76</v>
      </c>
      <c r="F5" s="105">
        <v>98000</v>
      </c>
      <c r="G5" s="104">
        <f t="shared" si="0"/>
        <v>98000</v>
      </c>
      <c r="H5" s="13"/>
      <c r="I5" s="57"/>
    </row>
    <row r="6" spans="1:9" ht="37.5" customHeight="1" x14ac:dyDescent="0.3">
      <c r="A6" s="13">
        <v>5</v>
      </c>
      <c r="B6" s="36" t="s">
        <v>66</v>
      </c>
      <c r="C6" s="13" t="s">
        <v>75</v>
      </c>
      <c r="D6" s="13">
        <v>1</v>
      </c>
      <c r="E6" s="13" t="s">
        <v>76</v>
      </c>
      <c r="F6" s="105">
        <v>75800</v>
      </c>
      <c r="G6" s="104">
        <f t="shared" si="0"/>
        <v>75800</v>
      </c>
      <c r="H6" s="13"/>
      <c r="I6" s="57"/>
    </row>
    <row r="7" spans="1:9" ht="37.5" customHeight="1" x14ac:dyDescent="0.3">
      <c r="A7" s="13">
        <v>6</v>
      </c>
      <c r="B7" s="38" t="s">
        <v>67</v>
      </c>
      <c r="C7" s="13" t="s">
        <v>75</v>
      </c>
      <c r="D7" s="13">
        <v>1</v>
      </c>
      <c r="E7" s="13" t="s">
        <v>76</v>
      </c>
      <c r="F7" s="105">
        <v>15007</v>
      </c>
      <c r="G7" s="104">
        <f t="shared" si="0"/>
        <v>15007</v>
      </c>
      <c r="H7" s="13"/>
      <c r="I7" s="57"/>
    </row>
    <row r="8" spans="1:9" ht="37.5" customHeight="1" x14ac:dyDescent="0.3">
      <c r="A8" s="13">
        <v>7</v>
      </c>
      <c r="B8" s="42" t="s">
        <v>70</v>
      </c>
      <c r="C8" s="13" t="s">
        <v>75</v>
      </c>
      <c r="D8" s="13">
        <v>1</v>
      </c>
      <c r="E8" s="13" t="s">
        <v>76</v>
      </c>
      <c r="F8" s="105">
        <v>9580</v>
      </c>
      <c r="G8" s="104">
        <f t="shared" si="0"/>
        <v>9580</v>
      </c>
      <c r="H8" s="13"/>
      <c r="I8" s="57"/>
    </row>
    <row r="9" spans="1:9" ht="37.5" customHeight="1" x14ac:dyDescent="0.3">
      <c r="A9" s="13">
        <v>8</v>
      </c>
      <c r="B9" s="41" t="s">
        <v>68</v>
      </c>
      <c r="C9" s="13" t="s">
        <v>75</v>
      </c>
      <c r="D9" s="13">
        <v>1</v>
      </c>
      <c r="E9" s="13" t="s">
        <v>76</v>
      </c>
      <c r="F9" s="106">
        <v>25980</v>
      </c>
      <c r="G9" s="104">
        <f t="shared" si="0"/>
        <v>25980</v>
      </c>
      <c r="H9" s="13"/>
      <c r="I9" s="57"/>
    </row>
    <row r="10" spans="1:9" ht="37.5" customHeight="1" x14ac:dyDescent="0.3">
      <c r="A10" s="13">
        <v>9</v>
      </c>
      <c r="B10" s="34" t="s">
        <v>69</v>
      </c>
      <c r="C10" s="13" t="s">
        <v>75</v>
      </c>
      <c r="D10" s="13">
        <v>1</v>
      </c>
      <c r="E10" s="13" t="s">
        <v>76</v>
      </c>
      <c r="F10" s="104">
        <v>115005</v>
      </c>
      <c r="G10" s="104">
        <f>F10*D10</f>
        <v>115005</v>
      </c>
      <c r="H10" s="13"/>
      <c r="I10" s="57"/>
    </row>
    <row r="11" spans="1:9" ht="30" customHeight="1" x14ac:dyDescent="0.3">
      <c r="A11" s="40"/>
      <c r="B11" s="40"/>
      <c r="C11" s="40"/>
      <c r="D11" s="40"/>
      <c r="E11" s="40"/>
      <c r="F11" s="13"/>
      <c r="G11" s="13"/>
      <c r="H11" s="13"/>
      <c r="I11" s="57"/>
    </row>
    <row r="12" spans="1:9" ht="24" customHeight="1" x14ac:dyDescent="0.3">
      <c r="A12" s="39" t="s">
        <v>25</v>
      </c>
      <c r="B12" s="39"/>
      <c r="C12" s="39"/>
      <c r="D12" s="39"/>
      <c r="E12" s="39"/>
      <c r="F12" s="13"/>
      <c r="G12" s="20">
        <f>SUM(G2:G11)</f>
        <v>709773</v>
      </c>
      <c r="H12" s="13"/>
      <c r="I12" s="13"/>
    </row>
    <row r="20" spans="2:2" ht="309.45" customHeight="1" x14ac:dyDescent="0.3">
      <c r="B20" s="35"/>
    </row>
  </sheetData>
  <mergeCells count="1">
    <mergeCell ref="I2:I11"/>
  </mergeCells>
  <phoneticPr fontId="24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AN41"/>
  <sheetViews>
    <sheetView tabSelected="1" workbookViewId="0">
      <pane xSplit="1" ySplit="4" topLeftCell="C15" activePane="bottomRight" state="frozen"/>
      <selection pane="topRight"/>
      <selection pane="bottomLeft"/>
      <selection pane="bottomRight" activeCell="M6" sqref="M6"/>
    </sheetView>
  </sheetViews>
  <sheetFormatPr defaultColWidth="8.81640625" defaultRowHeight="14.25" customHeight="1" x14ac:dyDescent="0.25"/>
  <cols>
    <col min="1" max="1" width="13.81640625" style="3" customWidth="1"/>
    <col min="2" max="2" width="16" style="3" customWidth="1"/>
    <col min="3" max="3" width="9.81640625" style="3" customWidth="1"/>
    <col min="4" max="11" width="17.81640625" style="3" customWidth="1"/>
    <col min="12" max="12" width="9.81640625" style="3" customWidth="1"/>
    <col min="13" max="13" width="15.81640625" style="3" customWidth="1"/>
    <col min="14" max="14" width="12.81640625" style="3" customWidth="1"/>
    <col min="15" max="40" width="8.81640625" style="3"/>
  </cols>
  <sheetData>
    <row r="1" spans="1:14" s="1" customFormat="1" ht="25.5" customHeight="1" x14ac:dyDescent="0.15">
      <c r="A1" s="66" t="s">
        <v>28</v>
      </c>
      <c r="B1" s="67"/>
      <c r="C1" s="67"/>
      <c r="D1" s="67"/>
      <c r="E1" s="67"/>
      <c r="F1" s="67"/>
      <c r="G1" s="67"/>
      <c r="H1" s="67"/>
      <c r="I1" s="67"/>
      <c r="J1" s="67"/>
    </row>
    <row r="2" spans="1:14" ht="25.5" customHeight="1" x14ac:dyDescent="0.25">
      <c r="A2" s="68" t="s">
        <v>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70"/>
    </row>
    <row r="3" spans="1:14" s="2" customFormat="1" ht="14.25" customHeight="1" x14ac:dyDescent="0.3">
      <c r="A3" s="78" t="s">
        <v>29</v>
      </c>
      <c r="B3" s="74" t="s">
        <v>30</v>
      </c>
      <c r="C3" s="93" t="s">
        <v>31</v>
      </c>
      <c r="D3" s="71" t="s">
        <v>32</v>
      </c>
      <c r="E3" s="72"/>
      <c r="F3" s="72"/>
      <c r="G3" s="72"/>
      <c r="H3" s="72"/>
      <c r="I3" s="72"/>
      <c r="J3" s="72"/>
      <c r="K3" s="72"/>
      <c r="L3" s="73"/>
      <c r="M3" s="74" t="s">
        <v>33</v>
      </c>
      <c r="N3" s="75"/>
    </row>
    <row r="4" spans="1:14" s="2" customFormat="1" ht="73.2" customHeight="1" x14ac:dyDescent="0.3">
      <c r="A4" s="79"/>
      <c r="B4" s="80"/>
      <c r="C4" s="94"/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95" t="s">
        <v>42</v>
      </c>
      <c r="M4" s="81" t="s">
        <v>43</v>
      </c>
      <c r="N4" s="83" t="s">
        <v>44</v>
      </c>
    </row>
    <row r="5" spans="1:14" s="2" customFormat="1" ht="16.5" customHeight="1" x14ac:dyDescent="0.3">
      <c r="A5" s="6"/>
      <c r="B5" s="4" t="s">
        <v>45</v>
      </c>
      <c r="C5" s="7" t="s">
        <v>46</v>
      </c>
      <c r="D5" s="8" t="s">
        <v>47</v>
      </c>
      <c r="E5" s="9" t="s">
        <v>48</v>
      </c>
      <c r="F5" s="9" t="s">
        <v>48</v>
      </c>
      <c r="G5" s="9" t="s">
        <v>48</v>
      </c>
      <c r="H5" s="9" t="s">
        <v>48</v>
      </c>
      <c r="I5" s="9" t="s">
        <v>48</v>
      </c>
      <c r="J5" s="9" t="s">
        <v>48</v>
      </c>
      <c r="K5" s="9" t="s">
        <v>48</v>
      </c>
      <c r="L5" s="94"/>
      <c r="M5" s="82"/>
      <c r="N5" s="84"/>
    </row>
    <row r="6" spans="1:14" ht="14.25" customHeight="1" x14ac:dyDescent="0.25">
      <c r="A6" s="65" t="s">
        <v>77</v>
      </c>
      <c r="B6" s="63" t="s">
        <v>51</v>
      </c>
      <c r="C6" s="44" t="s">
        <v>49</v>
      </c>
      <c r="D6" s="58" t="s">
        <v>78</v>
      </c>
      <c r="E6" s="58" t="s">
        <v>79</v>
      </c>
      <c r="F6" s="58" t="s">
        <v>80</v>
      </c>
      <c r="G6" s="58" t="s">
        <v>81</v>
      </c>
      <c r="H6" s="60" t="s">
        <v>82</v>
      </c>
      <c r="I6" s="60" t="s">
        <v>83</v>
      </c>
      <c r="J6" s="60" t="s">
        <v>84</v>
      </c>
      <c r="K6" s="60" t="s">
        <v>85</v>
      </c>
      <c r="L6" s="45">
        <f>43+60</f>
        <v>103</v>
      </c>
      <c r="M6" s="113">
        <v>3000</v>
      </c>
      <c r="N6" s="114">
        <f t="shared" ref="N6:N31" si="0">M6*L6</f>
        <v>309000</v>
      </c>
    </row>
    <row r="7" spans="1:14" ht="14.25" customHeight="1" x14ac:dyDescent="0.25">
      <c r="A7" s="62"/>
      <c r="B7" s="64"/>
      <c r="C7" s="46" t="s">
        <v>50</v>
      </c>
      <c r="D7" s="59"/>
      <c r="E7" s="59"/>
      <c r="F7" s="59"/>
      <c r="G7" s="59"/>
      <c r="H7" s="60"/>
      <c r="I7" s="60"/>
      <c r="J7" s="60"/>
      <c r="K7" s="60"/>
      <c r="L7" s="47">
        <v>70</v>
      </c>
      <c r="M7" s="115">
        <v>1900</v>
      </c>
      <c r="N7" s="115">
        <f t="shared" si="0"/>
        <v>133000</v>
      </c>
    </row>
    <row r="8" spans="1:14" ht="14.25" customHeight="1" x14ac:dyDescent="0.25">
      <c r="A8" s="65" t="s">
        <v>86</v>
      </c>
      <c r="B8" s="63" t="s">
        <v>87</v>
      </c>
      <c r="C8" s="44" t="s">
        <v>49</v>
      </c>
      <c r="D8" s="58" t="s">
        <v>78</v>
      </c>
      <c r="E8" s="58" t="s">
        <v>79</v>
      </c>
      <c r="F8" s="58" t="s">
        <v>80</v>
      </c>
      <c r="G8" s="58"/>
      <c r="H8" s="60"/>
      <c r="I8" s="60" t="s">
        <v>83</v>
      </c>
      <c r="J8" s="60" t="s">
        <v>84</v>
      </c>
      <c r="K8" s="60"/>
      <c r="L8" s="45">
        <v>25</v>
      </c>
      <c r="M8" s="113">
        <v>1900</v>
      </c>
      <c r="N8" s="114">
        <f t="shared" si="0"/>
        <v>47500</v>
      </c>
    </row>
    <row r="9" spans="1:14" ht="14.25" customHeight="1" x14ac:dyDescent="0.25">
      <c r="A9" s="62"/>
      <c r="B9" s="64"/>
      <c r="C9" s="46" t="s">
        <v>50</v>
      </c>
      <c r="D9" s="59"/>
      <c r="E9" s="59"/>
      <c r="F9" s="59"/>
      <c r="G9" s="59"/>
      <c r="H9" s="60"/>
      <c r="I9" s="60"/>
      <c r="J9" s="60"/>
      <c r="K9" s="60"/>
      <c r="L9" s="47">
        <v>35</v>
      </c>
      <c r="M9" s="115">
        <v>1900</v>
      </c>
      <c r="N9" s="115">
        <f t="shared" si="0"/>
        <v>66500</v>
      </c>
    </row>
    <row r="10" spans="1:14" ht="14.25" customHeight="1" x14ac:dyDescent="0.25">
      <c r="A10" s="65" t="s">
        <v>88</v>
      </c>
      <c r="B10" s="63" t="s">
        <v>89</v>
      </c>
      <c r="C10" s="44" t="s">
        <v>49</v>
      </c>
      <c r="D10" s="58"/>
      <c r="E10" s="58"/>
      <c r="F10" s="58" t="s">
        <v>80</v>
      </c>
      <c r="G10" s="58" t="s">
        <v>81</v>
      </c>
      <c r="H10" s="60" t="s">
        <v>82</v>
      </c>
      <c r="I10" s="60"/>
      <c r="J10" s="60" t="s">
        <v>84</v>
      </c>
      <c r="K10" s="60" t="s">
        <v>85</v>
      </c>
      <c r="L10" s="45">
        <v>10</v>
      </c>
      <c r="M10" s="113">
        <v>1900</v>
      </c>
      <c r="N10" s="114">
        <f t="shared" si="0"/>
        <v>19000</v>
      </c>
    </row>
    <row r="11" spans="1:14" ht="14.25" customHeight="1" x14ac:dyDescent="0.25">
      <c r="A11" s="62"/>
      <c r="B11" s="64"/>
      <c r="C11" s="46" t="s">
        <v>50</v>
      </c>
      <c r="D11" s="59"/>
      <c r="E11" s="59"/>
      <c r="F11" s="59"/>
      <c r="G11" s="59"/>
      <c r="H11" s="60"/>
      <c r="I11" s="60"/>
      <c r="J11" s="60"/>
      <c r="K11" s="60"/>
      <c r="L11" s="47">
        <v>70</v>
      </c>
      <c r="M11" s="115">
        <v>1900</v>
      </c>
      <c r="N11" s="115">
        <f t="shared" si="0"/>
        <v>133000</v>
      </c>
    </row>
    <row r="12" spans="1:14" ht="14.25" customHeight="1" x14ac:dyDescent="0.25">
      <c r="A12" s="65" t="s">
        <v>90</v>
      </c>
      <c r="B12" s="63" t="s">
        <v>89</v>
      </c>
      <c r="C12" s="44" t="s">
        <v>49</v>
      </c>
      <c r="D12" s="58"/>
      <c r="E12" s="58"/>
      <c r="F12" s="58" t="s">
        <v>80</v>
      </c>
      <c r="G12" s="58" t="s">
        <v>81</v>
      </c>
      <c r="H12" s="60" t="s">
        <v>82</v>
      </c>
      <c r="I12" s="60"/>
      <c r="J12" s="60"/>
      <c r="K12" s="60"/>
      <c r="L12" s="45">
        <f>25+10</f>
        <v>35</v>
      </c>
      <c r="M12" s="113">
        <v>1900</v>
      </c>
      <c r="N12" s="114">
        <f t="shared" si="0"/>
        <v>66500</v>
      </c>
    </row>
    <row r="13" spans="1:14" ht="14.25" customHeight="1" x14ac:dyDescent="0.25">
      <c r="A13" s="62"/>
      <c r="B13" s="64"/>
      <c r="C13" s="46" t="s">
        <v>50</v>
      </c>
      <c r="D13" s="59"/>
      <c r="E13" s="59"/>
      <c r="F13" s="59"/>
      <c r="G13" s="59"/>
      <c r="H13" s="60"/>
      <c r="I13" s="60"/>
      <c r="J13" s="60"/>
      <c r="K13" s="60"/>
      <c r="L13" s="47">
        <v>70</v>
      </c>
      <c r="M13" s="115">
        <v>3000</v>
      </c>
      <c r="N13" s="115">
        <f t="shared" si="0"/>
        <v>210000</v>
      </c>
    </row>
    <row r="14" spans="1:14" ht="14.25" customHeight="1" x14ac:dyDescent="0.25">
      <c r="A14" s="65" t="s">
        <v>91</v>
      </c>
      <c r="B14" s="63" t="s">
        <v>92</v>
      </c>
      <c r="C14" s="44" t="s">
        <v>49</v>
      </c>
      <c r="D14" s="58"/>
      <c r="E14" s="58"/>
      <c r="F14" s="58" t="s">
        <v>80</v>
      </c>
      <c r="G14" s="58" t="s">
        <v>81</v>
      </c>
      <c r="H14" s="60" t="s">
        <v>82</v>
      </c>
      <c r="I14" s="60"/>
      <c r="J14" s="60" t="s">
        <v>84</v>
      </c>
      <c r="K14" s="60" t="s">
        <v>93</v>
      </c>
      <c r="L14" s="45">
        <v>80</v>
      </c>
      <c r="M14" s="113">
        <v>3000</v>
      </c>
      <c r="N14" s="114">
        <f t="shared" si="0"/>
        <v>240000</v>
      </c>
    </row>
    <row r="15" spans="1:14" ht="14.25" customHeight="1" x14ac:dyDescent="0.25">
      <c r="A15" s="62"/>
      <c r="B15" s="64"/>
      <c r="C15" s="46" t="s">
        <v>50</v>
      </c>
      <c r="D15" s="59"/>
      <c r="E15" s="59"/>
      <c r="F15" s="59"/>
      <c r="G15" s="59"/>
      <c r="H15" s="60"/>
      <c r="I15" s="60"/>
      <c r="J15" s="60"/>
      <c r="K15" s="60"/>
      <c r="L15" s="47">
        <v>80</v>
      </c>
      <c r="M15" s="115">
        <v>1900</v>
      </c>
      <c r="N15" s="115">
        <f t="shared" si="0"/>
        <v>152000</v>
      </c>
    </row>
    <row r="16" spans="1:14" ht="14.25" customHeight="1" x14ac:dyDescent="0.25">
      <c r="A16" s="61" t="s">
        <v>94</v>
      </c>
      <c r="B16" s="63" t="s">
        <v>92</v>
      </c>
      <c r="C16" s="44" t="s">
        <v>49</v>
      </c>
      <c r="D16" s="58"/>
      <c r="E16" s="58"/>
      <c r="F16" s="58" t="s">
        <v>80</v>
      </c>
      <c r="G16" s="58" t="s">
        <v>81</v>
      </c>
      <c r="H16" s="60" t="s">
        <v>82</v>
      </c>
      <c r="I16" s="60"/>
      <c r="J16" s="60" t="s">
        <v>84</v>
      </c>
      <c r="K16" s="60"/>
      <c r="L16" s="45">
        <v>80</v>
      </c>
      <c r="M16" s="113">
        <v>3000</v>
      </c>
      <c r="N16" s="114">
        <f t="shared" si="0"/>
        <v>240000</v>
      </c>
    </row>
    <row r="17" spans="1:14" ht="14.25" customHeight="1" x14ac:dyDescent="0.25">
      <c r="A17" s="62"/>
      <c r="B17" s="64"/>
      <c r="C17" s="46" t="s">
        <v>50</v>
      </c>
      <c r="D17" s="59"/>
      <c r="E17" s="59"/>
      <c r="F17" s="59"/>
      <c r="G17" s="59"/>
      <c r="H17" s="60"/>
      <c r="I17" s="60"/>
      <c r="J17" s="60"/>
      <c r="K17" s="60"/>
      <c r="L17" s="47">
        <v>80</v>
      </c>
      <c r="M17" s="115">
        <v>1900</v>
      </c>
      <c r="N17" s="115">
        <f t="shared" si="0"/>
        <v>152000</v>
      </c>
    </row>
    <row r="18" spans="1:14" ht="14.25" customHeight="1" x14ac:dyDescent="0.25">
      <c r="A18" s="61" t="s">
        <v>95</v>
      </c>
      <c r="B18" s="63" t="s">
        <v>92</v>
      </c>
      <c r="C18" s="44" t="s">
        <v>49</v>
      </c>
      <c r="D18" s="58"/>
      <c r="E18" s="58"/>
      <c r="F18" s="58" t="s">
        <v>96</v>
      </c>
      <c r="G18" s="58" t="s">
        <v>81</v>
      </c>
      <c r="H18" s="60" t="s">
        <v>82</v>
      </c>
      <c r="I18" s="60"/>
      <c r="J18" s="60"/>
      <c r="K18" s="60"/>
      <c r="L18" s="45">
        <v>20</v>
      </c>
      <c r="M18" s="113">
        <v>3000</v>
      </c>
      <c r="N18" s="114">
        <f t="shared" si="0"/>
        <v>60000</v>
      </c>
    </row>
    <row r="19" spans="1:14" ht="14.25" customHeight="1" x14ac:dyDescent="0.25">
      <c r="A19" s="62"/>
      <c r="B19" s="64"/>
      <c r="C19" s="46" t="s">
        <v>50</v>
      </c>
      <c r="D19" s="59"/>
      <c r="E19" s="59"/>
      <c r="F19" s="59"/>
      <c r="G19" s="59"/>
      <c r="H19" s="60"/>
      <c r="I19" s="60"/>
      <c r="J19" s="60"/>
      <c r="K19" s="60"/>
      <c r="L19" s="47">
        <v>80</v>
      </c>
      <c r="M19" s="115">
        <v>1900</v>
      </c>
      <c r="N19" s="115">
        <f t="shared" si="0"/>
        <v>152000</v>
      </c>
    </row>
    <row r="20" spans="1:14" ht="14.25" customHeight="1" x14ac:dyDescent="0.25">
      <c r="A20" s="61" t="s">
        <v>97</v>
      </c>
      <c r="B20" s="63" t="s">
        <v>98</v>
      </c>
      <c r="C20" s="44" t="s">
        <v>49</v>
      </c>
      <c r="D20" s="58"/>
      <c r="E20" s="58"/>
      <c r="F20" s="58"/>
      <c r="G20" s="58" t="s">
        <v>99</v>
      </c>
      <c r="H20" s="60" t="s">
        <v>82</v>
      </c>
      <c r="I20" s="60" t="s">
        <v>83</v>
      </c>
      <c r="J20" s="60" t="s">
        <v>84</v>
      </c>
      <c r="K20" s="60" t="s">
        <v>93</v>
      </c>
      <c r="L20" s="45">
        <v>20</v>
      </c>
      <c r="M20" s="113">
        <v>1900</v>
      </c>
      <c r="N20" s="114">
        <f t="shared" si="0"/>
        <v>38000</v>
      </c>
    </row>
    <row r="21" spans="1:14" ht="14.25" customHeight="1" x14ac:dyDescent="0.25">
      <c r="A21" s="62"/>
      <c r="B21" s="64"/>
      <c r="C21" s="46" t="s">
        <v>50</v>
      </c>
      <c r="D21" s="59"/>
      <c r="E21" s="59"/>
      <c r="F21" s="59"/>
      <c r="G21" s="59"/>
      <c r="H21" s="60"/>
      <c r="I21" s="60"/>
      <c r="J21" s="60"/>
      <c r="K21" s="60"/>
      <c r="L21" s="47">
        <v>40</v>
      </c>
      <c r="M21" s="115">
        <v>1900</v>
      </c>
      <c r="N21" s="115">
        <f t="shared" si="0"/>
        <v>76000</v>
      </c>
    </row>
    <row r="22" spans="1:14" ht="14.25" customHeight="1" x14ac:dyDescent="0.25">
      <c r="A22" s="61" t="s">
        <v>100</v>
      </c>
      <c r="B22" s="63" t="s">
        <v>101</v>
      </c>
      <c r="C22" s="44" t="s">
        <v>49</v>
      </c>
      <c r="D22" s="58"/>
      <c r="E22" s="58" t="s">
        <v>102</v>
      </c>
      <c r="F22" s="58" t="s">
        <v>103</v>
      </c>
      <c r="G22" s="58"/>
      <c r="H22" s="60" t="s">
        <v>82</v>
      </c>
      <c r="I22" s="60"/>
      <c r="J22" s="60" t="s">
        <v>84</v>
      </c>
      <c r="K22" s="60"/>
      <c r="L22" s="45">
        <v>0</v>
      </c>
      <c r="M22" s="113">
        <v>1900</v>
      </c>
      <c r="N22" s="114">
        <f t="shared" si="0"/>
        <v>0</v>
      </c>
    </row>
    <row r="23" spans="1:14" ht="14.25" customHeight="1" x14ac:dyDescent="0.25">
      <c r="A23" s="62"/>
      <c r="B23" s="64"/>
      <c r="C23" s="46" t="s">
        <v>50</v>
      </c>
      <c r="D23" s="59"/>
      <c r="E23" s="59"/>
      <c r="F23" s="59"/>
      <c r="G23" s="59"/>
      <c r="H23" s="60"/>
      <c r="I23" s="60"/>
      <c r="J23" s="60"/>
      <c r="K23" s="60"/>
      <c r="L23" s="47">
        <v>30</v>
      </c>
      <c r="M23" s="115">
        <v>1900</v>
      </c>
      <c r="N23" s="115">
        <f t="shared" si="0"/>
        <v>57000</v>
      </c>
    </row>
    <row r="24" spans="1:14" ht="14.25" customHeight="1" x14ac:dyDescent="0.25">
      <c r="A24" s="61" t="s">
        <v>104</v>
      </c>
      <c r="B24" s="63" t="s">
        <v>105</v>
      </c>
      <c r="C24" s="44" t="s">
        <v>49</v>
      </c>
      <c r="D24" s="58"/>
      <c r="E24" s="58"/>
      <c r="F24" s="58"/>
      <c r="G24" s="58" t="s">
        <v>99</v>
      </c>
      <c r="H24" s="60" t="s">
        <v>82</v>
      </c>
      <c r="I24" s="60" t="s">
        <v>83</v>
      </c>
      <c r="J24" s="60" t="s">
        <v>84</v>
      </c>
      <c r="K24" s="60"/>
      <c r="L24" s="45">
        <v>30</v>
      </c>
      <c r="M24" s="113">
        <v>1900</v>
      </c>
      <c r="N24" s="114">
        <f t="shared" si="0"/>
        <v>57000</v>
      </c>
    </row>
    <row r="25" spans="1:14" ht="14.25" customHeight="1" x14ac:dyDescent="0.25">
      <c r="A25" s="62"/>
      <c r="B25" s="64"/>
      <c r="C25" s="46" t="s">
        <v>50</v>
      </c>
      <c r="D25" s="59"/>
      <c r="E25" s="59"/>
      <c r="F25" s="59"/>
      <c r="G25" s="59"/>
      <c r="H25" s="60"/>
      <c r="I25" s="60"/>
      <c r="J25" s="60"/>
      <c r="K25" s="60"/>
      <c r="L25" s="47">
        <v>10</v>
      </c>
      <c r="M25" s="115">
        <v>1900</v>
      </c>
      <c r="N25" s="115">
        <f t="shared" si="0"/>
        <v>19000</v>
      </c>
    </row>
    <row r="26" spans="1:14" ht="14.25" customHeight="1" x14ac:dyDescent="0.25">
      <c r="A26" s="61" t="s">
        <v>106</v>
      </c>
      <c r="B26" s="63" t="s">
        <v>105</v>
      </c>
      <c r="C26" s="44" t="s">
        <v>49</v>
      </c>
      <c r="D26" s="58"/>
      <c r="E26" s="58"/>
      <c r="F26" s="58"/>
      <c r="G26" s="58" t="s">
        <v>99</v>
      </c>
      <c r="H26" s="60" t="s">
        <v>82</v>
      </c>
      <c r="I26" s="60"/>
      <c r="J26" s="60"/>
      <c r="K26" s="60" t="s">
        <v>85</v>
      </c>
      <c r="L26" s="45">
        <v>30</v>
      </c>
      <c r="M26" s="113">
        <v>1900</v>
      </c>
      <c r="N26" s="114">
        <f t="shared" si="0"/>
        <v>57000</v>
      </c>
    </row>
    <row r="27" spans="1:14" ht="14.25" customHeight="1" x14ac:dyDescent="0.25">
      <c r="A27" s="62"/>
      <c r="B27" s="64"/>
      <c r="C27" s="46" t="s">
        <v>50</v>
      </c>
      <c r="D27" s="59"/>
      <c r="E27" s="59"/>
      <c r="F27" s="59"/>
      <c r="G27" s="59"/>
      <c r="H27" s="60"/>
      <c r="I27" s="60"/>
      <c r="J27" s="60"/>
      <c r="K27" s="60"/>
      <c r="L27" s="47">
        <v>11</v>
      </c>
      <c r="M27" s="115">
        <v>1900</v>
      </c>
      <c r="N27" s="115">
        <f t="shared" si="0"/>
        <v>20900</v>
      </c>
    </row>
    <row r="28" spans="1:14" ht="14.25" customHeight="1" x14ac:dyDescent="0.25">
      <c r="A28" s="61" t="s">
        <v>107</v>
      </c>
      <c r="B28" s="63" t="s">
        <v>108</v>
      </c>
      <c r="C28" s="44" t="s">
        <v>49</v>
      </c>
      <c r="D28" s="58" t="s">
        <v>109</v>
      </c>
      <c r="E28" s="58" t="s">
        <v>79</v>
      </c>
      <c r="F28" s="58" t="s">
        <v>110</v>
      </c>
      <c r="G28" s="58"/>
      <c r="H28" s="60"/>
      <c r="I28" s="60" t="s">
        <v>83</v>
      </c>
      <c r="J28" s="60"/>
      <c r="K28" s="60"/>
      <c r="L28" s="45">
        <v>10</v>
      </c>
      <c r="M28" s="113">
        <v>1900</v>
      </c>
      <c r="N28" s="114">
        <f t="shared" si="0"/>
        <v>19000</v>
      </c>
    </row>
    <row r="29" spans="1:14" ht="14.25" customHeight="1" x14ac:dyDescent="0.25">
      <c r="A29" s="62"/>
      <c r="B29" s="64"/>
      <c r="C29" s="46" t="s">
        <v>50</v>
      </c>
      <c r="D29" s="59"/>
      <c r="E29" s="59"/>
      <c r="F29" s="59"/>
      <c r="G29" s="59"/>
      <c r="H29" s="60"/>
      <c r="I29" s="60"/>
      <c r="J29" s="60"/>
      <c r="K29" s="60"/>
      <c r="L29" s="47">
        <v>30</v>
      </c>
      <c r="M29" s="115">
        <v>1900</v>
      </c>
      <c r="N29" s="115">
        <f t="shared" si="0"/>
        <v>57000</v>
      </c>
    </row>
    <row r="30" spans="1:14" ht="14.25" customHeight="1" x14ac:dyDescent="0.25">
      <c r="A30" s="61" t="s">
        <v>111</v>
      </c>
      <c r="B30" s="63" t="s">
        <v>112</v>
      </c>
      <c r="C30" s="44" t="s">
        <v>49</v>
      </c>
      <c r="D30" s="58" t="s">
        <v>109</v>
      </c>
      <c r="E30" s="58" t="s">
        <v>79</v>
      </c>
      <c r="F30" s="58" t="s">
        <v>80</v>
      </c>
      <c r="G30" s="58" t="s">
        <v>99</v>
      </c>
      <c r="H30" s="60" t="s">
        <v>82</v>
      </c>
      <c r="I30" s="60" t="s">
        <v>83</v>
      </c>
      <c r="J30" s="60" t="s">
        <v>84</v>
      </c>
      <c r="K30" s="60" t="s">
        <v>85</v>
      </c>
      <c r="L30" s="45">
        <v>10</v>
      </c>
      <c r="M30" s="113">
        <v>1900</v>
      </c>
      <c r="N30" s="114">
        <f t="shared" si="0"/>
        <v>19000</v>
      </c>
    </row>
    <row r="31" spans="1:14" ht="14.25" customHeight="1" x14ac:dyDescent="0.25">
      <c r="A31" s="62"/>
      <c r="B31" s="64"/>
      <c r="C31" s="46" t="s">
        <v>50</v>
      </c>
      <c r="D31" s="59"/>
      <c r="E31" s="59"/>
      <c r="F31" s="59"/>
      <c r="G31" s="59"/>
      <c r="H31" s="60"/>
      <c r="I31" s="60"/>
      <c r="J31" s="60"/>
      <c r="K31" s="60"/>
      <c r="L31" s="47">
        <v>30</v>
      </c>
      <c r="M31" s="115">
        <v>1900</v>
      </c>
      <c r="N31" s="115">
        <f t="shared" si="0"/>
        <v>57000</v>
      </c>
    </row>
    <row r="32" spans="1:14" ht="14.25" customHeight="1" x14ac:dyDescent="0.25">
      <c r="A32" s="10"/>
      <c r="B32" s="11" t="s">
        <v>52</v>
      </c>
      <c r="C32" s="12"/>
      <c r="D32" s="12"/>
      <c r="E32" s="12"/>
      <c r="F32" s="12"/>
      <c r="G32" s="12"/>
      <c r="H32" s="12"/>
      <c r="I32" s="12"/>
      <c r="J32" s="12"/>
      <c r="K32" s="12"/>
      <c r="L32" s="14"/>
      <c r="M32" s="111"/>
      <c r="N32" s="109"/>
    </row>
    <row r="33" spans="1:14" ht="14.25" customHeight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6" t="s">
        <v>53</v>
      </c>
      <c r="L33" s="17">
        <f>SUM(L6:L32)</f>
        <v>1089</v>
      </c>
      <c r="M33" s="110" t="s">
        <v>54</v>
      </c>
      <c r="N33" s="112">
        <f>SUM(N6:N32)</f>
        <v>2457400</v>
      </c>
    </row>
    <row r="34" spans="1:14" ht="14.25" customHeight="1" x14ac:dyDescent="0.25">
      <c r="A34" s="87" t="s">
        <v>55</v>
      </c>
      <c r="B34" s="88"/>
      <c r="C34" s="76" t="s">
        <v>56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7"/>
    </row>
    <row r="35" spans="1:14" ht="14.25" customHeight="1" x14ac:dyDescent="0.25">
      <c r="A35" s="87"/>
      <c r="B35" s="88"/>
      <c r="C35" s="96" t="s">
        <v>57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8"/>
    </row>
    <row r="36" spans="1:14" ht="14.25" customHeight="1" x14ac:dyDescent="0.25">
      <c r="A36" s="91"/>
      <c r="B36" s="92"/>
      <c r="C36" s="76" t="s">
        <v>58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</row>
    <row r="37" spans="1:14" ht="14.25" customHeight="1" x14ac:dyDescent="0.25">
      <c r="A37" s="85" t="s">
        <v>59</v>
      </c>
      <c r="B37" s="86"/>
      <c r="C37" s="99" t="s">
        <v>113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100"/>
    </row>
    <row r="38" spans="1:14" ht="14.25" customHeight="1" x14ac:dyDescent="0.25">
      <c r="A38" s="87"/>
      <c r="B38" s="88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100"/>
    </row>
    <row r="39" spans="1:14" ht="14.25" customHeight="1" x14ac:dyDescent="0.25">
      <c r="A39" s="89"/>
      <c r="B39" s="90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2"/>
    </row>
    <row r="41" spans="1:14" ht="14.25" customHeight="1" x14ac:dyDescent="0.25">
      <c r="A41" s="18" t="s">
        <v>60</v>
      </c>
    </row>
  </sheetData>
  <sheetProtection insertHyperlinks="0" autoFilter="0"/>
  <mergeCells count="148">
    <mergeCell ref="A37:B39"/>
    <mergeCell ref="A34:B36"/>
    <mergeCell ref="C3:C4"/>
    <mergeCell ref="L4:L5"/>
    <mergeCell ref="C35:N35"/>
    <mergeCell ref="C36:N36"/>
    <mergeCell ref="C37:N37"/>
    <mergeCell ref="C38:N38"/>
    <mergeCell ref="C39:N39"/>
    <mergeCell ref="A6:A7"/>
    <mergeCell ref="B6:B7"/>
    <mergeCell ref="A1:J1"/>
    <mergeCell ref="A2:N2"/>
    <mergeCell ref="D3:L3"/>
    <mergeCell ref="M3:N3"/>
    <mergeCell ref="C34:N34"/>
    <mergeCell ref="A3:A4"/>
    <mergeCell ref="B3:B4"/>
    <mergeCell ref="M4:M5"/>
    <mergeCell ref="N4:N5"/>
    <mergeCell ref="I6:I7"/>
    <mergeCell ref="J6:J7"/>
    <mergeCell ref="K6:K7"/>
    <mergeCell ref="A8:A9"/>
    <mergeCell ref="B8:B9"/>
    <mergeCell ref="D8:D9"/>
    <mergeCell ref="E8:E9"/>
    <mergeCell ref="F8:F9"/>
    <mergeCell ref="G8:G9"/>
    <mergeCell ref="H8:H9"/>
    <mergeCell ref="I8:I9"/>
    <mergeCell ref="J8:J9"/>
    <mergeCell ref="K8:K9"/>
    <mergeCell ref="D6:D7"/>
    <mergeCell ref="E6:E7"/>
    <mergeCell ref="F6:F7"/>
    <mergeCell ref="G6:G7"/>
    <mergeCell ref="H6:H7"/>
    <mergeCell ref="G10:G11"/>
    <mergeCell ref="H10:H11"/>
    <mergeCell ref="I10:I11"/>
    <mergeCell ref="J10:J11"/>
    <mergeCell ref="K10:K11"/>
    <mergeCell ref="A10:A11"/>
    <mergeCell ref="B10:B11"/>
    <mergeCell ref="D10:D11"/>
    <mergeCell ref="E10:E11"/>
    <mergeCell ref="F10:F11"/>
    <mergeCell ref="G12:G13"/>
    <mergeCell ref="H12:H13"/>
    <mergeCell ref="I12:I13"/>
    <mergeCell ref="J12:J13"/>
    <mergeCell ref="K12:K13"/>
    <mergeCell ref="A12:A13"/>
    <mergeCell ref="B12:B13"/>
    <mergeCell ref="D12:D13"/>
    <mergeCell ref="E12:E13"/>
    <mergeCell ref="F12:F13"/>
    <mergeCell ref="G14:G15"/>
    <mergeCell ref="H14:H15"/>
    <mergeCell ref="I14:I15"/>
    <mergeCell ref="J14:J15"/>
    <mergeCell ref="K14:K15"/>
    <mergeCell ref="A14:A15"/>
    <mergeCell ref="B14:B15"/>
    <mergeCell ref="D14:D15"/>
    <mergeCell ref="E14:E15"/>
    <mergeCell ref="F14:F15"/>
    <mergeCell ref="G16:G17"/>
    <mergeCell ref="H16:H17"/>
    <mergeCell ref="I16:I17"/>
    <mergeCell ref="J16:J17"/>
    <mergeCell ref="K16:K17"/>
    <mergeCell ref="A16:A17"/>
    <mergeCell ref="B16:B17"/>
    <mergeCell ref="D16:D17"/>
    <mergeCell ref="E16:E17"/>
    <mergeCell ref="F16:F17"/>
    <mergeCell ref="G18:G19"/>
    <mergeCell ref="H18:H19"/>
    <mergeCell ref="I18:I19"/>
    <mergeCell ref="J18:J19"/>
    <mergeCell ref="K18:K19"/>
    <mergeCell ref="A18:A19"/>
    <mergeCell ref="B18:B19"/>
    <mergeCell ref="D18:D19"/>
    <mergeCell ref="E18:E19"/>
    <mergeCell ref="F18:F19"/>
    <mergeCell ref="G20:G21"/>
    <mergeCell ref="H20:H21"/>
    <mergeCell ref="I20:I21"/>
    <mergeCell ref="J20:J21"/>
    <mergeCell ref="K20:K21"/>
    <mergeCell ref="A20:A21"/>
    <mergeCell ref="B20:B21"/>
    <mergeCell ref="D20:D21"/>
    <mergeCell ref="E20:E21"/>
    <mergeCell ref="F20:F21"/>
    <mergeCell ref="G22:G23"/>
    <mergeCell ref="H22:H23"/>
    <mergeCell ref="I22:I23"/>
    <mergeCell ref="J22:J23"/>
    <mergeCell ref="K22:K23"/>
    <mergeCell ref="A22:A23"/>
    <mergeCell ref="B22:B23"/>
    <mergeCell ref="D22:D23"/>
    <mergeCell ref="E22:E23"/>
    <mergeCell ref="F22:F23"/>
    <mergeCell ref="G24:G25"/>
    <mergeCell ref="H24:H25"/>
    <mergeCell ref="I24:I25"/>
    <mergeCell ref="J24:J25"/>
    <mergeCell ref="K24:K25"/>
    <mergeCell ref="A24:A25"/>
    <mergeCell ref="B24:B25"/>
    <mergeCell ref="D24:D25"/>
    <mergeCell ref="E24:E25"/>
    <mergeCell ref="F24:F25"/>
    <mergeCell ref="G26:G27"/>
    <mergeCell ref="H26:H27"/>
    <mergeCell ref="I26:I27"/>
    <mergeCell ref="J26:J27"/>
    <mergeCell ref="K26:K27"/>
    <mergeCell ref="A26:A27"/>
    <mergeCell ref="B26:B27"/>
    <mergeCell ref="D26:D27"/>
    <mergeCell ref="E26:E27"/>
    <mergeCell ref="F26:F27"/>
    <mergeCell ref="G28:G29"/>
    <mergeCell ref="H28:H29"/>
    <mergeCell ref="I28:I29"/>
    <mergeCell ref="J28:J29"/>
    <mergeCell ref="K28:K29"/>
    <mergeCell ref="A28:A29"/>
    <mergeCell ref="B28:B29"/>
    <mergeCell ref="D28:D29"/>
    <mergeCell ref="E28:E29"/>
    <mergeCell ref="F28:F29"/>
    <mergeCell ref="G30:G31"/>
    <mergeCell ref="H30:H31"/>
    <mergeCell ref="I30:I31"/>
    <mergeCell ref="J30:J31"/>
    <mergeCell ref="K30:K31"/>
    <mergeCell ref="A30:A31"/>
    <mergeCell ref="B30:B31"/>
    <mergeCell ref="D30:D31"/>
    <mergeCell ref="E30:E31"/>
    <mergeCell ref="F30:F31"/>
  </mergeCells>
  <phoneticPr fontId="2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总价汇总表</vt:lpstr>
      <vt:lpstr>软件-报价汇总表</vt:lpstr>
      <vt:lpstr>软件-产品费用报价明细</vt:lpstr>
      <vt:lpstr>软件-实施费用报价明细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2026-09-07T05:10:38Z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AF0ABBD3FB3C44528AE483A3A5504FF9_12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