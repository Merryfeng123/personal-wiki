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work\鹏网\26年\阳光电源\IOC平台\联想\123\"/>
    </mc:Choice>
  </mc:AlternateContent>
  <xr:revisionPtr revIDLastSave="0" documentId="13_ncr:1_{233F1EBC-A854-479C-9E1B-9D7535B985DF}" xr6:coauthVersionLast="47" xr6:coauthVersionMax="47" xr10:uidLastSave="{00000000-0000-0000-0000-000000000000}"/>
  <bookViews>
    <workbookView xWindow="-28920" yWindow="-120" windowWidth="29040" windowHeight="15840" activeTab="3" xr2:uid="{00000000-000D-0000-FFFF-FFFF00000000}"/>
  </bookViews>
  <sheets>
    <sheet name="总价汇总表" sheetId="1" r:id="rId1"/>
    <sheet name="硬件-报价汇总表" sheetId="2" r:id="rId2"/>
    <sheet name="硬件-报价说明" sheetId="3" r:id="rId3"/>
    <sheet name="硬件-报价明细" sheetId="4" r:id="rId4"/>
    <sheet name="附录五硬件场景需求表" sheetId="8" r:id="rId5"/>
  </sheets>
  <externalReferences>
    <externalReference r:id="rId6"/>
  </externalReferences>
  <definedNames>
    <definedName name="_xlnm._FilterDatabase" localSheetId="3" hidden="1">'硬件-报价明细'!$2:$1048576</definedName>
  </definedNames>
  <calcPr calcId="191029" iterateDelta="1E-4"/>
</workbook>
</file>

<file path=xl/calcChain.xml><?xml version="1.0" encoding="utf-8"?>
<calcChain xmlns="http://schemas.openxmlformats.org/spreadsheetml/2006/main">
  <c r="Q6" i="4" l="1"/>
  <c r="P6" i="4"/>
  <c r="N6" i="4"/>
  <c r="Q5" i="4"/>
  <c r="P5" i="4"/>
  <c r="N5" i="4"/>
  <c r="Q4" i="4"/>
  <c r="P4" i="4"/>
  <c r="N4" i="4"/>
  <c r="Q110" i="4"/>
  <c r="P117" i="4"/>
  <c r="N117" i="4"/>
  <c r="Q112" i="4"/>
  <c r="D6" i="2" s="1"/>
  <c r="P112" i="4"/>
  <c r="N112" i="4"/>
  <c r="P111" i="4"/>
  <c r="N111" i="4"/>
  <c r="P110" i="4"/>
  <c r="N110" i="4"/>
  <c r="E108" i="4"/>
  <c r="E107" i="4"/>
  <c r="Q107" i="4" s="1"/>
  <c r="E106" i="4"/>
  <c r="Q105" i="4"/>
  <c r="P105" i="4"/>
  <c r="N105" i="4"/>
  <c r="Q102" i="4"/>
  <c r="P102" i="4"/>
  <c r="N102" i="4"/>
  <c r="Q100" i="4"/>
  <c r="P100" i="4"/>
  <c r="N100" i="4"/>
  <c r="E99" i="4"/>
  <c r="E103" i="4" s="1"/>
  <c r="E98" i="4"/>
  <c r="Q97" i="4"/>
  <c r="P97" i="4"/>
  <c r="N97" i="4"/>
  <c r="Q96" i="4"/>
  <c r="P96" i="4"/>
  <c r="N96" i="4"/>
  <c r="Q95" i="4"/>
  <c r="P95" i="4"/>
  <c r="N95" i="4"/>
  <c r="Q94" i="4"/>
  <c r="P94" i="4"/>
  <c r="N94" i="4"/>
  <c r="Q93" i="4"/>
  <c r="P93" i="4"/>
  <c r="N93" i="4"/>
  <c r="Q92" i="4"/>
  <c r="P92" i="4"/>
  <c r="N92" i="4"/>
  <c r="P91" i="4"/>
  <c r="N91" i="4"/>
  <c r="Q90" i="4"/>
  <c r="P90" i="4"/>
  <c r="N90" i="4"/>
  <c r="Q89" i="4"/>
  <c r="P89" i="4"/>
  <c r="N89" i="4"/>
  <c r="Q88" i="4"/>
  <c r="P88" i="4"/>
  <c r="N88" i="4"/>
  <c r="Q87" i="4"/>
  <c r="P87" i="4"/>
  <c r="N87" i="4"/>
  <c r="Q86" i="4"/>
  <c r="P86" i="4"/>
  <c r="N86" i="4"/>
  <c r="Q85" i="4"/>
  <c r="P85" i="4"/>
  <c r="N85" i="4"/>
  <c r="Q84" i="4"/>
  <c r="P84" i="4"/>
  <c r="N84" i="4"/>
  <c r="Q83" i="4"/>
  <c r="P83" i="4"/>
  <c r="N83" i="4"/>
  <c r="Q82" i="4"/>
  <c r="P82" i="4"/>
  <c r="N82" i="4"/>
  <c r="Q81" i="4"/>
  <c r="P81" i="4"/>
  <c r="N81" i="4"/>
  <c r="Q80" i="4"/>
  <c r="P80" i="4"/>
  <c r="N80" i="4"/>
  <c r="P79" i="4"/>
  <c r="N79" i="4"/>
  <c r="Q78" i="4"/>
  <c r="P78" i="4"/>
  <c r="N78" i="4"/>
  <c r="Q77" i="4"/>
  <c r="P77" i="4"/>
  <c r="N77" i="4"/>
  <c r="Q76" i="4"/>
  <c r="P76" i="4"/>
  <c r="N76" i="4"/>
  <c r="Q75" i="4"/>
  <c r="P75" i="4"/>
  <c r="N75" i="4"/>
  <c r="Q74" i="4"/>
  <c r="P74" i="4"/>
  <c r="N74" i="4"/>
  <c r="Q73" i="4"/>
  <c r="P73" i="4"/>
  <c r="N73" i="4"/>
  <c r="Q72" i="4"/>
  <c r="P72" i="4"/>
  <c r="N72" i="4"/>
  <c r="Q71" i="4"/>
  <c r="P71" i="4"/>
  <c r="N71" i="4"/>
  <c r="Q70" i="4"/>
  <c r="P70" i="4"/>
  <c r="N70" i="4"/>
  <c r="Q69" i="4"/>
  <c r="P69" i="4"/>
  <c r="N69" i="4"/>
  <c r="P68" i="4"/>
  <c r="N68" i="4"/>
  <c r="Q67" i="4"/>
  <c r="P67" i="4"/>
  <c r="N67" i="4"/>
  <c r="Q66" i="4"/>
  <c r="P66" i="4"/>
  <c r="N66" i="4"/>
  <c r="Q65" i="4"/>
  <c r="P65" i="4"/>
  <c r="N65" i="4"/>
  <c r="Q64" i="4"/>
  <c r="P64" i="4"/>
  <c r="N64" i="4"/>
  <c r="P63" i="4"/>
  <c r="N63" i="4"/>
  <c r="Q62" i="4"/>
  <c r="P62" i="4"/>
  <c r="N62" i="4"/>
  <c r="Q61" i="4"/>
  <c r="P61" i="4"/>
  <c r="N61" i="4"/>
  <c r="Q60" i="4"/>
  <c r="P60" i="4"/>
  <c r="N60" i="4"/>
  <c r="P59" i="4"/>
  <c r="N59" i="4"/>
  <c r="Q58" i="4"/>
  <c r="P58" i="4"/>
  <c r="N58" i="4"/>
  <c r="Q57" i="4"/>
  <c r="P57" i="4"/>
  <c r="N57" i="4"/>
  <c r="Q55" i="4"/>
  <c r="P55" i="4"/>
  <c r="N55" i="4"/>
  <c r="Q54" i="4"/>
  <c r="P54" i="4"/>
  <c r="N54" i="4"/>
  <c r="E53" i="4"/>
  <c r="Q53" i="4" s="1"/>
  <c r="Q52" i="4"/>
  <c r="P52" i="4"/>
  <c r="N52" i="4"/>
  <c r="E51" i="4"/>
  <c r="Q49" i="4"/>
  <c r="P49" i="4"/>
  <c r="N49" i="4"/>
  <c r="Q48" i="4"/>
  <c r="P48" i="4"/>
  <c r="N48" i="4"/>
  <c r="Q47" i="4"/>
  <c r="P47" i="4"/>
  <c r="N47" i="4"/>
  <c r="Q46" i="4"/>
  <c r="P46" i="4"/>
  <c r="N46" i="4"/>
  <c r="Q45" i="4"/>
  <c r="P45" i="4"/>
  <c r="N45" i="4"/>
  <c r="Q44" i="4"/>
  <c r="P44" i="4"/>
  <c r="N44" i="4"/>
  <c r="Q43" i="4"/>
  <c r="P43" i="4"/>
  <c r="N43" i="4"/>
  <c r="Q42" i="4"/>
  <c r="P42" i="4"/>
  <c r="N42" i="4"/>
  <c r="Q41" i="4"/>
  <c r="P41" i="4"/>
  <c r="N41" i="4"/>
  <c r="Q40" i="4"/>
  <c r="P40" i="4"/>
  <c r="N40" i="4"/>
  <c r="Q39" i="4"/>
  <c r="P39" i="4"/>
  <c r="N39" i="4"/>
  <c r="Q38" i="4"/>
  <c r="P38" i="4"/>
  <c r="N38" i="4"/>
  <c r="Q37" i="4"/>
  <c r="P37" i="4"/>
  <c r="N37" i="4"/>
  <c r="Q36" i="4"/>
  <c r="P36" i="4"/>
  <c r="N36" i="4"/>
  <c r="P35" i="4"/>
  <c r="N35" i="4"/>
  <c r="P34" i="4"/>
  <c r="N34" i="4"/>
  <c r="Q33" i="4"/>
  <c r="P33" i="4"/>
  <c r="N33" i="4"/>
  <c r="Q32" i="4"/>
  <c r="P32" i="4"/>
  <c r="N32" i="4"/>
  <c r="Q31" i="4"/>
  <c r="P31" i="4"/>
  <c r="N31" i="4"/>
  <c r="Q30" i="4"/>
  <c r="P30" i="4"/>
  <c r="N30" i="4"/>
  <c r="Q29" i="4"/>
  <c r="P29" i="4"/>
  <c r="N29" i="4"/>
  <c r="Q28" i="4"/>
  <c r="P28" i="4"/>
  <c r="N28" i="4"/>
  <c r="Q27" i="4"/>
  <c r="P27" i="4"/>
  <c r="N27" i="4"/>
  <c r="Q26" i="4"/>
  <c r="P26" i="4"/>
  <c r="N26" i="4"/>
  <c r="E25" i="4"/>
  <c r="E24" i="4"/>
  <c r="P24" i="4" s="1"/>
  <c r="Q23" i="4"/>
  <c r="P23" i="4"/>
  <c r="N23" i="4"/>
  <c r="Q22" i="4"/>
  <c r="P22" i="4"/>
  <c r="N22" i="4"/>
  <c r="Q21" i="4"/>
  <c r="P21" i="4"/>
  <c r="N21" i="4"/>
  <c r="Q20" i="4"/>
  <c r="P20" i="4"/>
  <c r="N20" i="4"/>
  <c r="Q19" i="4"/>
  <c r="P19" i="4"/>
  <c r="N19" i="4"/>
  <c r="Q18" i="4"/>
  <c r="P18" i="4"/>
  <c r="N18" i="4"/>
  <c r="Q17" i="4"/>
  <c r="P17" i="4"/>
  <c r="N17" i="4"/>
  <c r="Q16" i="4"/>
  <c r="P16" i="4"/>
  <c r="N16" i="4"/>
  <c r="Q15" i="4"/>
  <c r="P15" i="4"/>
  <c r="N15" i="4"/>
  <c r="Q14" i="4"/>
  <c r="P14" i="4"/>
  <c r="N14" i="4"/>
  <c r="Q13" i="4"/>
  <c r="P13" i="4"/>
  <c r="N13" i="4"/>
  <c r="Q12" i="4"/>
  <c r="P12" i="4"/>
  <c r="N12" i="4"/>
  <c r="Q11" i="4"/>
  <c r="P11" i="4"/>
  <c r="N11" i="4"/>
  <c r="Q10" i="4"/>
  <c r="P10" i="4"/>
  <c r="N10" i="4"/>
  <c r="Q9" i="4"/>
  <c r="P9" i="4"/>
  <c r="N9" i="4"/>
  <c r="Q8" i="4"/>
  <c r="P8" i="4"/>
  <c r="N8" i="4"/>
  <c r="Q7" i="4"/>
  <c r="P7" i="4"/>
  <c r="N7" i="4"/>
  <c r="D16" i="1"/>
  <c r="E5" i="1"/>
  <c r="Q117" i="4" l="1"/>
  <c r="P107" i="4"/>
  <c r="E101" i="4"/>
  <c r="Q24" i="4"/>
  <c r="D4" i="2" s="1"/>
  <c r="Q25" i="4"/>
  <c r="Q99" i="4"/>
  <c r="N107" i="4"/>
  <c r="N24" i="4"/>
  <c r="P99" i="4"/>
  <c r="N25" i="4"/>
  <c r="P25" i="4"/>
  <c r="E50" i="4"/>
  <c r="N108" i="4"/>
  <c r="P108" i="4"/>
  <c r="N51" i="4"/>
  <c r="Q108" i="4"/>
  <c r="P51" i="4"/>
  <c r="Q51" i="4"/>
  <c r="E109" i="4"/>
  <c r="N109" i="4" s="1"/>
  <c r="N103" i="4"/>
  <c r="Q103" i="4"/>
  <c r="P103" i="4"/>
  <c r="N98" i="4"/>
  <c r="P98" i="4"/>
  <c r="N106" i="4"/>
  <c r="Q98" i="4"/>
  <c r="N101" i="4"/>
  <c r="P106" i="4"/>
  <c r="N53" i="4"/>
  <c r="E56" i="4"/>
  <c r="E104" i="4"/>
  <c r="Q106" i="4"/>
  <c r="P53" i="4"/>
  <c r="N99" i="4"/>
  <c r="Q101" i="4" l="1"/>
  <c r="P101" i="4"/>
  <c r="P109" i="4"/>
  <c r="P50" i="4"/>
  <c r="Q50" i="4"/>
  <c r="N50" i="4"/>
  <c r="Q109" i="4"/>
  <c r="P56" i="4"/>
  <c r="N56" i="4"/>
  <c r="Q56" i="4"/>
  <c r="Q104" i="4"/>
  <c r="P104" i="4"/>
  <c r="N104" i="4"/>
  <c r="P115" i="4" l="1"/>
  <c r="P119" i="4" s="1"/>
  <c r="D5" i="2"/>
  <c r="D7" i="2" s="1"/>
  <c r="D4" i="1" s="1"/>
  <c r="D6" i="1" s="1"/>
  <c r="N115" i="4"/>
  <c r="C10" i="1" s="1"/>
  <c r="D10" i="1" l="1"/>
  <c r="D12" i="1" s="1"/>
  <c r="E4" i="1"/>
  <c r="E6" i="1" s="1"/>
  <c r="N119" i="4"/>
  <c r="Q115" i="4"/>
  <c r="Q119" i="4" s="1"/>
  <c r="C12" i="1"/>
  <c r="E12" i="1" s="1"/>
  <c r="E10" i="1"/>
</calcChain>
</file>

<file path=xl/sharedStrings.xml><?xml version="1.0" encoding="utf-8"?>
<sst xmlns="http://schemas.openxmlformats.org/spreadsheetml/2006/main" count="1230" uniqueCount="618">
  <si>
    <t>密级：公开</t>
  </si>
  <si>
    <t>XX智慧园区一期建设清单报价清单-汇总表</t>
  </si>
  <si>
    <t>序号</t>
  </si>
  <si>
    <t>系统名称</t>
  </si>
  <si>
    <t>税率</t>
  </si>
  <si>
    <t>不含税总价</t>
  </si>
  <si>
    <t>含税总价</t>
  </si>
  <si>
    <t>备注</t>
  </si>
  <si>
    <t>硬件部分</t>
  </si>
  <si>
    <t>软件部分</t>
  </si>
  <si>
    <t>总计（元）</t>
  </si>
  <si>
    <t>按此未税金额投标</t>
  </si>
  <si>
    <t>施工合计未税</t>
  </si>
  <si>
    <t>材料合计未税</t>
  </si>
  <si>
    <t>XX智慧园区一期建设清单（硬件）报价清单</t>
  </si>
  <si>
    <t>智慧消防及物联系统</t>
  </si>
  <si>
    <t>智慧安防系统</t>
  </si>
  <si>
    <t>等保测评</t>
  </si>
  <si>
    <t>不含税总计（元）</t>
  </si>
  <si>
    <r>
      <rPr>
        <sz val="11"/>
        <color rgb="FF000000"/>
        <rFont val="等线"/>
        <family val="3"/>
        <charset val="134"/>
      </rPr>
      <t>报价须知：
1、报价前请仔细阅读《硬件-报价说明》。
2、付款方式：</t>
    </r>
    <r>
      <rPr>
        <sz val="11"/>
        <color rgb="FFFF0000"/>
        <rFont val="等线"/>
        <family val="3"/>
        <charset val="134"/>
      </rPr>
      <t>电汇，初验完成后支付合同对应金额的70%（且累积支付不超实际产值70%），终验决算完成支付至决算对应金额的90%，剩余10%作为质保金，自竣工验收通过满1年后如无质量问题、无发生甲方代扣代付维修费用，甲方无息支付质保金。详见SOW内约定。</t>
    </r>
  </si>
  <si>
    <t>XX智慧园区一期建设清单（硬件） 投标报价说明</t>
  </si>
  <si>
    <t>说明</t>
  </si>
  <si>
    <t>本报价说明作为投标文件的重要组成部分，与招标文件、技术规格书及合同具有同等效力。投标人须仔细阅读并充分理解所有条款，报价提交后视为已完全响应。</t>
  </si>
  <si>
    <t>一、报价范围与计价模式</t>
  </si>
  <si>
    <t>总价包含范围</t>
  </si>
  <si>
    <t>1、投标总价含设备、材料等运输、卸货、搬用、保存、安装、集成调试，通断测试，福禄克测试，质保期内保证项目稳定运行的所需全部费用。</t>
  </si>
  <si>
    <t>2、投标总价含设备、线缆、柜、箱体等的机打标签、整理等工作，达到《XX弱电施工工艺参考图册》、《XX厂区及办公区弱电标识标签规则》要求。</t>
  </si>
  <si>
    <r>
      <rPr>
        <sz val="12"/>
        <color rgb="FF000000"/>
        <rFont val="宋体"/>
        <family val="3"/>
        <charset val="134"/>
      </rPr>
      <t>3、投标总价含施工、技术支持、操作人员培训等，含3年原厂质保运维服务等，</t>
    </r>
    <r>
      <rPr>
        <sz val="12"/>
        <color rgb="FFFE0300"/>
        <rFont val="宋体"/>
        <family val="3"/>
        <charset val="134"/>
      </rPr>
      <t>故障1小时响应，故障处理6小时内完成。</t>
    </r>
  </si>
  <si>
    <r>
      <rPr>
        <sz val="12"/>
        <color rgb="FF000000"/>
        <rFont val="宋体"/>
        <family val="3"/>
        <charset val="134"/>
      </rPr>
      <t>4、投标总价含材料费、施工费、调试费、措施费、安全文明施工费、税金、总包管理服务费、施工用水电费用、辅材、</t>
    </r>
    <r>
      <rPr>
        <sz val="12"/>
        <color rgb="FFFE0300"/>
        <rFont val="宋体"/>
        <family val="3"/>
        <charset val="134"/>
      </rPr>
      <t>实现平台功能前端设备调整（角度、位置等）</t>
    </r>
    <r>
      <rPr>
        <sz val="12"/>
        <color rgb="FF000000"/>
        <rFont val="宋体"/>
        <family val="3"/>
        <charset val="134"/>
      </rPr>
      <t>等项目交付前一切费用，辅材包括但不限于六类非屏蔽水晶头、音频接插头、各种螺丝、吊卡、丝杆、铁皮卡、自攻螺丝、膨胀管、绝缘子、接线端子、弓背、管道支持柱、拉爆三件套、膨胀螺栓、机柜螺丝、垫片、绝缘胶布、透明胶布、扎带、标签纸、魔术贴、网线固线器、标签机、钩钉、刚性卡箍、螺丝杆帽、PVC线槽、自喷漆、明装86盒、明装86盒盖板、弯管器、</t>
    </r>
    <r>
      <rPr>
        <sz val="12"/>
        <color rgb="FFFE0300"/>
        <rFont val="宋体"/>
        <family val="3"/>
        <charset val="134"/>
      </rPr>
      <t>墙面开孔及开槽及修复、地面开挖及绿化恢复、</t>
    </r>
    <r>
      <rPr>
        <sz val="12"/>
        <color rgb="FF000000"/>
        <rFont val="宋体"/>
        <family val="3"/>
        <charset val="134"/>
      </rPr>
      <t>其他施工工具等辅材。</t>
    </r>
  </si>
  <si>
    <t>“实体净量+量价分离”计价规则</t>
  </si>
  <si>
    <t>本项目所有强弱电管、线、桥架类材料实行“实体净量+量价分离”计价模式，清单工程量仅依据设计图纸标注的水平/垂直投影净长度计算，施工中必然发生的桥架（含管道）内敷设弯曲、桥架上翻下翻、机柜与终端处的预留长度，以及各类管、线、桥架类材料的合理损耗等，其工程量与费用均视为投标人施工技术的一部分，须在编制综合单价时一并考虑（相关费用在材料单价中体现），结算时不再单独计量。</t>
  </si>
  <si>
    <t>综合单价包干</t>
  </si>
  <si>
    <t>综合单价为包干价，包括但不限于完成工程量清单子目特征描述、工作内容描述等全部内容所需的人工费、材料费（甲供材除外）、机械费、管理费、利润、税金等全部费用，特征描述中不完善，但按常规属于完成该对应子目所必须有的工作内容，视为已包含在综合单价中。</t>
  </si>
  <si>
    <t>二、技术要求与执行标准</t>
  </si>
  <si>
    <t>工艺与标签规范</t>
  </si>
  <si>
    <t>施工须符合《XX弱电施工工艺参考图册》、《XX厂区及办公区弱电标识标签规则》，含设备、线缆、柜体等机打标签及整理。</t>
  </si>
  <si>
    <t>施工界面与现场踏勘</t>
  </si>
  <si>
    <t>投标人应踏勘现场，充分了解施工移交界面及标准（如地面、墙面找平层厚度可能产生的变化），相关费用包含在报价中。</t>
  </si>
  <si>
    <t>深化设计与规范要求</t>
  </si>
  <si>
    <t>本工程工程量清单项目仅列出主要包含范围，投标单位应结合设计图及标准作法进行理解，投标单位需按规范及设计要求深化施工工艺及对应施工工艺作法，本部分费用已含在本合同总价中。</t>
  </si>
  <si>
    <t>三、投标报价与格式要求</t>
  </si>
  <si>
    <t>报价格式</t>
  </si>
  <si>
    <t>报价时按照甲方提供表格格式要求进行报价；乙方提供excel表格报价电子档文件（可编辑版本即可），并提供word版本盖章报价扫描件（包含表头：序号、项目名称、工程量、单位、投标品牌、投标型号、参数（响应/正偏离/负偏离）、正/负偏离参数项、材料未税单价、施工未税单价、未税小计、备注）。</t>
  </si>
  <si>
    <t>单价一致性</t>
  </si>
  <si>
    <t>清单中所列相同项目，投标单位报价须保持一致，若投标报价不一致，则以报价较低的单价计算并调整总价。</t>
  </si>
  <si>
    <t>链接正确性</t>
  </si>
  <si>
    <t>投标清单中的链接由投标人自行负责核实。</t>
  </si>
  <si>
    <t>金额精度</t>
  </si>
  <si>
    <t>工程量清单内所有工程量及金额均需保留两位小数，并以显示精度为准。</t>
  </si>
  <si>
    <t>四、风险与变更条款</t>
  </si>
  <si>
    <t>未尽事宜</t>
  </si>
  <si>
    <t>其他未尽事宜详见招标技术规格书及其他招标材料。</t>
  </si>
  <si>
    <t>设计冲突处理</t>
  </si>
  <si>
    <t>清单中的所有主材要求详见图纸说明、技术规范书要求及清单描述，如相关描述有冲突时，按高标准执行。</t>
  </si>
  <si>
    <t>材料及品牌更换</t>
  </si>
  <si>
    <t>材料如招标人提出替换时，费用只计算材料价差和税金，不再计取其他费用。</t>
  </si>
  <si>
    <t>施工风险</t>
  </si>
  <si>
    <t>1、投标人已综合考虑施工中可能发生的各类风险（如材料损耗、预留长度、现场条件变化等），相关费用已包含在报价中。</t>
  </si>
  <si>
    <t>2、合同期内人工、材料、机械和临时设施及施工水电费的费用、费率等价格要素的波动，合同执行期内一律不予调整。</t>
  </si>
  <si>
    <t>3、施工费含白天施工、夜间施工、节假日施工等。</t>
  </si>
  <si>
    <t>乙方必填项</t>
  </si>
  <si>
    <t>设备名称</t>
  </si>
  <si>
    <t>技术参数要求</t>
  </si>
  <si>
    <t>推荐品牌</t>
  </si>
  <si>
    <t>数量</t>
  </si>
  <si>
    <t>单位</t>
  </si>
  <si>
    <t>投标品牌</t>
  </si>
  <si>
    <t>投标型号</t>
  </si>
  <si>
    <t>投标参数</t>
  </si>
  <si>
    <t>参数（响应/正偏离/负偏离）</t>
  </si>
  <si>
    <t>正/负偏离
参数项</t>
  </si>
  <si>
    <t>施工未税单价</t>
  </si>
  <si>
    <t>施工合价未税</t>
  </si>
  <si>
    <t>材料未税单价</t>
  </si>
  <si>
    <t>材料合价未税</t>
  </si>
  <si>
    <t>未税小计</t>
  </si>
  <si>
    <t>一、智慧消防及物联系统</t>
  </si>
  <si>
    <t>用户信息传输装置</t>
  </si>
  <si>
    <t>台</t>
  </si>
  <si>
    <t>青鸟</t>
  </si>
  <si>
    <t>JBF5891</t>
  </si>
  <si>
    <t>响应</t>
  </si>
  <si>
    <t>全局网络控制器</t>
  </si>
  <si>
    <t>霍尼韦尔、江森、西门子</t>
  </si>
  <si>
    <t>霍尼韦尔</t>
  </si>
  <si>
    <t>ECC200-PE</t>
  </si>
  <si>
    <t>边缘网络控制器，3条RS485总线；支持编程数据管理等功能</t>
  </si>
  <si>
    <t>可编程网络控制器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</si>
  <si>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</si>
  <si>
    <t>WEBs系列控制器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</si>
  <si>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t>
  </si>
  <si>
    <t>可编程控制盘</t>
  </si>
  <si>
    <t>1、包含：空开、导轨及接线端子
2、国产优质箱体，根据实际安装设备测量后成套定制</t>
  </si>
  <si>
    <t>国产一线品牌，空开品牌为良信、正泰、公牛</t>
  </si>
  <si>
    <t>定制</t>
  </si>
  <si>
    <t>DDC-Panel-XL</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</si>
  <si>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</si>
  <si>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</si>
  <si>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同方泰德</t>
  </si>
  <si>
    <t>24VDC</t>
  </si>
  <si>
    <t>液位开关</t>
  </si>
  <si>
    <t>电缆长度：3M；电缆类型：PVC（聚氯乙烯）；包装形式：纸箱批量简易包装；</t>
  </si>
  <si>
    <t>电缆长度：5M；电缆类型：PVC（聚氯乙烯）；包装形式：纸箱批量简易包装；</t>
  </si>
  <si>
    <t>压力变送器</t>
  </si>
  <si>
    <t>输出信号：4-20MA；量程范围：0-25 bar；过程连接：1/4 NPT；电气连接：1M；</t>
  </si>
  <si>
    <t>流量传感器</t>
  </si>
  <si>
    <r>
      <rPr>
        <sz val="10"/>
        <color rgb="FF000000"/>
        <rFont val="宋体"/>
        <family val="3"/>
        <charset val="134"/>
      </rPr>
      <t>电源:10 to 35 VDC；电源消耗:最大40mA；输出:脉冲:NPN开集方波输出，最大60V@50mA;频率:3.2至200Hz。脉冲宽度:2.5毫秒+25%，4-20mA:4mA是0fts，20 mA是25 fts。过程连接:标准配置为1-1/2”NPT外螺纹，可选2“NPT外螺纹。</t>
    </r>
    <r>
      <rPr>
        <sz val="10"/>
        <color rgb="FFFE0300"/>
        <rFont val="宋体"/>
        <family val="3"/>
        <charset val="134"/>
      </rPr>
      <t>管径满足现场环境</t>
    </r>
  </si>
  <si>
    <t>HMF-EM16F100N4MY</t>
  </si>
  <si>
    <t>口径100，通讯协议和接口：Modbus RTU， RS485，输出信号：4-20mA脉冲输，供电：24VDC100VAC 至 240VAC</t>
  </si>
  <si>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</si>
  <si>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</si>
  <si>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温湿度传感器</t>
  </si>
  <si>
    <t>精度：±2%RH；湿度输出：0-10V；温度输出：NTC20K，±0.2°C @25°C；温度量程：0~50℃；继电器输出：无；LCD显示无；</t>
  </si>
  <si>
    <t>HSH-RV2B</t>
  </si>
  <si>
    <t>精度：±2%RH；湿度输出：0-10V；温度输出：NTC20K，±0.3°C @25°C；温度量程：-10 ℃ ~ 60 ℃℃；</t>
  </si>
  <si>
    <t>管道风速监测传感器</t>
  </si>
  <si>
    <r>
      <rPr>
        <sz val="10"/>
        <color rgb="FFFE0300"/>
        <rFont val="宋体"/>
        <family val="3"/>
        <charset val="134"/>
      </rPr>
      <t>量程：0–20 m/s（0–4000 ft/min），精度：±0.2 m/s（≤10 m/s）；±2% FS（&gt;10 m/s），输出信号：0–10VDC（线性对应量程），供电：24VDC ±10%（BA 标准供电）</t>
    </r>
    <r>
      <rPr>
        <sz val="10"/>
        <rFont val="宋体"/>
        <family val="3"/>
        <charset val="134"/>
      </rPr>
      <t xml:space="preserve">
</t>
    </r>
    <r>
      <rPr>
        <sz val="10"/>
        <color rgb="FF000000"/>
        <rFont val="宋体"/>
        <family val="3"/>
        <charset val="134"/>
      </rPr>
      <t>材质 / 防护：ABS 外壳，探杆 304 不锈钢；IP65</t>
    </r>
    <r>
      <rPr>
        <sz val="10"/>
        <rFont val="宋体"/>
        <family val="3"/>
        <charset val="134"/>
      </rPr>
      <t xml:space="preserve">
</t>
    </r>
    <r>
      <rPr>
        <sz val="10"/>
        <color rgb="FF000000"/>
        <rFont val="宋体"/>
        <family val="3"/>
        <charset val="134"/>
      </rPr>
      <t>温度：-10℃~+50℃（耐高温款可达 80℃）</t>
    </r>
    <r>
      <rPr>
        <sz val="10"/>
        <rFont val="宋体"/>
        <family val="3"/>
        <charset val="134"/>
      </rPr>
      <t xml:space="preserve">
</t>
    </r>
    <r>
      <rPr>
        <sz val="10"/>
        <color rgb="FF000000"/>
        <rFont val="宋体"/>
        <family val="3"/>
        <charset val="134"/>
      </rPr>
      <t>安装：法兰开孔插入式，带密封圈，漏风小</t>
    </r>
  </si>
  <si>
    <t>HSV-ADH30U</t>
  </si>
  <si>
    <t>风速传感器，一体式，最大量程30m/s,0-10V/4-20mA输出，不带显示</t>
  </si>
  <si>
    <t>继电器</t>
  </si>
  <si>
    <t>适配电磁阀信号选配</t>
  </si>
  <si>
    <t>个</t>
  </si>
  <si>
    <t>交流电流变送器</t>
  </si>
  <si>
    <t>输出4-20mA三相模块RS485信号</t>
  </si>
  <si>
    <t>AC0-5A4-20mA10V</t>
  </si>
  <si>
    <t>光纤熔接盒（含光纤熔纤）</t>
  </si>
  <si>
    <t>SC4芯单模满配含熔接尾纤、法兰、SC光跳线</t>
  </si>
  <si>
    <t>一舟、普天天纪、罗格朗</t>
  </si>
  <si>
    <t>一舟</t>
  </si>
  <si>
    <t>S953-4X+
4*S905-3+
4*S812+
2*S922</t>
  </si>
  <si>
    <t>含4个SC单工耦合器，4条SC单芯单模尾纤，2条SC-SC双芯单模跳纤</t>
  </si>
  <si>
    <t>光纤收发器</t>
  </si>
  <si>
    <t>1个10/100M/1000M网口，1个1000Mbps光口（SC），工作波长：1550nm（发送）、1310nm（接收），20km。</t>
  </si>
  <si>
    <t>TP-LINK、山泽、烽火</t>
  </si>
  <si>
    <t>对</t>
  </si>
  <si>
    <t>普联</t>
  </si>
  <si>
    <t>TL-FC311A-3</t>
  </si>
  <si>
    <t>普联（TP-LINK）TL-FC311A-3千兆单模单纤光纤收发器 光电转换器SC单芯3km（单只装）</t>
  </si>
  <si>
    <t>光纤收发器架</t>
  </si>
  <si>
    <t>14槽光纤收发器机架；标准机柜安装；</t>
  </si>
  <si>
    <t>TL-FC1400</t>
  </si>
  <si>
    <t>普联（TP-LINK） TL-FC1400单模多模光纤收发器14槽机架单纤双纤光电转换器整理箱机柜2U机箱</t>
  </si>
  <si>
    <t>室外4芯单模光缆</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</si>
  <si>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</si>
  <si>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</si>
  <si>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</si>
  <si>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</si>
  <si>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S952-24X+
24*S905-7-1+
48*S813</t>
  </si>
  <si>
    <t>光纤跳线</t>
  </si>
  <si>
    <t>单模双芯SC-LC优质2米光纤跳线；</t>
  </si>
  <si>
    <t>S928</t>
  </si>
  <si>
    <t>六类非屏蔽跳线（2m）</t>
  </si>
  <si>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</si>
  <si>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S0200-GY</t>
  </si>
  <si>
    <t>华三、锐捷（非睿易）</t>
  </si>
  <si>
    <t>锐捷</t>
  </si>
  <si>
    <t>千兆单模光模块</t>
  </si>
  <si>
    <t>LC接口，单模千兆光纤（和交换机同品牌）</t>
  </si>
  <si>
    <t>信号线</t>
  </si>
  <si>
    <t>国标，RVV2*1.0</t>
  </si>
  <si>
    <t>RVV2*1.0</t>
  </si>
  <si>
    <t>国标，RVVP2*1.0</t>
  </si>
  <si>
    <t>RVVP2*1.0</t>
  </si>
  <si>
    <t>国标，RVVP4*1.0</t>
  </si>
  <si>
    <t>RVVP4*1.0</t>
  </si>
  <si>
    <t>国标，RVVP6*1.0</t>
  </si>
  <si>
    <t>RVVP6*1.0</t>
  </si>
  <si>
    <t>JDG20管</t>
  </si>
  <si>
    <t>JDG管，壁厚不小于1.0MM,φ20；含主材、接头、固定扣件（含钢结构扣件）等辅材</t>
  </si>
  <si>
    <t>国产</t>
  </si>
  <si>
    <t>JDG20</t>
  </si>
  <si>
    <r>
      <rPr>
        <sz val="10"/>
        <color rgb="FF000000"/>
        <rFont val="宋体"/>
        <family val="3"/>
        <charset val="134"/>
      </rPr>
      <t>JDG管，壁厚不小于1.0MM,</t>
    </r>
    <r>
      <rPr>
        <sz val="10"/>
        <color rgb="FF000000"/>
        <rFont val="Calibri"/>
        <family val="2"/>
      </rPr>
      <t>φ</t>
    </r>
    <r>
      <rPr>
        <sz val="10"/>
        <color rgb="FF000000"/>
        <rFont val="宋体"/>
        <family val="3"/>
        <charset val="134"/>
      </rPr>
      <t>20；含主材、接头、固定扣件（含钢结构扣件）等辅材</t>
    </r>
  </si>
  <si>
    <t>辅材</t>
  </si>
  <si>
    <t>设备安装配套辅材，水晶头，扎带等</t>
  </si>
  <si>
    <t>项</t>
  </si>
  <si>
    <t>二、智慧安防系统</t>
  </si>
  <si>
    <t>2.1、视频监控系统</t>
  </si>
  <si>
    <t>抗振防抖场景专用摄像机</t>
  </si>
  <si>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</si>
  <si>
    <t>海康</t>
  </si>
  <si>
    <t>DS-2XC7245/KZ</t>
  </si>
  <si>
    <t xml:space="preserve">400万抗振防抖摄像机
产品具备抗振动及图像防抖能力，支持起重机械场景使用
内置大模型移动周界功能，支持AI开放平台及HEOP功能，支持自定义算法训练及三方算法集成
最高分辨率可达2560 × 1440，并在此分辨率下可输出最大60 fps实时图像
支持低延时，相机解码延时低至100 ms
采用双光阵列灯，低功耗，红外照射距离最远达80 m（2.8~12 mm红外支持50 m），白光照射距离最远达50 m（2.8~12 mm白光支持30 m）
支持DC9 V~36 V宽压和PoE at供电
支持除雾，防止设备内部起雾
支持雨刷
支持加热
彩色：0.0005 Lux @（F1.2，AGC ON）；黑白：0.0001 Lux @（F1.2，AGC ON）；0 Lux with IR
支持宽动态范围达120 dB，适合逆光环境监控
支持三码流技术，每路码流可独立配置分辨率及帧率
支持1路音频输入和1路音频输出、1路报警输入和1路报警输出、1路RS-485 、1路模拟视频输出
千兆自适应以太网口，M12航空头（8芯），标配防水对插头
支持防雷、防浪涌、防静电，IP68防护等级
C5-M、NEMA 4X、WF2防腐蚀标准，有效避免酸性、中性盐雾腐蚀
传感器类型：1/1.8" Progressive Scan CMOS
最低照度：彩色：0.0005 Lux @（F1.2, AGC ON），0 Lux with Light
黑白：0.0001 Lux @（F1.2, AGC ON），0 Lux with IR
调节角度：水平: -15°~15°；垂直: -120°~45° 
焦距&amp;视场角：2.8~12 mm：水平视场角：99.6°~39.8°，垂直视场角：52.3°~22.4°，对角视场角：119.9°~45.7°
8~32 mm：水平视场角：40.3°~14.5°，垂直视场角：22.1°~8.2°，对角视场角：46.9°~16.5° 
补光灯类型：红外模式：红外灯
白光模式：白光灯
补光距离：2.8~12 mm：红外50米，白光30米
8~32 mm：红外80米，白光50米 
最大分辨率：2560 × 1440
视频压缩标准：主码流：H.265/H.264 
子码流：H.265/H.264/MJPEG 
第三码流：H.265/H.264  
宽动态：120dB 
视频输出：1 Vp-p复合输出（75 Ω/CVBS）
网络：千兆自适应以太网口，M12航空头（8芯），标配防水对插头
SD卡扩展：内置MicroSD插槽，最大支持512 GB
音频：1路输入（Line in）（terminal block）（最大输入幅值：3.3 Vpp，输入阻抗：1 kΩ，接口类型：非平衡） 
1路输出（Line out）（terminal block）（最大输出幅值：3.3 Vpp，输出阻抗：100 Ω，接口类型：非平衡）
报警：1路输入，1路输出（报警输出最大支持DC12 V，30mA）
RS-485：支持1个RS-485 
外壳材质：316L不锈钢
产品尺寸：199.7 × 201.9 × 209.2 mm
包装尺寸：340 × 298 × 290 mm
设备重量：5.6 kg
带包装重量：6.6 kg
启动和工作温湿度：-40 °C~60 °C，湿度小于95%（无凝结）
雨刷：支持
电流及功耗：DC：9~36 V，2.65~0.65 A，24 W Max
PoE：802.3at，42.5 V~57 V，0.56 A~0.42 A，24 W Max
供电方式：DC：9 V~36 V，支持防反接保护；PoE：802.3at，Class 4
电源接口类型：2芯绿头
安装方式：壁装，座装  
防腐蚀：WF2，C5，NEMA 4X 
恢复出厂设置：支持
在线升级：支持
文件系统双备份：支持 </t>
  </si>
  <si>
    <t>400万变焦筒型网络摄像机</t>
  </si>
  <si>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</si>
  <si>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DS-2CD2645V3-FD</t>
  </si>
  <si>
    <t xml:space="preserve">
最高分辨率可达400万像素（2688 × 1520），并在此分辨率下可输出30 fps实时图像
室外消防通道占用：可检测汽车是否占用区域，可根据停留时间上报信息，可支持车牌号识别
室内消防通道占道：可检测杂物堆放导致通道被长时间占用
支持smart事件，人脸抓拍，比对建模，车辆监控算法切换使用
支持室内通道占用与人脸抓拍并行运行
支持室内通道占用与smart事件并行运行
可支持AI开放平台训练模型包导入运行
支持电动变焦，方便远程调节图像，保证算法效果
内置2个内置麦克风，1个内置扬声器，支持远程对讲与智能联动语音
外部接口丰富：1路报警IO输入，1路报警IO输出；1路音频LINE IN输入，1路音频输出LINE OUT；1路485接口；1路DC12V电源反送
最大支持512GB MicroSD/MicroSDHC/MicroSDXC卡存储；
传感器类型：1/2.7" 逐行扫描 CMOS
最低照度：彩色：0.005 Lux @（F1.2，AGC ON），0 Lux with Light； 
黑白：0.001 Lux @（F1.2，AGC ON），0 Lux with IR
焦距&amp;视场角：2.7~13.5 mm：水平视场角：30.1°~99°，垂直视场角：17°~52.9°，对角视场角：34.6°~117.8°
补光灯类型：反射式补光，双光 (红外850nm+白光) 
补光距离：红外最远可达50m，暖白最远可达30m 
主码流帧率分辨率：50 Hz:25 fps(2688 × 1520,2560 × 1440,1920 × 1080,1280 × 720)
60 Hz:30 fps(2688 × 1520,2560 × 1440,1920 × 1080,1280 × 720)
视频压缩标准：主码流：H.265/H.265+/H.264/H.264
子码流：H.265/H.264/MJPEG
第三码流：H.265/H.264 
网络传输类型：有线 
宽动态：120 dB 
连接方式：甩线式接口，线缆长度约35cm；
音频：1路输入（Line in），1路输出（Line out），2个内置麦克风，1个内置扬声器
报警：1路输入，湿接点，支持3.3 V~5 V范围电位
1路输出，三极管输出，电平量，湿接点，最大支持DC 12V，30 mA    
RS-485：1路RS-485接口，采用半双工模式，支持自适应HIKVISION，PELCO-P和PELCO-D协议  
电源输出：1路DC12V输出，最大电流100mA。备注：为保证设备正常工作，电源输出外接延长线请控制在10米以内。 
尺寸：设备尺寸：180.3 × 99.2 × 93 mm
包装尺寸：315 × 137 × 141 mm
重量：设备重量：1.0kg
带包装重量：1.3kg
存储温湿度：-30 °C~60 °C，湿度小于95%（无凝结）
启动和工作温湿度：-30 °C~60 °C，湿度小于95%（无凝结）
物理防护：防水防尘：IP67 
电源：1、 电源输入类型：2芯接口
2、 电流及功耗：
DC：12 V，1.2 A，最大功耗：14.4W
PoE：PoE(IEEE 802.3at class 4)，最大功耗：16W </t>
  </si>
  <si>
    <t>热成像摄像机</t>
  </si>
  <si>
    <r>
      <rPr>
        <sz val="10"/>
        <color rgb="FF000000"/>
        <rFont val="宋体"/>
        <family val="3"/>
        <charset val="134"/>
      </rPr>
      <t>★热成像：分辨率：256×192；焦距：</t>
    </r>
    <r>
      <rPr>
        <sz val="10"/>
        <color rgb="FFFE0300"/>
        <rFont val="宋体"/>
        <family val="3"/>
        <charset val="134"/>
      </rPr>
      <t>焦距可选：3/7/10mm</t>
    </r>
    <r>
      <rPr>
        <sz val="10"/>
        <color rgb="FF000000"/>
        <rFont val="宋体"/>
        <family val="3"/>
        <charset val="134"/>
      </rPr>
      <t>；</t>
    </r>
    <r>
      <rPr>
        <sz val="10"/>
        <rFont val="宋体"/>
        <family val="3"/>
        <charset val="134"/>
      </rPr>
      <t xml:space="preserve">
</t>
    </r>
    <r>
      <rPr>
        <sz val="10"/>
        <color rgb="FF000000"/>
        <rFont val="宋体"/>
        <family val="3"/>
        <charset val="134"/>
      </rPr>
      <t>可见光：分辨率：2688*1520，400万；</t>
    </r>
    <r>
      <rPr>
        <sz val="10"/>
        <color rgb="FFFE0300"/>
        <rFont val="宋体"/>
        <family val="3"/>
        <charset val="134"/>
      </rPr>
      <t>焦距：焦距可选：4mm/8mm/12.4mm</t>
    </r>
    <r>
      <rPr>
        <sz val="10"/>
        <color rgb="FF000000"/>
        <rFont val="宋体"/>
        <family val="3"/>
        <charset val="134"/>
      </rPr>
      <t>；</t>
    </r>
    <r>
      <rPr>
        <sz val="10"/>
        <rFont val="宋体"/>
        <family val="3"/>
        <charset val="134"/>
      </rPr>
      <t xml:space="preserve">
</t>
    </r>
    <r>
      <rPr>
        <sz val="10"/>
        <color rgb="FF000000"/>
        <rFont val="宋体"/>
        <family val="3"/>
        <charset val="134"/>
      </rPr>
      <t>支持1路音频输入，1路音频输出；</t>
    </r>
    <r>
      <rPr>
        <sz val="10"/>
        <rFont val="宋体"/>
        <family val="3"/>
        <charset val="134"/>
      </rPr>
      <t xml:space="preserve">
</t>
    </r>
    <r>
      <rPr>
        <sz val="10"/>
        <color rgb="FF000000"/>
        <rFont val="宋体"/>
        <family val="3"/>
        <charset val="134"/>
      </rPr>
      <t>支持2路报警输入，2路报警输出；</t>
    </r>
    <r>
      <rPr>
        <sz val="10"/>
        <rFont val="宋体"/>
        <family val="3"/>
        <charset val="134"/>
      </rPr>
      <t xml:space="preserve">
</t>
    </r>
    <r>
      <rPr>
        <sz val="10"/>
        <color rgb="FF000000"/>
        <rFont val="宋体"/>
        <family val="3"/>
        <charset val="134"/>
      </rPr>
      <t>外壳防护等级：IP67；</t>
    </r>
    <r>
      <rPr>
        <sz val="10"/>
        <rFont val="宋体"/>
        <family val="3"/>
        <charset val="134"/>
      </rPr>
      <t xml:space="preserve">
</t>
    </r>
    <r>
      <rPr>
        <sz val="10"/>
        <color rgb="FF000000"/>
        <rFont val="宋体"/>
        <family val="3"/>
        <charset val="134"/>
      </rPr>
      <t>电源电压在DC12V±20%范围内变化时，能正常工作；</t>
    </r>
    <r>
      <rPr>
        <sz val="10"/>
        <rFont val="宋体"/>
        <family val="3"/>
        <charset val="134"/>
      </rPr>
      <t xml:space="preserve">
</t>
    </r>
    <r>
      <rPr>
        <sz val="10"/>
        <color rgb="FF000000"/>
        <rFont val="宋体"/>
        <family val="3"/>
        <charset val="134"/>
      </rPr>
      <t>可通过IE浏览器在热成像画面中设置点、线段、区域测温规则；</t>
    </r>
    <r>
      <rPr>
        <sz val="10"/>
        <rFont val="宋体"/>
        <family val="3"/>
        <charset val="134"/>
      </rPr>
      <t xml:space="preserve">
</t>
    </r>
    <r>
      <rPr>
        <sz val="10"/>
        <color rgb="FF000000"/>
        <rFont val="宋体"/>
        <family val="3"/>
        <charset val="134"/>
      </rPr>
      <t>点测温、线测温、区域测温中存在高于或者低于报警或预报警温度时，可在客户端显示不同的报警颜色进行报警提示，联动报警输出，联动录像及联动抓拍；</t>
    </r>
    <r>
      <rPr>
        <sz val="10"/>
        <rFont val="宋体"/>
        <family val="3"/>
        <charset val="134"/>
      </rPr>
      <t xml:space="preserve">
</t>
    </r>
    <r>
      <rPr>
        <sz val="10"/>
        <color rgb="FF000000"/>
        <rFont val="宋体"/>
        <family val="3"/>
        <charset val="134"/>
      </rPr>
      <t>支持声音联动报警功能。可对智能行为、温度超过阈值、出现高温点等行为进行检测并报警，报警声音可设置，同时支持自定义；</t>
    </r>
    <r>
      <rPr>
        <sz val="10"/>
        <rFont val="宋体"/>
        <family val="3"/>
        <charset val="134"/>
      </rPr>
      <t xml:space="preserve">
</t>
    </r>
    <r>
      <rPr>
        <sz val="10"/>
        <color rgb="FF000000"/>
        <rFont val="宋体"/>
        <family val="3"/>
        <charset val="134"/>
      </rPr>
      <t>★噪声等效温差为8mk，最小可分辨温差为200mk（（公京检第2401130038号第100条）</t>
    </r>
    <r>
      <rPr>
        <sz val="10"/>
        <rFont val="宋体"/>
        <family val="3"/>
        <charset val="134"/>
      </rPr>
      <t xml:space="preserve">
</t>
    </r>
    <r>
      <rPr>
        <sz val="10"/>
        <color rgb="FF000000"/>
        <rFont val="宋体"/>
        <family val="3"/>
        <charset val="134"/>
      </rPr>
      <t>热成像视频图像具有白热、黑热、融合1、融合2、彩虹1、铁红2、深褐色等42种显示模式</t>
    </r>
    <r>
      <rPr>
        <sz val="10"/>
        <rFont val="宋体"/>
        <family val="3"/>
        <charset val="134"/>
      </rPr>
      <t xml:space="preserve">
</t>
    </r>
    <r>
      <rPr>
        <sz val="10"/>
        <color rgb="FF000000"/>
        <rFont val="宋体"/>
        <family val="3"/>
        <charset val="134"/>
      </rPr>
      <t>含安装支架</t>
    </r>
  </si>
  <si>
    <t>HM-TD2628-XX/T1A</t>
  </si>
  <si>
    <t xml:space="preserve">双光谱筒型摄像机
【功能特性】
热成像像素256 × 192，像元大小12um，NETD ≤ 35 mK (25°C, F1.0)
支持区域入侵探测、越界探测、进入区域探测、离开区域探测、音频异常探测、高温物体检测等功能
支持测温功能:支持普通测温，专家测温检测；可以画最多10个点，1条线，10个区域检测。测温范围：-20 °C~300 °C，测温精度：±8 °C或者读数的±8%（取最大值）
支持吸烟检测、火点检测、烟雾检测
支持联动白光报警、支持联动声音报警，内置白光灯和扬声器
支持AI开放平台
智能功能资源配置：测温、周界功能支持同时开启。测温、火点检测、烟雾检测支持同时开启。测温、AI开放平台支持同时开启。周界功能不支持与火点、吸烟、烟雾检测两两同时开启。
支持线性、直方图、自适应等热成像AGC模式，支持DDE、3D DNR。
支持叉车去误报功能
【应用场景】
可通过外接温湿度传感器，在样机OSD界面显示传感器信息
周界防范：石油石化、电力系统、工商企业、政府大院、铁路沿线、机场、文博、学校、医院等；
烟火检测：物流仓储、博物馆、实验室、数据机房、配电房等；
吸烟检测：加油站、景区、博物馆、校园、医院、生产车间等；
热成像传感器类型：氧化钒非制冷型探测器
热成像像元尺寸：12 μm
热成像响应波段：8~14 μm
热成像分辨率：256 × 192
热成像焦距：10 mm 
热成像视场角：18°×13.5°
热成像最大光圈值：F1.0
热成像数字变倍：×2,×4
热成像帧频：50 Hz: 25 fps
热成像近摄距：3.5m
噪声等效温差NETD：≤ 35 mk(@25 °C,F#=1.0)
空间分辨率MRAD：1.24
伪彩：白热、黑热、融合1、彩虹、融合2、铁红1、铁红2、深褐色、色彩1、色彩2、冰火、雨、红热、绿热、深蓝等15种
温度异常功能：全屏测温
专家模式：10个点，10个框，1条线总计21个测温规则
测温范围：测温范围：-20 °C~300 °C
测温精度：测温精度：±8 °C或者读数的±8%（取最大值）
人员最远报警距离（以1.8米*0.5米为准）：100m
车辆最远报警距离（以4米*1.4米为准）：300m
吸烟检测最远报警距离：15m
防火最远报警距离（以0.05㎡高温源或0.1㎡火焰为准）：70m
最远测温距离（满足测温精度，以0.1m*0.1m目标物为准）：15m 
可见光传感器类型：400万星光级1/2.7" Progressive Scan CMOS
可见光焦距&amp;视场角：12.4mm,24.6°×14°
烟雾最远报警距离（以1㎡烟雾为准）：70m
可见光分辨率：2688 × 1520
最低照度：0.0089Lux @(F1.6,AGC ON) ,0 Lux with IR
可见光补光功能：补光最远可达30米
可见光光圈值：F1.6 
报警联动：内置混合补光灯（支持红外和白光补光）、内置扬声器，支持联动白光报警、支持联动声音报警
周界防范检测：热成像通道（默认）：越界侦探测,区域入侵探测,进入/离开区域探测
可见光通道：越界探测,区域入侵探测,进入/离开区域探测
防火应用检测：支持火点检测、烟雾检测、吸烟检测 
最大预览路数：20路
视频压缩标准：H.265/H.264/MJPEG 
音频压缩标准：G.711/G.722.1/G.726/MP2L2/PCM 
客户端：iVMS-4200/萤石/HIK-CONNCET
浏览器：IE10+,Chrome 57+,Mozilla Firefox 52+,Mac Safari 12 
报警输入：支持2路DC 0~5 V报警输入
报警输出：支持2路常开型继电器输出，报警类型可设置
音频输入：1路3.5 mm Mic in/Line in interface. Line input: 2-2.4 V[p-p]
音频输出：1路3.5mm Impedance: 600Ω 
复位键：1个复位键
RS485控制接口：1路
网口：1路RJ45接口10/100 M自适应以太网口
SD卡存储：1个内置SD卡卡槽,最大支持内存256G 
尺寸：312.1 mm × 105 mm × 104.9 mm
电源输入：12 VDC ± 25%，PoE (802.3at, class 4)
备注：需单独购买DC 12V电源适配器
功率：12 VDC ± 25%: 1.2A to 2A, max. 18W
PoE (802.3at, class 4): 42.5 V to 57 V, 0.32 A to 0.43A, max. 18W
工作温度和湿度：-40°C~70°C，＜95% RH
测温环境温度：-20°C~50°C
防护等级：IP67
重量：1.53 kg
藏线盒：需单独购买 </t>
  </si>
  <si>
    <t>高空球型鹰眼</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</si>
  <si>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</si>
  <si>
    <t>DS-2DP1618XS-LD</t>
  </si>
  <si>
    <t xml:space="preserve">1600万180°AR鹰眼_800万45倍_雨刷_卫星定位_5G
1600万180° 无盲区球型5G AR鹰眼，全景采用4个F1.0大光圈全彩镜头拼接而成，可输出180°大场景拼接画面
全景画面可支持关注区域畸变矫正，细节内置45倍变焦光学防抖镜头
支持基于行业平台实现AR立体防控，可添加500个标签，结合前端多维感知设备和业务系统数据，将高点范围内的人、车、地、事、物叠加到实时视频画面中进行展示和联动，通过多维联动、全景回溯、移动标签、标记标绘等应用，为用户掌握重点区域的实时动向、及时响应指挥调度提供新方式
全景智能：Smart事件、人员密度、车辆拥堵；细节智能：全结构化、Smart事件；更好助力平安城市公共安全管理
适用于城市高点、机场车站、城管市政、水利枢纽、企业园区、景区、校园等重点场所
全景摄像机
4个1/1.8＂ 4MP Progressive Scan CMOS，最高分辨率及帧率可达6072x2640@30fps
视场角：水平180°，垂直110°
细节摄像机
1/1.2＂ 8MP Progressive Scan CMOS，最高分辨率及帧率可达3840x2160@30fps
45倍光学变倍，16倍数字变倍
【全景】支持区域入侵侦测、越界侦测、进入区域、离开区域事件侦测功能
【全景】支持人员密度检测功能，检测覆盖范围半径100米
【全景】支持车辆拥堵检测功能，检测覆盖范围半径150米，推荐：在封闭式道路中可以做拥堵事件检测，推荐在高速、环线、快速路或者主干线
【细节】支持区域入侵侦测、越界侦测、进入区域、离开区域事件侦测功能
【细节】支持全结构化：支持细节路混合目标检测，对检测区域内的人、非机动车、车进行同时抓拍上传，人脸人体关联输出，并实现对人脸、人体、车辆结构化属性特征信息提取
支持GB35114A级安全加密
AI-ISP：细节球机采用去噪卷积神经网络将深度结构、学习算法用于图像去噪，最终使画面成像更新清晰，噪点更小图像更干净
支持北斗卫星定位
支持光学防抖、光学透雾
支持雨刷，环动式双雨刷设计，可对全景4个镜头、细节球机镜头进行清洁
移动通信类型： 5G/4G/3G
传感器类型：【全景】1/1.8＂ progressive scan CMOS,【细节】1/1.2＂ progressive scan CMOS
最低照度：【全景】0.0005Lux/F1.0（彩色），0.0001Lux/F1.0（黑白）；【细节】星光级超低照度，0.0005Lux/F1.5（彩色），0.0001Lux/F1.5（黑白），0 Lux with IR
宽动态：全景不支持，细节支持120dB超宽动态
光学变倍：45倍 
焦距：【全景】2 mm；【细节】7.2~320 mm
视场角：水平视场角61.0~1.8度（广角~望远）
垂直视场角35.9~1.1度（广角~望远）
对角线视场角68.5~2.1度（广角~望远）   
红外照射距离：500m 
防补光过曝：支持 
水平范围：360°
垂直范围：-15°-90°(自动翻转)
水平速度：水平键控速度：0.1°-500°/s,速度可设;水平预置点速度：500°/s
垂直速度：垂直键控速度：0.1°-350°/s,速度可设;垂直预置点速度：350°/s  
主码流帧率分辨率：全景：50Hz: 25fps (6072x2640,5520×2400, 4096×1800,3840×1680, 2784×1200) 60Hz: 30fps (6072x2640，5520×2400,  4096×1800，3840×1680, 2784×1200)
细节：50Hz:25fps (3840×2160,2560×1440,1920×1080,1280×960,1280×720)
60Hz:30fps(3840×2160,2560×1440,1920×1080,1280×960,1280×720)
视频压缩标准：主码流：H.264/H.265+/H.265/H.264+ 子码流：H.264/H.265/MJPEG 第三码流：H.264/H.265/MJPEG 
移动通信类型：同时支持5G/4G/3G
无线频段：5G NR/LTE-FDD/LTE-TDD/WCDMA
无线制式：5G NR：n1/n5/n8/n28/n41/n78/n79
LTE-FDD：B1/B3/B5/B8
LTE-TDD：B34/B38/39/B40/B41
WCDMA：B1/B5/B8
无线传输速率：NR(SA)：DL 2 Gbps；UL 766 Mbps
EN-DC：DL 2.2 Gbps；UL 458 Mbps
LTE：DL 487 Mbps; UL 150 Mbps
WCDMA：DL 42 Mbps; UL 11 Mbps
SIM卡：nano SIM 
卫星定位：支持北斗卫星定位
陀螺仪：支持
电子罗盘：支持 
网络接口：RJ45网口;自适应10M/100M/1000M网络数据
光纤接口：FC接口;内置光纤模块;波长TX1310/RX1550nm;20km传输距离;单模单纤;1000M网络数据
SD卡扩展：内置Micro SD卡插槽，支持Micro SD/Micro SDHC/Micro SDXC卡（最大支持512G）
报警：7路报警输入，2路报警输出
音频：1路音频输入，1路音频输出
RS485接口：采用半双工模式，支持自适应HIKVISION，PELCO-P和PELCO-D(可添加)协议 
供电方式：DC36V；  整机平均功耗85w.最大功耗 120w
工作温湿度：-40℃-70℃;湿度小于90%
恢复出厂设置：支持
雨刷：支持
除雾：支持
尺寸：Φ427.6x425.9mm
重量：净重 14.6kg 
防护：IP67; 6000V 防雷、防浪涌、防突波，符合GB/T17626.2/3/4/5/6四级标准 </t>
  </si>
  <si>
    <t>人脸识别布控球</t>
  </si>
  <si>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</si>
  <si>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iDS-MCD402-MF/40X+TF-P1/1T/TAY</t>
  </si>
  <si>
    <t xml:space="preserve">5G双摄便携球套装
支持双摄：40倍光学变倍机芯，最大分辨率2560*1440，图像清晰、细腻，低照度，彩色0.0001Lux；全景镜头8M，分辨率2160×3840；
支持自动彩转黑功能，实现昼夜监控
支持人脸比对，可存储30W张人脸名单（需配TF卡）
支持车辆检测及抓拍
支持抽烟、佩戴安全帽、玩手机、未穿工作服检测
支持3D-DNR
支持双TF卡存储
支持5G模块（天线内置），可额外扩展1个4G模块
配置可拆卸电池，单电池可支持8-9小时连续工作
支持双MIC、双扬声器，可选配支持LINE IN\LINE OUT
支持自定义语音导入，可关联智能分析报警
自带2.4寸LCD显示屏，可支持视频预览，云台控制等，可显示当前电池电量、GPS状态、3G/4G/5G状态、录像状态、存储容量、蓝牙状态、平台连接状态、Wi-Fi状态、智能算法模式等
底部配置高吸力磁铁，安装便捷
传感器类型：变焦机芯：1/1.8" Progressive Scan CMOS
全景相机8M：1/1.8" Progressive Scan CMOS
彩色最低照度：变焦机芯：0.0001Lux @ (F1.6，AGC ON)
黑白最低照度：变焦机芯：0.00005Lux @(F1.6，AGC ON) 
屏幕尺寸：2.4英寸
分辨率：240*320
材质：TFT
触摸屏：电容屏 
镜头焦距：5.8-232mm
镜头光圈：F1.3-F4.6
光学变倍：40倍 
水平视场角：59-2度(广角-望远) 
子码流压缩码率：2Mbps
视频压缩标准：H.264;H.265;MJPEG
码率控制：定码率;变码率
录像格式：MP4
录像分辨率：变焦机芯：2560×1440
全景相机8M：3840×2160
图片分辨率：1920*1080;2560*1440
图片格式：JPEG 
音频压缩标准：G.722.1;G.711alaw;G.711ulaw 
人脸比对：支持
车辆抓拍：支持
车牌识别：支持
车辆特征识别：支持车牌、车身颜色、车型、车辆品牌、车辆子品牌识别
车辆黑名单：支持车辆黑名单
安全帽佩戴检测：支持未佩戴安全帽检测
目标抓拍：支持
支持人脸库个数：10个(需配置TF卡)
支持的人脸数量：300000张(需配置TF卡)
支持屏蔽区域设置 
拨号：GSM/GPRS/EDGE：900/1800MHz
WCDMA：B1/5/8
LTE：B1/3/5/8/34/38/39/40/41
5G：N1/5/8/28/41/77/78/79
定位：北斗
蓝牙：4.0
语音对讲：支持 
指示灯：充电指示灯,工作指示灯
系统功耗：10W~30W
产品重量：带电池4.35kg~4.5kg
产品尺寸：高262mm，直径175mm
防护等级：IP66
供电方式：电池供电;外接电源
工作温度：-10℃~55℃
工作湿度：湿度小于95%
材质：镁合金 
水平旋转角度：360°
垂直旋转角度：-20°~90° 
预置点：256个
巡航扫描：8条
花样扫描：4条
断电记忆：支持 
红外：支持
红外补光距离：100m看清人体轮廓 
扩展存储个数：2
扩展存储介质：TF
扩展存储容量：默认不含TF卡，最大支持1TB存储卡 
充电接口：6芯航空头
外部接口：电源输出接口;RJ45;RS-232;RS-485;line-in;line-out;Alarm-in;Alarm-out
扬声器：支持
MIC：支持
存储卡卡槽：2
电源输出接口：5V 
电池可拆卸：支持
电池容量：13400mAh
待机时间：8-9小时
关机充电时间：＜4小时
电池类型：锂离子电池 </t>
  </si>
  <si>
    <t>智能融合应用主机</t>
  </si>
  <si>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</si>
  <si>
    <t>DS-IX2512-U/SF</t>
  </si>
  <si>
    <t xml:space="preserve">【智能应用】
整机最大支持512路普通视频流(2MP)接入或768路文搜相机(2MP/4MP)接入，实现智能目标抓拍、大模型以文搜图算法、人脸算法、结构化算法并行分析。
整机共搭载8张智能卡，其中4张抓拍卡，用于视频全目标抓拍；4张计算卡，共6个虚拟引擎，可自定义配置以文搜图算法、人脸算法、结构化算法；
设备支持1亿条目标抓拍图片、结构化属性、模型存储（人脸+结构化）
集成GCN聚类算法，实现二级人员聚类方案，提供更优的人员目标聚类效果
支持以下3大类算法：
1、大模型以文搜图算法
实时视频流/历史视频流：最大支持512路分析（512路2MP/256路4MP/128路8MP 视频流）
图片流：建模性能90张/秒（目标小图或 2MP/4MP大图+坐标）或65张/秒（8MP大图+坐标）
大模型图文建模：支持对目标进行大模型建模，通过建模引擎将目标图片转化成语义数据模型
大模型文本搜图：输入搜索目标的文本描述，可快速搜索对应的视图内容，支持搜人、车、非机动车、物品；
支持1亿条图片数据秒级文本搜图
大模型文本预警：支持文本描述目标关键特征，快速开启布防任务；支持1000条文本语义预警布防；最大支持50路视频流文本预警
大模型文本微调：支持对搜索结果进行快速标定和文本微调训练，提升文本搜图和预警效果；单次最大支持50张图片进行微调
单个虚拟引擎：90张/秒（目标小图或 2MP/4MP大图+坐标）或65张/秒（8MP大图+坐标），预分配1个虚拟引擎
2、人脸算法
人脸应用：支持目标抓拍、比对报警，以图搜图、属性检索，高频报警，1V1比对，人员档案
实时视频流/历史视频流：最大支持512路分析（512路2MP/256路4MP/128路8MP 视频流）
图片流：支持384张/秒（建模+比对+聚类）
离线录像导入，支持1TB空间，最大支持128倍速分析（128倍速2MP/64倍速4MP/32倍速8MP 视频文件）
支持300万人脸静态库，300万人脸名单库比对报警，128个名单库，1亿条抓拍数据秒级检索
单个虚拟引擎：128张/秒（建模+比对+聚类），预分配3个虚拟引擎
3、结构化算法
结构化应用：支持人体/车辆/非机动车抓拍、建模，以图搜图、属性检索
实时视频流/历史视频流：最大支持512路分析（512路2MP/256路4MP/128路8MP 视频流）
图片流：支持260张/秒
单个虚拟引擎：最大130张/秒，预分配2个虚拟引擎
离线录像导入，支持1TB空间，最大支持128倍速分析（128倍速2MP/64倍速4MP/32倍速8MP 视频文件）
【硬件规格】
处理器：64位多核处理器
智能卡：8张
系统内存：160GB DDR4，共32个内存槽位
系统盘：2×240GB SSD
数据盘：1×1.92TB SSD（U.2 NVMe），1× 4TB SATA盘，8× 8TB SATA盘
网络接口：2×千兆电口 + 2×万兆光口
阵列卡：1张
其它接口：2×VGA接口，4×USB接口
整机电源：1200W ，1+1冗余电源
系统风扇：4个可插拔风扇，支持PID调速
机箱尺寸：87.5 mm(高) × 446.6 mm（宽） × 835 mm（深） </t>
  </si>
  <si>
    <t>AI服务器</t>
  </si>
  <si>
    <r>
      <rPr>
        <sz val="10"/>
        <color rgb="FF000000"/>
        <rFont val="宋体"/>
        <family val="3"/>
        <charset val="134"/>
      </rPr>
      <t>主处理器：配置2颗KP920处理器，核数≥24核，主频≥2.5GHz；</t>
    </r>
    <r>
      <rPr>
        <sz val="10"/>
        <rFont val="宋体"/>
        <family val="3"/>
        <charset val="134"/>
      </rPr>
      <t xml:space="preserve">
</t>
    </r>
    <r>
      <rPr>
        <sz val="10"/>
        <color rgb="FF000000"/>
        <rFont val="宋体"/>
        <family val="3"/>
        <charset val="134"/>
      </rPr>
      <t>操作系统：openEuler-22.03-LTS-aarch64</t>
    </r>
    <r>
      <rPr>
        <sz val="10"/>
        <rFont val="宋体"/>
        <family val="3"/>
        <charset val="134"/>
      </rPr>
      <t xml:space="preserve">
</t>
    </r>
    <r>
      <rPr>
        <sz val="10"/>
        <color rgb="FF000000"/>
        <rFont val="宋体"/>
        <family val="3"/>
        <charset val="134"/>
      </rPr>
      <t>智能卡数量：配置8张Atlas 300V 智能卡；最大可支持8个智能卡</t>
    </r>
    <r>
      <rPr>
        <sz val="10"/>
        <rFont val="宋体"/>
        <family val="3"/>
        <charset val="134"/>
      </rPr>
      <t xml:space="preserve">
</t>
    </r>
    <r>
      <rPr>
        <sz val="10"/>
        <color rgb="FFFE0300"/>
        <rFont val="宋体"/>
        <family val="3"/>
        <charset val="134"/>
      </rPr>
      <t>场景以本表格《附录五硬件场景需求表》为准</t>
    </r>
    <r>
      <rPr>
        <sz val="10"/>
        <rFont val="宋体"/>
        <family val="3"/>
        <charset val="134"/>
      </rPr>
      <t xml:space="preserve">
</t>
    </r>
    <r>
      <rPr>
        <sz val="10"/>
        <color rgb="FFFE0300"/>
        <rFont val="宋体"/>
        <family val="3"/>
        <charset val="134"/>
      </rPr>
      <t>要求算法识别准确率、设备监测准确率不低于95%</t>
    </r>
  </si>
  <si>
    <t>DS-IF2008/AI</t>
  </si>
  <si>
    <t xml:space="preserve">K系列推理服务器
处理器：配置2颗KP920 7260处理器，核数≥64核，主频≥2.6GHz；支持2颗鲲鹏920处理器（每颗处理器32/48/64核，主频2.6GHz）
内存：配置 384G DDR4；最大支持32根内存插槽，其中32核机型16个DDR4内存插槽，48/64核机型32个DDR4内存插槽
存储方案：配置1块480G SSD；最多配置16个3.5英寸SAS/SATA硬盘
独显&amp;GPU扩展：配置8张Atlas 300V Pro加速卡；最大可支持8个半高半长单宽AI加速卡
存储控制器：标配SAS_HBA 卡，支持RAID 0/1/10；可选支持 RAID 0, 1, 5, 6, 10, 50, 60，可选支持超级电容掉电保护
网络控制器：配置2个千兆电口、2个万兆光口；支持2个板载网络插卡，每个插卡支持4*G电口或者2*10GE/25GE光口；或支持2个OCP3.0网卡
PCI&amp;PCI E扩展槽：最大可支持11个标准PCIe槽位；或2个PCIe4.0 x16+5个PCIe 4.0 x8；或9个PCIe 4.0 x8标准插槽
散热系统：支持4个热拔插风扇模组，支持N+1冗余
电源方案：配置2000W(1+1)冗余电源；2个热插拔900W或2000W交流电源模块；支持1+1冗余
其它端口：前面板提供2个USB3.0 、1个VGA、1个Type-C接口；
后面板提供2个USB3.0端口、1个DB15 VGA端口、1个3.5mm串口、1个RJ45系统管理端口
机箱尺寸：447 mm*814 mm*86.1 mm（宽*深*高）
操作系统兼容：HIKOS、openEuler、SUSE、Ubuntu、CentOS、中标麒麟、银河麒麟、普华、统信、中科红旗、麒麟信安、拓林思等操作系统等操作系统
管理功能：BMC支持IPMI、SOL、KVM over IP以及虚拟媒体，提供1个10/100/1000Mbps的RJ45管理网口 </t>
  </si>
  <si>
    <t>存储服务器</t>
  </si>
  <si>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</si>
  <si>
    <t>DS-A71148R/GR</t>
  </si>
  <si>
    <t xml:space="preserve">6U机架式48盘位网络存储设备，搭载64位多核处理器，1+1冗余电源、冗余风扇，实现7×24小时稳定运行
【硬件规格】
处理器：1颗64位多核处理器
系统内存：32GB（可扩展至128GB）
系统盘：1×240GB SSD（后置）
数据盘：1×960GB SSD（数据存储）
存储接口：48个SATA接口，支持硬盘热插拔
网络接口：4个2.5G数据网口，1个千兆管理口
其他接口：1×COM，2×USB2.0（前置），2×USB3.0（后置），1×VGA（前置），1×HDMI（后置）
整机电源：1600W，1+1冗余电源
【产品性能】
以文搜图模式一：768路（文搜IPC）
或 200路2MP（普通IPC，视频流）+ 568路（文搜IPC）
以文搜图模式二：300路2MP（普通IPC，视频流）
检索数量：350W/天
视频性能：最大支持接入768路（最大接入带宽1920Mbps）
图片性能：最大支持100张/S（单张图片500KB）
回放性能：最大支持76路2Mbps
事件录像：最大支持200路2Mbps
【智能应用】
前端接入能力：支持接入智能相机、结构化相机、抓拍机，对图片中的目标进行多模态大模型建模
大模型图文建模：内置大模型算法引擎，支持对目标图像和自然语言的多模态大模型建模，建立目标图像和自然语言的对应关系
大模型以文搜图：内置图文搜索引擎，支持开放式语义检索，输入文字描述即可查找人、车、非机动车及附属物等目标
以文搜图应用展示：支持全通道录像检索，且通道和时间范围可设；支持搜索结果相似度自定义设置展示；支持自定义选择时间范围
模型微调：支持对搜索结果进行快速标定和文本微调训练，提升文本搜图
搜索结果精准定位：支持搜索结果按相似度排序展示，根据搜索结果，可一键关联录像片段及以图搜图，对目标进行二次精准检索定位，还原目标的跨通道行动轨迹
搜索结果快速筛选：以文搜图检索结果支持以相似度、时间、通道等条件对检出录像/图片进行排序或筛选
【产品功能】
支持视频流、图片直写
支持ONVIF、GB/T 28181、RTSP等标准协议
支持VRAID、RAID0、1、5、6、10等多种RAID模式
支持RAID降级可读写(VRAID)，支持全局热备
支持局部重构，原盘或其克隆盘拔出设备后再插回，未被覆盖数据可快速恢复 </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</si>
  <si>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</si>
  <si>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</si>
  <si>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</si>
  <si>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</si>
  <si>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</si>
  <si>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24口POE接入交换机-单电源</t>
  </si>
  <si>
    <t>万兆单模光模块</t>
  </si>
  <si>
    <t>SFP+万兆模块(1310nm,10km,LC)</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</si>
  <si>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</si>
  <si>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</si>
  <si>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D165-T-D</t>
  </si>
  <si>
    <t>电源线</t>
  </si>
  <si>
    <t>国标，RVV3*2.5</t>
  </si>
  <si>
    <t>RVV3*2.5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</si>
  <si>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</si>
  <si>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</si>
  <si>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400mmX300mmX500mm</t>
  </si>
  <si>
    <t>3.5米监控立杆</t>
  </si>
  <si>
    <t>1.3.5米监控立杆，含地笼及混凝土基础；
2.颜色和背包箱保持一致。</t>
  </si>
  <si>
    <t>3.5米立杆</t>
  </si>
  <si>
    <t>SC4芯单模满配含熔接尾纤、法兰、SC光跳线。</t>
  </si>
  <si>
    <t>单模双芯LC-LC优质3米光纤跳线；</t>
  </si>
  <si>
    <t>2.2、无人机软硬件套装</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</si>
  <si>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</si>
  <si>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</si>
  <si>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</si>
  <si>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大疆</t>
  </si>
  <si>
    <t>DJI Matrice 4TD（中国版）SP Plus</t>
  </si>
  <si>
    <t>无人机巢及中继</t>
  </si>
  <si>
    <t>环境适应性：工作温度为 -30℃ 至 50℃ ，防护等级为 IP56
最大作业半径≥5 公里
充电时间＜30 分钟
舱内可直播相机分辨率：1920 × 1080
机巢图传系统
依据现场情况自行评估是否需要增加中继设备</t>
  </si>
  <si>
    <t>套</t>
  </si>
  <si>
    <t>大疆机场 3（中国版）SP Plus</t>
  </si>
  <si>
    <t>无人机平台</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</si>
  <si>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</si>
  <si>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大疆司空 2 一体机套装（中国标准版）</t>
  </si>
  <si>
    <t>2.3、巡更管理</t>
  </si>
  <si>
    <t>手持设备</t>
  </si>
  <si>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</si>
  <si>
    <t>蓝卡、广拓、海康</t>
  </si>
  <si>
    <t>DS-MDT102/MF</t>
  </si>
  <si>
    <t xml:space="preserve">巡更手持机(C)
ARM八核2.0GHz处理器，4GB RAM，64GB ROM
图像采集：前置摄像头500万像素；后置摄像头1300万像素
支持二维码、NFC读卡、室外GPS定位+电子地图巡更方案
内置高灵敏度卫星定位模块，支持北斗，GPS，Glonass定位
防水、防尘、防摔（IP68）,支持1.5米防摔，适合全天候野外作业
支持NFC协议；支持ISO15693、ISO14443A/B
支持远程巡更任务接收，巡更任务管理
支持巡更人员登录注册，进行权限管理
支持巡更任务查询，巡更任务提醒等协助巡更的功能
有网络环境下支持巡更记录实时上传，无网络环境下支持巡更记录断点续传
传感器类型：后置主相机1300万像素，前置500万相机 
屏幕尺寸：5.5英寸
分辨率：1440*720
聚焦模式：前置：定焦 后置：自动 
视频压缩标准：H.264
录像格式：3GP
图片分辨率：2M;5M;8M;13M
图片格式：JPEG 
音频采样率：8 kHz;16 kHz;44.1 kHz;48 kHz
音频压缩标准：AAC;AAC+;AMR;AWB;VORBIS
音频压缩码率：8K,16K,32kbps,64kbps,128kbps,256kbps 
拨号：TDD-LTE B38;TDD-LTE B39;TDD-LTE B40;TDD-LTE B41;FDD -LTE B1;FDD -LTE B3;FDD -LTE B5;FDD -LTE B8;WCDMA B1;WCDMA B8;TD-SCDMA B34;TD-SCDMA B39;CDMA EVDO BC0;GSM 900;GSM 1800
Wi-Fi工作模式：AP;STATION
Wi-Fi频率范围：2.412-2.472 GHz;5.15-5.25 GHz;5.25-5.35 GHz;5.47-5.725 GHz;5.725-5.875 GHz
定位：GPS;北斗;GLONASS
蓝牙：5.0
NFC：支持 
内置存储介质：Emmc
内置存储容量：64GB 
充电接口：Type-C
扬声器：支持
MIC：支持
SIM卡槽：2 个 Nano SIM，与TF卡槽三选二 
CPU：八核2.0 Ghz
操作系统：Android14
内存：4GB
闪光灯：支持
指示灯：充电指示灯;工作指示灯
震动：支持
按键：电源、音量+、音量-、自定义键、扫码键
产品重量：240g
产品尺寸：154.9*73.3*15mm
防护等级：IP68
跌落性能：1.5米跌落
供电方式：电池供电
工作温度：-20℃～+55℃
工作湿度：&lt;95% 
电池可拆卸：不支持
电池容量：5000mAh（典型容量）
关机充电时间：3小时
电池类型：锂离子电池 </t>
  </si>
  <si>
    <t>巡更牌</t>
  </si>
  <si>
    <t>1.NFC巡更打卡，使用单兵设备可直接进行巡更打卡
2.二维码扫描，通过系统权限验证的用户，可通过扫描二维码查看巡更记录
3.抬头预留空窗，可根据需求自主印刷
4.工作温度：-40℃～85℃
5.工作湿度：5%～95% 无冷凝</t>
  </si>
  <si>
    <t>DS-TRC100-8/X</t>
  </si>
  <si>
    <t xml:space="preserve">巡更标签
NFC巡更打卡，使用单兵设备可直接进行巡更打卡
3M背胶设计，可直接粘贴于墙面，也可通过中间固定孔进行螺丝固定
【一般规范】
工作温度: -20~50℃
工作湿度: 20%~60%
</t>
  </si>
  <si>
    <t>卡片录入仪</t>
  </si>
  <si>
    <t>1.支持发卡类型：ID卡、IC卡、身份证物料卡号（序列号）、普通CPU卡、国密CPU卡
2.USB2.0接口
3.具有2个Sim卡尺寸的PSAM卡座
4.工作电压：DC 5V
5.工作电流：0.2A</t>
  </si>
  <si>
    <t>DS-K1F100K</t>
  </si>
  <si>
    <t>支持发卡类型：ID卡、IC卡、身份证物理卡号（序列号）、普通CPU卡、国密CPU卡；
USB2.0接口；
具有2个Sim卡尺寸的PSAM卡座；
工作电压：DC 5V；
工作电流：0.2A；
尺寸：117*67.5*14.3mm</t>
  </si>
  <si>
    <t>巡更管理软件</t>
  </si>
  <si>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</si>
  <si>
    <t>2.4、周界防护-定位型振动光纤系统</t>
  </si>
  <si>
    <t>传感光缆</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</si>
  <si>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</si>
  <si>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</si>
  <si>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DS-PO2-iDFM/S4/G</t>
  </si>
  <si>
    <t xml:space="preserve">传感光缆
传感光缆防护等级高达IP68，且具有如下性能优势，探测振动响应灵敏，抗拉伸、耐磨损、抗压扁、抗冲击、抗鼠咬，可反复弯曲、扭转、曲绕、弯折、枪击等，具有很好的机械性能。
光缆信号传输快、传输距离远、传输信息完整性好、抗电磁场干扰、绝缘性好、化学稳定性好、尺寸小、重量轻、寿命长、损耗低具有很好的特性和经济效益。
环境适应性强：光纤具备柔性特点，可以随地形安装，适合地形复杂的周界
抗电磁干扰：前端全无源设计，不受取网供电条件制约，不受电磁干扰影响
耐腐蚀：抗恶劣环境，如潮湿、高低温干扰，可耐氨气、氯气、盐雾、酸雨等
【基本参数】
光纤类型: 4芯单模光纤
纤芯类型: G.652D 9/125μm 非色散位移单模光纤
光缆外径: 8.6mm(±5%)
抗压系数: 短期：1000N/10cm
长期：300N/10cm
拉伸强度: 短期：1500N
长期：600N
最小弯曲半径: 光缆外径的10倍（静态）
光缆外径的20倍（动态）
光缆传输衰减: 1310nm≤0.36dB/km
1550nm≤0.22dB/km
【一般规范】
工作温度: -40~70℃
工作湿度: 0~95%R.H
包装规格: 3000米/卷
防护等级: IP68
</t>
  </si>
  <si>
    <t>定位型振动光纤处理器</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</si>
  <si>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</si>
  <si>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DS-QFA3016DW</t>
  </si>
  <si>
    <r>
      <rPr>
        <sz val="10"/>
        <color rgb="FF000000"/>
        <rFont val="宋体"/>
        <family val="3"/>
        <charset val="134"/>
      </rPr>
      <t xml:space="preserve">定位型振动光纤处理器
处理器：
定位型振动光纤处理器是一款基于相干检测技术的分布式光纤振动探测系统，通过PDC </t>
    </r>
    <r>
      <rPr>
        <sz val="10"/>
        <color rgb="FF000000"/>
        <rFont val="Calibri"/>
        <family val="2"/>
      </rPr>
      <t>φ</t>
    </r>
    <r>
      <rPr>
        <sz val="10"/>
        <color rgb="FF000000"/>
        <rFont val="宋体"/>
        <family val="3"/>
        <charset val="134"/>
      </rPr>
      <t xml:space="preserve">-OTDR光时域反射解调算法做到精确的定位，结合后端数据分析处理模块，实现对振动的有效监测。同时，设备具有对自然环境干扰的智能模式识别能力，显著降低误报。
利用光纤中的背向散射光，通过光的相干检测，得到扰动位置的相位或光强的变化，输出对应的振动信号。系统可以定位振动事件，精确到其空间分辨率，可同时定位检测多个位置的振动事件
环境适应性强：光纤具备柔性特点，可以随地形安装，适合地形复杂的周界
抗电磁干扰：前端全无源设计，不受取网供电条件制约，不受电磁干扰影响
探测灵敏：灵敏度高，可高保真识别振动声波
长距离监测：监测距离长，可达数十公里
精准定位：定位精度高，支持同时定位监测多点振动事件
耐腐蚀：抗恶劣环境，如潮湿、高低温干扰，可耐氨气、氯气、盐雾、酸雨等
服务器：
抗震驱动器托架，支持3个5.25",1个3.5"驱动器
电源和HDD状态LED指示灯
高效切换电源和易维护风扇
特殊的固定夹紧设计与橡胶垫，保护卡片免受冲击和振动
易维护空气滤网、前置USB接口
【基本参数】
光纤类型: 单模光纤 (ITU-T G.652D)
通道数: 1
单通道探测距离: 30km
定位精度: ±5m
单元数: 可配置，根据光纤长度和单位间隔进行配置。
报警响应时间: ≤1S
频率响应: 0.1Hz 到 1kHz
采集速率: 250MS/s
【功能】
指示灯: 服务器电源灯：
蓝灯常亮：设备已上电；
蓝灯不亮：设备未上点；
服务器HDD指示灯：
蓝灯闪烁：有数据传输；
蓝灯不亮：无数据传输
蜂鸣器: 服务器触发报警或防拆报警，蜂鸣器长鸣
按键: 服务器:
1个船型开关；
1个关机按键
【用户】
安装员: 1个
管理员: 1个
普通用户: 若干
【存储】
硬盘存储: 支持1个256G SSD和1个1T机械硬盘
【接口】
电源接口: 1个220V电源接口
功能接口: 6个USB 3.0接口；
2个RJ45 1000M自适应以太网接口；
1个VGA接口；
1个HDMI接口；
1个DVI接口；
2个RS232接口；
3个SMA接口
音频输入: 1个音频输入输出接口
【一般规范】
电源: 服务器：220V～50Hz, 1.0A 处理器：220V～50Hz, 1.0A
整机功耗: 60W
工作温度: -15℃~55℃
工作湿度: 0~93%（±2%）无凝露
材质: 全金属
颜色: 黑色
产品尺寸: 服务器：186mm（高）*483mm（宽）*475mm（深） 
处理器：145mm （高）x 483mm （宽）x 498mm (深）
裸机重量: 服务器：约15kg
处理器：约10kg
激光防护等级: Class 1
包装尺寸: 服务器：370 mm (高）x 660 mm（宽） x 650 mm (深)
处理器：270mm（高） x 615 mm（宽） x 635 mm（深）
【协议】
网络协议: 支持ISAPI、OTAP、TCP
【通信参数】
通信方式: 支持有线网络
</t>
    </r>
  </si>
  <si>
    <t>抗紫外线扎带</t>
  </si>
  <si>
    <t>1.安装方式: 将扎线带尾巴穿过头部，即可束紧。
2.尺寸规格: 5*300mm
3.最大承受拉力: 200N±15N
4.包装数量: 250根/包
5.耐温: -40℃ ~ +80℃
6.材料: 尼龙PA66抗紫外线（UV）原料</t>
  </si>
  <si>
    <t>包</t>
  </si>
  <si>
    <t>DS-PO2-CTS/UV5300</t>
  </si>
  <si>
    <t xml:space="preserve">抗紫外线扎带
材质：NYLON PA66 制成，抗紫外线，低温脆化高温不软化，承受力强，不易老化。
特点：耐候原料（抗紫外线），适合户外使用。
用法：止退式设计，束紧后便不可退出。
【常规参数】
安装方式: 将扎线带尾巴穿过头部，即可束紧。
【基本参数】
尺寸规格: 5*300mm
最大承受拉力: 200N±15N
包装数量: 250根/包
耐温: -40℃ ~ +80℃
材料: 尼龙PA66抗紫外线（UV）原料
</t>
  </si>
  <si>
    <t>光纤接续盒</t>
  </si>
  <si>
    <t>1.光纤接续盒
2.材质：ABS工程塑料
3.规格：进出缆数，二进二出</t>
  </si>
  <si>
    <t>只</t>
  </si>
  <si>
    <t>DS-PO2-UG/ABS</t>
  </si>
  <si>
    <t xml:space="preserve">光纤接续盒
材质：ABS工程塑料
规格：进出缆数，二进二出
【常规参数】
尺寸(宽x高x深): 460mm*170mm*110mm
外壳材质: ABS工程塑料
</t>
  </si>
  <si>
    <t>塑料格栅</t>
  </si>
  <si>
    <t>1.塑料格栅是用于埋地方式部署振动光纤时，用于埋地时承载探测光缆的承载物
2.尺寸(宽x高x深): 网格：3.2cm*3.5cm；边宽3.3mm；边厚：1.3mm</t>
  </si>
  <si>
    <t>m2</t>
  </si>
  <si>
    <t>DS-PO-PG</t>
  </si>
  <si>
    <t>周界防范大模型超脑</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</si>
  <si>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</si>
  <si>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iDS-6716NX/S-ZD</t>
  </si>
  <si>
    <t xml:space="preserve">1盘位1.5U嵌入式边缘计算主机，采用存算一体架构，内置高性能AI处理器
【硬件规格】
存储接口：1个SATA接口，内置1TB硬盘
视频接口：1×HDMI，1×VGA
网络接口：2×RJ45 10/100/1000Mbps自适应以太网口
报警接口：4路报警输入，1路报警输出
串行接口：1路RS-232接口、1路RS-485接口
USB接口：1×USB 2.0，1×USB 3.0
【智能应用】
整机搭载2颗高性能AI引擎，支持周界防范引擎模式
一、周界防范应用：
支持对平台下发图片进行二次分析，检测图片中的人体，车辆目标，并将分析结果回传平台；
图片流性能：4张/s
单颗AI引擎分析能力：2张/s </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</si>
  <si>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</si>
  <si>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</si>
  <si>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</si>
  <si>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</si>
  <si>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土方开完及回填</t>
  </si>
  <si>
    <t>现场开挖回填</t>
  </si>
  <si>
    <t>绿化破坏恢复</t>
  </si>
  <si>
    <t>平方米</t>
  </si>
  <si>
    <t>2.5、红外对射报警</t>
  </si>
  <si>
    <t>四光束红外对射</t>
  </si>
  <si>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</si>
  <si>
    <t>DS-PB401-4100</t>
  </si>
  <si>
    <t xml:space="preserve">四光束红外对射
采用抗白光凸透镜、抗太阳光外罩和滤光接收管，提升抗外光及恶劣环境干扰能力。
采用优质红外发射管和光学双凸透镜设计，提高发射功率和光束聚焦能力，增强信号强度、发射距离更远。
支持5种响应模式调整，防宠、防树叶遮挡误报能力更优。
宽电压设计，支持DC12-24V和AC12-18V，兼容集中供电，有效解决线路降压。
报警输出支持NO/NC两种干节点模式，系统融合更便捷。
内置防拆开关（常闭型），当外壳被拆开时触发警报。
光轴支持水平大角度、垂直多角度调整，方便对光，施工便捷高效。
双数码管实时呈现对光信号强度，施工便捷高效。
探测方式：主动红外
警戒距离：100米
光源类型：红外数字脉冲
光源波长：940nm
光束频率：750Hz
光轴角度：水平180°(±90°)；垂直 20°(±10°)
感应速度：50-700ms 
防拆输出：NC  触点容量  DC30V0.5A max 
光束数量：4光束
报警输出接口：NC/NO  触点容量 DC30V0.5A max 
防护等级：IP55
工作温度及湿度：-25℃~+55℃；≤95%（无凝结）
产品重量：2265g（毛重）
产品尺寸：370mm*96mm*95mm
外壳材质：PC(外罩)+ABS(本体)
工作电压：DC12-24V / AC12-18V
工作电流：投光器+受光器≤130mA
最大功率：≤5W </t>
  </si>
  <si>
    <t>工控箱</t>
  </si>
  <si>
    <t>配套工控箱</t>
  </si>
  <si>
    <t>DS-PB-WPB01S</t>
  </si>
  <si>
    <t xml:space="preserve">红外对射工控箱（不锈钢）
周界报警对射类产品户外弱电施工工控箱，工业级防护。
内置工业级漏电保护模块，施工、检修安全保障。
内置工业级浪涌防护模块，有效降低感应雷、浪涌电流对内接弱电设备的损害，保障其稳定运行。
内置工业级开关电源模块，为红外对射发射、接收端以及其他配套外设提供直流供电。
总供电输出规格：DC12V   2路；DC24V   4路
输出电流：1.5A Max
输出功率：30W Max
总供电输出保护：漏电防护：额定电压(V)：230/400 AC
                 额定电流(A)：16A
                 额定频率(Hz)：50/60
                 数        量：1个 （2P）
浪涌防护：额定电压：230V（相电压）
                 最大放电电流：20KA
                 响应时间：＜ 25ns
                 数        量：1个（2P） 
Ancillary Control Equipment (ACE)：接线端子：进线范围：10-35平方
                 出线范围：2.5-16平方
                 适用电流：100A
                 导件材质：黄铜镀锡
                 端口数量：1进2出 
工作湿度：10%~90% （相对湿度，无冷凝）
工作温度：-20℃~+55℃ 
IP等级：IP55
安装方式：支持壁挂、抱箍、落地等三种安装方式
外壳材质：304不锈钢，壁厚 0.8mm±0.15mm
尺寸（宽 × 高 × 深）：含有帽沿（高*宽*深）：300mm*248mm*180mm
不含帽沿（高*宽*深）：300mm*248mm*160mm
重量：3.9Kg±0.2Kg </t>
  </si>
  <si>
    <t>总线报警主机</t>
  </si>
  <si>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</si>
  <si>
    <t>DS-19A08-01BN</t>
  </si>
  <si>
    <t xml:space="preserve">总线报警主机
报警管理：支持探测器/紧急报警装置触发信号的接收，进行入侵/紧急报警事件管理
防区特性：支持即时防区、延时防区、紧急防区、超时防区等场景化防区类型设置，满足细致化管理需求
分区管理：支持子系统分区，对探测器进行分区管理，支持布防、撤防、消警、旁路等功能
报警指示：支持报警键盘、警号、继电器联动、中心平台上报等报警事件指示功能
操作管理：支持报警键盘、客户端软件、中心平台进行报警管理操作
联动控制：支持报警事件联动，平台控制报警输出，实现场景化联动输出，进行个性化管理
断电报警：当市电断电时，设备可通过蓄电池正常工作（需配蓄电池），并将断电事件进行通知上报
断网续传：支持断网续传功能，设备离线状态下产生事件在与平台连接后会重新上传
快速移机：支持设备配置文件导出和导入功能，实现参数备份和快速移机
配置方式：iVMS-4200、键盘编程、SADP
操作系统：Linux
日志存储：40000条
系统校时：手动校时、NTP校时 
子系统：8个
公共子系统：支持 
板载防区：8路
扩展防区：最大可扩展248路（其中无线防区上限为64个） 
板载警号输出：1路
板载继电器输出：4路
扩展输出：最大可扩展252路 
键盘：32个
总线中继器：4个，单条总线最多2个 
遥控器：32个（需搭配报警键盘支持）
卡片：32张（需搭配报警键盘支持） 
总线类型：M-BUS
总线拓扑：手拉手
总线距离：2400m，每增加一个中继器延长2400m，单条线路最多增加2个中继器
总线线型：RVV2*1.5mm² 
网络协议：SDK、NAL2300
接口协议：PSTN-CID 
主电源：AC220V
电池接口：铅酸蓄电池接口x1
辅电输出：DC12V/1A
警号接口：1路
防区输入接口：8路
报警输出接口：4路
总线接口：2路
RS-485接口：1路
网络接口：1路，支持扩展
4G模块接口：1路，模块按需选配
电话线模块接口：1路，模块出厂标配
打印机接口：1路 
使用场景：室内
安装方式：壁挂
供电方式：AC 220 V （出厂自带电源适配器转14.3V）
额定功率：5W（设备单机功率）
最大功率：60W (系统外设辅电满载)
颜色：白色
外壳材质：金属
认证等级：GA：4级
产品重量：≤3.5kg
产品尺寸：370mm（长）×320mm（宽）×86mm（厚）
工作温度及湿度：-10°C~55°C，湿度小于90%（无凝结）
存储温度及湿度：-25°C~60C，湿度小于90%（无凝结） </t>
  </si>
  <si>
    <t>控制键盘</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</si>
  <si>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</si>
  <si>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DS-PK-LRT</t>
  </si>
  <si>
    <t xml:space="preserve">有线LCD键盘（支持遥控器&amp;刷卡）
操作指令接收：支持对报警系统进行布防、撤防、消警、旁路、旁路恢复、紧急求助等操作
操作方式管理：支持密码、遥控器、刷卡方式对报警系统进行操作指令交互
报警状态指示：支持对报警系统防区报警状态进行实时指示，包括指示灯变化，提示音变化，文字内容变化等
系统状态展示：支持对报警系统运行状态进行展示，包括主电源状态、蓄电池状态、防拆状态、子系统布撤防状态，防区状态、扩展模块状态等
胁迫码功能：支持通过胁迫密码进行布撤防管理，并将警情进行中心上报
防区名称自定义：支持防区名称自定义配置，在键盘屏幕中展示对应文字内容
配置管理：支持通过键盘对报警主机进行参数配置，包括密码修改、防区类型配置、上报中心参数配置等
操作系统：Linux
显示屏：LCD（尺寸80X25mm）
指示灯：5个
按键数量：20个 
蜂鸣器：支持 
遥控器：支持
卡片：支持 
无线频率：RF433Mhz
双向无线通讯：支持
跳频技术：支持
无线加密：AES128 
总线类型：RS485
总线距离：800米
总线线型：RVV4*1.0mm² 
主电源：DC 12 V
RS-485接口：1路 
使用场景：室内
安装方式：壁挂
供电方式：DC 12 V
额定功率：1.2W
最大功率：1.8W
颜色：白色
外壳材质：塑料
产品重量：≤0.28 kg
产品尺寸：164 mm（宽）× 124 mm（深）× 31 mm（高）
工作温度及湿度：-10°C~55°C，湿度小于90%（无凝结）
存储温度及湿度：-20°C~60C，湿度小于90%（无凝结） </t>
  </si>
  <si>
    <t>报警主机蓄电池</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</si>
  <si>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</si>
  <si>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DS-PZ101VB-1207</t>
  </si>
  <si>
    <t xml:space="preserve">电池类型：阀控密封式铅酸蓄电池
电池规格：DC12V7AH
停止供电电压：10.5V
电池放电温度及湿度：-20°C~50°C，湿度小于95%（无凝结）
电池充电温度及湿度：-20°C~50°C，湿度小于95%（无凝结） 
安装方式：立式
颜色：黑色
外壳材质：ABS阻燃（V-1）
产品重量：2.0±3%Kg
产品尺寸：151mm*65mm*100mm
工作温度及湿度：-20°C~50°C，湿度小于95%（无凝结） " </t>
  </si>
  <si>
    <t>警灯警号</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</si>
  <si>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</si>
  <si>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DS-PS1-R</t>
  </si>
  <si>
    <t>【技术参数】
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
【产品功能】
1、声光报警：提供警灯闪烁和报警音频输出，用于提示警情处置
2、模式切换：支持关闭报警音频输出，仅提供警灯闪烁模式输出
3、内置水平仪：可通过内置水平仪调节安装角度，方便调试安装" "</t>
  </si>
  <si>
    <t>总线2防区扩展模块</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</si>
  <si>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</si>
  <si>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DS-19M02-ZS</t>
  </si>
  <si>
    <t>【技术参数】
1、设备类型：总线2防区扩展模块
2、防区数量：2个
3、通讯接口：M-BUS
4、通讯线材：RVV2*1.5
5、通讯协议：M-BUS协议
6、外壳材质：塑料
7、使用环境：室内
8、工作电源：DC36V/20mA Max（主机总线供电）
9、工作温度：-10 °C 至 55 °C
10、工作湿度：10% 至 90%
11、产品尺寸：49.4*32*14.3mm
【产品功能】
1、防区扩展：通过RVV线方式接入报警主机，扩展2路有线防区
2、总线无极性：总线接口不区分极性，方便施工安装
3、地址设置：通过拨码方式设置模块地址，拨码地址不能重复</t>
  </si>
  <si>
    <t>入侵报警软件</t>
  </si>
  <si>
    <t>1、支持报警子系统管理能力，包含布防、撤防、消警控制操作；
2、支持防区管理能力，包含旁路、旁路恢复操作；
3、支持实时入侵报警能力；
4、支持历史入侵报警事件查询及导出能力；</t>
  </si>
  <si>
    <t>国标，RVV2*1.5</t>
  </si>
  <si>
    <t>RVV2*1.5</t>
  </si>
  <si>
    <t>国标，RVV4*0.75</t>
  </si>
  <si>
    <t>RVV4*0.75</t>
  </si>
  <si>
    <t>2.6、其它硬件</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</si>
  <si>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</si>
  <si>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r>
      <rPr>
        <sz val="10"/>
        <color rgb="FF000000"/>
        <rFont val="Calibri"/>
        <family val="2"/>
      </rPr>
      <t>1</t>
    </r>
    <r>
      <rPr>
        <sz val="10"/>
        <color rgb="FF000000"/>
        <rFont val="宋体"/>
        <family val="3"/>
        <charset val="134"/>
      </rPr>
      <t>、包含、空开、导轨及接线端子</t>
    </r>
    <r>
      <rPr>
        <sz val="10"/>
        <color rgb="FF000000"/>
        <rFont val="Calibri"/>
        <family val="2"/>
      </rPr>
      <t xml:space="preserve">
2</t>
    </r>
    <r>
      <rPr>
        <sz val="10"/>
        <color rgb="FF000000"/>
        <rFont val="宋体"/>
        <family val="3"/>
        <charset val="134"/>
      </rPr>
      <t>、国产优质箱体，根据实际安装设备测量后成套定制</t>
    </r>
  </si>
  <si>
    <t>水浸变送器</t>
  </si>
  <si>
    <t>漏水探测器;固定电极式;可设置 5 级灵敏度;继电器：1×SPST(3A-30VDC 或 250VAC) 
工作环境：-10~50°C，5~95%RH，非凝露</t>
  </si>
  <si>
    <t>RS-48</t>
  </si>
  <si>
    <t>噪声监测传感器</t>
  </si>
  <si>
    <t>量程：30~120dBA（A 计权）。
精度：±0.5dB，分辨率 0.1dB。
频率：20Hz~12.5kHz。
供电：10~30VDC（建议 24V）。
防护：IP65，室外可用 输出信号为 0-10V。</t>
  </si>
  <si>
    <t>国产一线品牌</t>
  </si>
  <si>
    <r>
      <rPr>
        <sz val="10"/>
        <color rgb="FF000000"/>
        <rFont val="宋体"/>
        <family val="3"/>
        <charset val="134"/>
      </rPr>
      <t>1.标准：不低于TIA/EIA568-C.2、ISO/IEC11801、IEC60332-1、GB 50311；</t>
    </r>
    <r>
      <rPr>
        <sz val="10"/>
        <rFont val="宋体"/>
        <family val="3"/>
        <charset val="134"/>
      </rPr>
      <t xml:space="preserve">
</t>
    </r>
    <r>
      <rPr>
        <sz val="10"/>
        <color rgb="FFFE0300"/>
        <rFont val="宋体"/>
        <family val="3"/>
        <charset val="134"/>
      </rPr>
      <t>2.导体规格：2.导体规格：多股绞合铜线，4×2×24AWG；</t>
    </r>
    <r>
      <rPr>
        <sz val="10"/>
        <rFont val="宋体"/>
        <family val="3"/>
        <charset val="134"/>
      </rPr>
      <t xml:space="preserve">
</t>
    </r>
    <r>
      <rPr>
        <sz val="10"/>
        <color rgb="FF000000"/>
        <rFont val="宋体"/>
        <family val="3"/>
        <charset val="134"/>
      </rPr>
      <t>3.护套材料：PVC，护套外径：6.3±0.3mm；</t>
    </r>
    <r>
      <rPr>
        <sz val="10"/>
        <rFont val="宋体"/>
        <family val="3"/>
        <charset val="134"/>
      </rPr>
      <t xml:space="preserve">
</t>
    </r>
    <r>
      <rPr>
        <sz val="10"/>
        <color rgb="FF000000"/>
        <rFont val="宋体"/>
        <family val="3"/>
        <charset val="134"/>
      </rPr>
      <t>4.插头规格：RJ45，8P8C；</t>
    </r>
    <r>
      <rPr>
        <sz val="10"/>
        <rFont val="宋体"/>
        <family val="3"/>
        <charset val="134"/>
      </rPr>
      <t xml:space="preserve">
</t>
    </r>
    <r>
      <rPr>
        <sz val="10"/>
        <color rgb="FF000000"/>
        <rFont val="宋体"/>
        <family val="3"/>
        <charset val="134"/>
      </rPr>
      <t>5.插拔次数：≥1000次；</t>
    </r>
    <r>
      <rPr>
        <sz val="10"/>
        <rFont val="宋体"/>
        <family val="3"/>
        <charset val="134"/>
      </rPr>
      <t xml:space="preserve">
</t>
    </r>
    <r>
      <rPr>
        <sz val="10"/>
        <color rgb="FF000000"/>
        <rFont val="宋体"/>
        <family val="3"/>
        <charset val="134"/>
      </rPr>
      <t>6.最高传输频率：不小于250MHz；</t>
    </r>
    <r>
      <rPr>
        <sz val="10"/>
        <rFont val="宋体"/>
        <family val="3"/>
        <charset val="134"/>
      </rPr>
      <t xml:space="preserve">
</t>
    </r>
    <r>
      <rPr>
        <sz val="10"/>
        <color rgb="FF000000"/>
        <rFont val="宋体"/>
        <family val="3"/>
        <charset val="134"/>
      </rPr>
      <t>7.线缆外护套上间隔印有商标、电缆编号、电缆类别、线规、防火等级、标准；</t>
    </r>
    <r>
      <rPr>
        <sz val="10"/>
        <rFont val="宋体"/>
        <family val="3"/>
        <charset val="134"/>
      </rPr>
      <t xml:space="preserve">
</t>
    </r>
    <r>
      <rPr>
        <sz val="10"/>
        <color rgb="FF000000"/>
        <rFont val="宋体"/>
        <family val="3"/>
        <charset val="134"/>
      </rPr>
      <t>8.支持以太网供电应用（POE/POE+）；</t>
    </r>
    <r>
      <rPr>
        <sz val="10"/>
        <rFont val="宋体"/>
        <family val="3"/>
        <charset val="134"/>
      </rPr>
      <t xml:space="preserve">
</t>
    </r>
    <r>
      <rPr>
        <sz val="10"/>
        <color rgb="FF000000"/>
        <rFont val="宋体"/>
        <family val="3"/>
        <charset val="134"/>
      </rPr>
      <t>9.描述：用于办公桌桌面跳线，长度2米</t>
    </r>
    <r>
      <rPr>
        <sz val="10"/>
        <rFont val="宋体"/>
        <family val="3"/>
        <charset val="134"/>
      </rPr>
      <t xml:space="preserve">
</t>
    </r>
    <r>
      <rPr>
        <sz val="10"/>
        <color rgb="FF000000"/>
        <rFont val="宋体"/>
        <family val="3"/>
        <charset val="134"/>
      </rPr>
      <t>10.为了保证性能的匹配性和稳定性，综合布线光纤系统、铜缆系统应采用同一品牌。</t>
    </r>
  </si>
  <si>
    <t>48口接入交换机-集成单电源</t>
  </si>
  <si>
    <t xml:space="preserve">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t>
  </si>
  <si>
    <t>国标，RVV4*1.0</t>
  </si>
  <si>
    <t>RVV4*1.0</t>
  </si>
  <si>
    <t>线缆</t>
  </si>
  <si>
    <t>三、等保测评</t>
  </si>
  <si>
    <t>二级等保测评</t>
  </si>
  <si>
    <t>PW</t>
  </si>
  <si>
    <t>SBY</t>
  </si>
  <si>
    <t>差价</t>
  </si>
  <si>
    <t>项目范围</t>
  </si>
  <si>
    <t>系统</t>
  </si>
  <si>
    <t>设施设备</t>
  </si>
  <si>
    <t>涉及硬件类型</t>
  </si>
  <si>
    <t>智慧消防系统</t>
  </si>
  <si>
    <t>消防水系统</t>
  </si>
  <si>
    <t>消防水池</t>
  </si>
  <si>
    <t>水池数量</t>
  </si>
  <si>
    <t>水位仪传感器7个（包括电动力1个）</t>
  </si>
  <si>
    <t>消防水箱</t>
  </si>
  <si>
    <t>水箱数量</t>
  </si>
  <si>
    <t>水位仪传感器6个（包括电动力1个）、出水管流量传感器12个（包括电动力2个）</t>
  </si>
  <si>
    <t>消防泵/喷淋泵</t>
  </si>
  <si>
    <t>泵数量</t>
  </si>
  <si>
    <t>电气监控28个（包括电动力4个）</t>
  </si>
  <si>
    <t>稳压泵</t>
  </si>
  <si>
    <t>电气监控、启停状态/次数监测28个（包括电动力4个）</t>
  </si>
  <si>
    <t>隔膜气压罐</t>
  </si>
  <si>
    <t>罐体数量</t>
  </si>
  <si>
    <t>14个（包括电动力2个）</t>
  </si>
  <si>
    <t>配电柜</t>
  </si>
  <si>
    <t>柜体数量</t>
  </si>
  <si>
    <t>电气监控9个（包括电动力2个）</t>
  </si>
  <si>
    <t>控制柜</t>
  </si>
  <si>
    <t>电气监控、远程手自动变更28个（包括电动力4个）</t>
  </si>
  <si>
    <t>消防测试栓</t>
  </si>
  <si>
    <t>屋面测试栓数量</t>
  </si>
  <si>
    <t>压力传感器 30</t>
  </si>
  <si>
    <t>末端测试</t>
  </si>
  <si>
    <t>末端数量</t>
  </si>
  <si>
    <t>压力传感器 200</t>
  </si>
  <si>
    <t>消防泵房</t>
  </si>
  <si>
    <t>泵房数量</t>
  </si>
  <si>
    <t>9个（包括电动力2个消防泵房/稳压泵房）</t>
  </si>
  <si>
    <t>进水阀</t>
  </si>
  <si>
    <t>水池、水箱水量</t>
  </si>
  <si>
    <t>流量计、压力传感器13个（包括电动力2个）</t>
  </si>
  <si>
    <t>关键管路（进出水主管）</t>
  </si>
  <si>
    <t>进出水管数量</t>
  </si>
  <si>
    <t>阀门启闭状态检测、压力传感器、流量监测（50个阀门启闭状态、压力传感器、流量监测）</t>
  </si>
  <si>
    <t>湿式报警阀\预作用阀</t>
  </si>
  <si>
    <t>报警阀数量</t>
  </si>
  <si>
    <t>上下腔压力监测、判断，水力警铃传感69个报警阀、69个水力警铃</t>
  </si>
  <si>
    <t>消防主机</t>
  </si>
  <si>
    <t>主机数量</t>
  </si>
  <si>
    <t>主机信号传输 22</t>
  </si>
  <si>
    <t>消防水炮主机</t>
  </si>
  <si>
    <t>水炮数量</t>
  </si>
  <si>
    <t>电磁阀启动信号 2</t>
  </si>
  <si>
    <t>全淹没气灭</t>
  </si>
  <si>
    <t>环境检测</t>
  </si>
  <si>
    <t>全淹没房间数量</t>
  </si>
  <si>
    <t>氧浓度监测接入消防平台 33个</t>
  </si>
  <si>
    <t>电磁阀、泄压口</t>
  </si>
  <si>
    <t>瓶体数量</t>
  </si>
  <si>
    <t>压力传感器/电磁阀启动监测（100个）</t>
  </si>
  <si>
    <t>排烟系统</t>
  </si>
  <si>
    <t>排烟风机</t>
  </si>
  <si>
    <t>风机数量</t>
  </si>
  <si>
    <t>排烟风速计量（含风向）110</t>
  </si>
  <si>
    <t>电动挡烟垂壁</t>
  </si>
  <si>
    <t>/</t>
  </si>
  <si>
    <t>释放状态</t>
  </si>
  <si>
    <t>防火卷帘</t>
  </si>
  <si>
    <t>排水系统</t>
  </si>
  <si>
    <t>雨水截止阀</t>
  </si>
  <si>
    <t>自动灭火后联动对应雨水截止阀关闭</t>
  </si>
  <si>
    <t>关键机房、泵房排水泵</t>
  </si>
  <si>
    <t>水泵数量</t>
  </si>
  <si>
    <t>启闭监测 24个（6个消防泵房）</t>
  </si>
  <si>
    <t>关键机房、泵房</t>
  </si>
  <si>
    <t>防水浸监测（10个）</t>
  </si>
  <si>
    <t>可燃气体</t>
  </si>
  <si>
    <t>可燃气体报警主机</t>
  </si>
  <si>
    <t>可燃气体报警主机接入消防平台  8个</t>
  </si>
  <si>
    <t>可燃气体管路</t>
  </si>
  <si>
    <t>燃气管道数量</t>
  </si>
  <si>
    <t>燃气、压缩空气等管道加装可联动电磁阀  （2个）</t>
  </si>
  <si>
    <t>电气火灾监控</t>
  </si>
  <si>
    <t>在线电压、剩余电流检测、电缆温度检测   数量太多400+</t>
  </si>
  <si>
    <t>视频监控系统</t>
  </si>
  <si>
    <t>自动报警系统</t>
  </si>
  <si>
    <t>自动报警系统联动范围摄像头、算法判断  数量太多1000+</t>
  </si>
  <si>
    <t>安全出口堵塞</t>
  </si>
  <si>
    <t>摄像头算法判断安全出口、疏散通道  150+</t>
  </si>
  <si>
    <t>屋面光伏摄像头</t>
  </si>
  <si>
    <t>烟雾、火焰摄像头  （60+）</t>
  </si>
  <si>
    <t>电动自行车充电区</t>
  </si>
  <si>
    <t>40+</t>
  </si>
  <si>
    <t>电动叉车充电区</t>
  </si>
  <si>
    <t>AGV充电区</t>
  </si>
  <si>
    <t>电动汽车充电区</t>
  </si>
  <si>
    <t>60+</t>
  </si>
  <si>
    <t>厨房灶台</t>
  </si>
  <si>
    <t>15+</t>
  </si>
  <si>
    <t>关键岗位通讯设备</t>
  </si>
  <si>
    <t>关键岗位用于设备点检、救援联动、保修维修等功能(12-15台）</t>
  </si>
  <si>
    <t>周界防护</t>
  </si>
  <si>
    <t>震动光纤</t>
  </si>
  <si>
    <t>光纤、接收器等（4000米周长）</t>
  </si>
  <si>
    <t>周界监控</t>
  </si>
  <si>
    <t>基于算法和震动光纤提示报警（40台摄像机）</t>
  </si>
  <si>
    <t>红外对射报警</t>
  </si>
  <si>
    <t>对车辆道闸下口、窄小区域提示报警（11）</t>
  </si>
  <si>
    <t>全面监控</t>
  </si>
  <si>
    <t>屋面</t>
  </si>
  <si>
    <t>鹰眼相机 提供园区概状视频监控3-4台</t>
  </si>
  <si>
    <t>车道相机</t>
  </si>
  <si>
    <t>对违停、逆行等行为进行算法判断20台</t>
  </si>
  <si>
    <t>按固定轨道轮训，视频上传算法1台</t>
  </si>
  <si>
    <t>巡更系统</t>
  </si>
  <si>
    <t>巡更点</t>
  </si>
  <si>
    <t>使用NFC等设备进行巡更管理40+</t>
  </si>
  <si>
    <t>场景类型*</t>
  </si>
  <si>
    <t>场所*</t>
  </si>
  <si>
    <t>位置*</t>
  </si>
  <si>
    <t>需求场景*</t>
  </si>
  <si>
    <t>已有摄像头数量*</t>
  </si>
  <si>
    <t>优先级*</t>
  </si>
  <si>
    <t>EHS</t>
  </si>
  <si>
    <t>M6</t>
  </si>
  <si>
    <t>一楼东侧和南侧老化测试区</t>
  </si>
  <si>
    <t>监测绝缘鞋火焰和烟雾，噪音监测；</t>
  </si>
  <si>
    <t>高</t>
  </si>
  <si>
    <t>一楼东侧和南侧后的老化设备间</t>
  </si>
  <si>
    <t>监测绝缘鞋火焰和烟雾；</t>
  </si>
  <si>
    <t>一楼行车下方工作区域</t>
  </si>
  <si>
    <t>监测工人佩戴安全帽，防砸鞋；人员是否处于吊装物下方</t>
  </si>
  <si>
    <t>中</t>
  </si>
  <si>
    <t>一楼板链线旁检修口</t>
  </si>
  <si>
    <t>维修口打开会有信号数据，信号接入摄像头去判断人员是否佩戴安全帽；</t>
  </si>
  <si>
    <t>一楼生命线</t>
  </si>
  <si>
    <t>检测人员登高时人员是否配戴安全帽与安全带</t>
  </si>
  <si>
    <t>M8</t>
  </si>
  <si>
    <t>一楼南边模组房机械臂区域</t>
  </si>
  <si>
    <t>需要进行人员安全帽监测；</t>
  </si>
  <si>
    <t>一楼南边的悬臂吊</t>
  </si>
  <si>
    <t>作业时监测下方人员的是否穿戴安全帽和防砸鞋；人员是否处于吊装物下方。</t>
  </si>
  <si>
    <t>一楼南边悬臂吊旁边的调试区</t>
  </si>
  <si>
    <t>需要穿绝缘鞋，火焰烟雾监测；</t>
  </si>
  <si>
    <t>M9</t>
  </si>
  <si>
    <t>一楼南侧区域的老化测试区</t>
  </si>
  <si>
    <t>需要进行绝缘鞋和烟雾火焰监测，噪音监测；</t>
  </si>
  <si>
    <t>一楼南侧区域的老化设备间</t>
  </si>
  <si>
    <t>需要进行绝缘鞋、火焰和烟雾检测；</t>
  </si>
  <si>
    <t>M15</t>
  </si>
  <si>
    <t>车间内主次干道</t>
  </si>
  <si>
    <t>识别物料占道、超线摆放、地面垃圾5S问题</t>
  </si>
  <si>
    <t>一楼电芯上线区</t>
  </si>
  <si>
    <t>监测安全帽、火焰和烟雾（考虑摄像头与火焰烟感联动）；监测噪声区域人员暴露时长。</t>
  </si>
  <si>
    <t>一楼电芯堆叠区</t>
  </si>
  <si>
    <t>一楼西侧的悬臂吊工作区</t>
  </si>
  <si>
    <t>监测下方施工是否配戴安全帽和防砸鞋，火焰及烟雾监测（考虑摄像头与烟感联动）；人员是否处于吊装物下方</t>
  </si>
  <si>
    <t>化学品库</t>
  </si>
  <si>
    <t>园区东侧和西侧化学品库</t>
  </si>
  <si>
    <t>监测液体倾倒、泄漏，抽烟，手机监测，温度湿度监测报警；，火焰及烟雾监测（考虑摄像头与烟感联动）；</t>
  </si>
  <si>
    <t>叉车充电区</t>
  </si>
  <si>
    <t>M19西侧叉车充电区</t>
  </si>
  <si>
    <t>监测火焰及烟雾（考虑摄像头与烟感联动）</t>
  </si>
  <si>
    <t>龙门吊</t>
  </si>
  <si>
    <t>M9右侧堆场上方龙门吊</t>
  </si>
  <si>
    <t>监测龙门吊下方工作区，工人是否佩戴安全帽，人员是否处于吊装物下方</t>
  </si>
  <si>
    <t>M8南侧污水处理站</t>
  </si>
  <si>
    <t>监测污水站顶部进出口，识别有无开启动作，人员是否佩戴安全帽</t>
  </si>
  <si>
    <t>M10</t>
  </si>
  <si>
    <t>一楼仓储区</t>
  </si>
  <si>
    <t>围栏内监测安全帽，火焰及烟雾监测（考虑摄像头与烟感联动）；</t>
  </si>
  <si>
    <t>围栏外使用电动托盘车需要穿反光背心、防砸鞋。</t>
  </si>
  <si>
    <t>M5</t>
  </si>
  <si>
    <t>二楼X射线监测室</t>
  </si>
  <si>
    <t>监测人员操作时是否穿戴铅衣</t>
  </si>
  <si>
    <t>二楼工装清洗室</t>
  </si>
  <si>
    <t>监测防尘口罩，需加装摄像头与烟感联动</t>
  </si>
  <si>
    <t>二楼波峰焊操作台</t>
  </si>
  <si>
    <t>操作时监测人员需佩戴防护口罩</t>
  </si>
  <si>
    <t>二楼喷涂操作台</t>
  </si>
  <si>
    <t>操作时监测人员是否佩戴口罩</t>
  </si>
  <si>
    <t>一楼调试区</t>
  </si>
  <si>
    <t>园区</t>
  </si>
  <si>
    <t>园区道路</t>
  </si>
  <si>
    <t>叉车、托盘车驾驶人员是否穿反光马甲、操作托盘车是否穿防砸鞋；车辆驾驶是否超速（叉车15，托盘车8）</t>
  </si>
  <si>
    <t>道路交通</t>
  </si>
  <si>
    <t>全部</t>
  </si>
  <si>
    <t>违停、堆物、人员聚集、</t>
  </si>
  <si>
    <t>低</t>
  </si>
  <si>
    <t>园区围墙</t>
  </si>
  <si>
    <t>翻越</t>
  </si>
  <si>
    <t>屋面光伏</t>
  </si>
  <si>
    <t>屋面光伏安装场所</t>
  </si>
  <si>
    <t>烟雾、火焰</t>
  </si>
  <si>
    <t>安全出口</t>
  </si>
  <si>
    <t>所有厂房</t>
  </si>
  <si>
    <t>消防水池水箱</t>
  </si>
  <si>
    <t>水泵房</t>
  </si>
  <si>
    <t>7处</t>
  </si>
  <si>
    <t>液位仪传感器</t>
  </si>
  <si>
    <t>稳压泵房</t>
  </si>
  <si>
    <t>6处</t>
  </si>
  <si>
    <t>液位传感器</t>
  </si>
  <si>
    <t>水泵电气监控</t>
  </si>
  <si>
    <t>电气监控、启停状态/次数监测</t>
  </si>
  <si>
    <t>电气监控</t>
  </si>
  <si>
    <t>电气监控、远程手自动变更</t>
  </si>
  <si>
    <t>30处</t>
  </si>
  <si>
    <t>压力监控</t>
  </si>
  <si>
    <t>厂房、宿舍各防火分区</t>
  </si>
  <si>
    <t>200处</t>
  </si>
  <si>
    <t>补水阀</t>
  </si>
  <si>
    <t>水泵房、稳压泵房</t>
  </si>
  <si>
    <t>13处</t>
  </si>
  <si>
    <t>流量监控、压力监控</t>
  </si>
  <si>
    <t>主机信号采集数量：青鸟自动报警主机*20，青岛鼎信自动报警主机*1，利达自动报警主机*1，各品牌需对应使用适配的用户信息传输硬件</t>
    <phoneticPr fontId="26" type="noConversion"/>
  </si>
  <si>
    <t>光纤熔接盒（含光纤熔纤）</t>
    <phoneticPr fontId="26" type="noConversion"/>
  </si>
  <si>
    <t>含4个SC单工耦合器，4条SC单芯单模尾纤，2条SC-SC双芯单模跳纤</t>
    <phoneticPr fontId="26" type="noConversion"/>
  </si>
  <si>
    <t>全局网络控制器</t>
    <phoneticPr fontId="26" type="noConversion"/>
  </si>
  <si>
    <t>WEBs系列控制器</t>
    <phoneticPr fontId="26" type="noConversion"/>
  </si>
  <si>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t>
    <phoneticPr fontId="26" type="noConversion"/>
  </si>
  <si>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phoneticPr fontId="26" type="noConversion"/>
  </si>
  <si>
    <t>边缘网络控制器，3条RS485总线；支持编程数据管理等功能</t>
    <phoneticPr fontId="26" type="noConversion"/>
  </si>
  <si>
    <r>
      <t>1.名称：全局网络控制器 </t>
    </r>
    <r>
      <rPr>
        <sz val="10"/>
        <rFont val="宋体"/>
        <family val="3"/>
        <charset val="134"/>
      </rPr>
      <t xml:space="preserve">
</t>
    </r>
    <r>
      <rPr>
        <sz val="10"/>
        <color rgb="FFFE0300"/>
        <rFont val="宋体"/>
        <family val="3"/>
        <charset val="134"/>
      </rPr>
      <t>2.参数要求：单核 A8@1GHz，1GB DDR3 / 4GB microSD，2× 百兆，2×RS-485，可扩展4 个 I/O/ 现场总线模块。协议：BACnet IP/MS/TP + Modbus TCP/RTU + LonWorks + KNX + SNMP + oBIX，编程：Niagara 图形化编程，功能极强，适合复杂联锁 / 算法。满足现场现场功能所需的点位授权费</t>
    </r>
    <phoneticPr fontId="26" type="noConversion"/>
  </si>
  <si>
    <t>ECC200-PE</t>
    <phoneticPr fontId="26" type="noConversion"/>
  </si>
  <si>
    <t>24VDC</t>
    <phoneticPr fontId="26" type="noConversion"/>
  </si>
  <si>
    <t>S953-4X+
4*S905-3+
4*S812+
2*S922</t>
    <phoneticPr fontId="26" type="noConversion"/>
  </si>
  <si>
    <t>S952-24X+
24*S905-7-1+
48*S813</t>
    <phoneticPr fontId="26" type="noConversion"/>
  </si>
  <si>
    <t>室外4芯单模光缆</t>
    <phoneticPr fontId="26" type="noConversion"/>
  </si>
  <si>
    <t>D173-4</t>
  </si>
  <si>
    <t>输出4-20mA三相模块RS485信号</t>
    <phoneticPr fontId="26" type="noConversion"/>
  </si>
  <si>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phoneticPr fontId="26" type="noConversion"/>
  </si>
  <si>
    <t>24口接入交换机-单电源</t>
    <phoneticPr fontId="26" type="noConversion"/>
  </si>
  <si>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phoneticPr fontId="26" type="noConversion"/>
  </si>
  <si>
    <t>壁挂式，用于消防远程监控，通过RS232端口实时监测所连接火灾报警控制器的报警信息，并通过有线网络传递到监控平台。满足GB26875-2011标准。</t>
    <phoneticPr fontId="26" type="noConversion"/>
  </si>
  <si>
    <t>霍尼韦尔、江森、西门子</t>
    <phoneticPr fontId="26" type="noConversion"/>
  </si>
  <si>
    <t>用于实现火灾报警控制器与云端进行有线通讯（网线）的联网设备，DC24V供电，外型尺寸 136*89*36(mm)。</t>
    <phoneticPr fontId="26" type="noConversion"/>
  </si>
  <si>
    <t>鼎信</t>
  </si>
  <si>
    <t>TS-CS-8101</t>
  </si>
  <si>
    <t>主电电源：额定工作电压 AC220V/50Hz，宽电压范围 AC176V～AC420V 可接入；
备电电源：12V/2.3Ah 蓄电池；
容量：配接一台控制器；
液晶规格：320×480 彩色液晶屏；
使用环境：温度：0℃~+40℃；
相对湿度≤95%，不凝露；
外形尺寸：270.0mm× 190.0mm× 62.5mm(长× 宽× 高)；
安装孔距：水平间距 226.0mm，垂直间距 93.0mm；
重量：约 2.1kg；
外壳防护等级：IP30；</t>
    <phoneticPr fontId="26" type="noConversion"/>
  </si>
  <si>
    <t>利达</t>
  </si>
  <si>
    <t>LD6920</t>
  </si>
  <si>
    <t>DC 24V；&lt; 200mA； CAN总线、RS232串口、开关量输入；支持 GPRS/2G、TCP/IP、电话线（可选配）</t>
    <phoneticPr fontId="26" type="noConversion"/>
  </si>
  <si>
    <t>定制</t>
    <phoneticPr fontId="26" type="noConversion"/>
  </si>
  <si>
    <t>DDC-Panel-XL</t>
    <phoneticPr fontId="26" type="noConversion"/>
  </si>
  <si>
    <t>1、包含：空开、导轨及接线端子
2、国产优质箱体，根据实际安装设备测量后成套定制</t>
    <phoneticPr fontId="26" type="noConversion"/>
  </si>
  <si>
    <t>HSL-LS05</t>
    <phoneticPr fontId="26" type="noConversion"/>
  </si>
  <si>
    <t>HSP-W225MB</t>
    <phoneticPr fontId="26" type="noConversion"/>
  </si>
  <si>
    <t>O2-W2</t>
    <phoneticPr fontId="26" type="noConversion"/>
  </si>
  <si>
    <t>霍尼韦尔</t>
    <phoneticPr fontId="26" type="noConversion"/>
  </si>
  <si>
    <t>SZR-LY4-N1 DC24V</t>
    <phoneticPr fontId="26" type="noConversion"/>
  </si>
  <si>
    <t>普联（TP-LINK）TL-FC311A-3千兆单模单纤光纤收发器 光电转换器SC单芯3km（单只装）</t>
    <phoneticPr fontId="26" type="noConversion"/>
  </si>
  <si>
    <t>普联（TP-LINK） TL-FC1400单模多模光纤收发器14槽机架单纤双纤光电转换器整理箱机柜2U机箱</t>
    <phoneticPr fontId="26" type="noConversion"/>
  </si>
  <si>
    <t>RG-S2910-24GT4SFP-L</t>
    <phoneticPr fontId="26" type="noConversion"/>
  </si>
  <si>
    <t>千兆接入交换机 | 24个10/100/1000M自适应电口，4个1G SFP光口，固化交流电源和无风扇设计。 | 不支持PoE | 交换容量598Gbps/5.98Tbps | 包转发率126Mpps | 支持动态路由协议（RIP、OSPF）、VSU、802.X认证、ERPS环网保护协议、链路聚合 | 支持云管理&amp;本地管理 | 默认三年维保 |</t>
    <phoneticPr fontId="26" type="noConversion"/>
  </si>
  <si>
    <t>MINI-GBIC-LX-SM1310</t>
  </si>
  <si>
    <t>1000BASE-LX mini GBIC转换模块（1310nm），10km</t>
  </si>
  <si>
    <t>RG-S2000-10GT2MS-P</t>
  </si>
  <si>
    <t>二层 | 千兆接入交换机 | 10个10/100/1000M自适应电口，2个1G/2.5G SFP光口，固化单交流电源和风扇，1-8端口支持PoE/PoE+远程供电，125W POE供电。 | 支持PoE+ |  支持静态路由、链路聚合、EEE节能以太网技术、端口防雷能力10KV | 支持云管理＆本地管理 | 默认三年维保 |</t>
  </si>
  <si>
    <t>RG-S2910-24GT4SFP-P-L</t>
  </si>
  <si>
    <t>千兆接入交换机 | 24个10/100/1000M自适应电口，4个1G SFP光口，1-24口支持PoE/PoE+，固化交流电源和风扇，整机PoE最大输出370W。 | 支持PoE+ | 交换容量598Gbps/5.98Tbps | 包转发率126Mpps | 支持动态路由协议（RIP、OSPF）、VSU、802.X认证、ERPS环网保护协议、链路聚合 | 支持云管理&amp;本地管理 | 默认三年维保 |</t>
  </si>
  <si>
    <t>XG-SFP-LR-SM1310</t>
  </si>
  <si>
    <t>万兆LC接口模块（1310nm），10km，适用于SFP+接口</t>
  </si>
  <si>
    <t>RG-S5000-48GT4XS</t>
  </si>
  <si>
    <t>千兆接入交换机 | 48个10/100/1000M自适应电口，4个1G/10G SFP+光口，固化交流电源和风扇。 | 不支持PoE | 交换容量672Gbps/6.72Tbps | 包转发率207Mpps | 支持动态路由协议（RIP、OSPF）、VSU、802.X认证、ERPS环网保护协议、链路聚合 | 支持云管理&amp;本地管理 | 默认三年维保 |</t>
  </si>
  <si>
    <t>增加项</t>
    <phoneticPr fontId="26" type="noConversion"/>
  </si>
  <si>
    <t>修改品牌</t>
    <phoneticPr fontId="26" type="noConversion"/>
  </si>
  <si>
    <t>修改型号</t>
    <phoneticPr fontId="26" type="noConversion"/>
  </si>
  <si>
    <t>适配电磁阀信号选配</t>
    <phoneticPr fontId="26" type="noConversion"/>
  </si>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</sst>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6" formatCode="0.00_);[Red]\(0.00\)"/>
    <numFmt numFmtId="177" formatCode="0.00_ "/>
    <numFmt numFmtId="178" formatCode="[DBNum2][$-804]General"/>
  </numFmts>
  <fonts count="27" x14ac:knownFonts="1">
    <font>
      <sz val="12"/>
      <color theme="1"/>
      <name val="等线"/>
      <charset val="134"/>
      <scheme val="minor"/>
    </font>
    <font>
      <sz val="10"/>
      <name val="等线"/>
      <family val="3"/>
      <charset val="134"/>
      <scheme val="minor"/>
    </font>
    <font>
      <b/>
      <sz val="10"/>
      <name val="等线"/>
      <family val="3"/>
      <charset val="134"/>
      <scheme val="minor"/>
    </font>
    <font>
      <sz val="10"/>
      <color rgb="FF000000"/>
      <name val="宋体"/>
      <family val="3"/>
      <charset val="134"/>
    </font>
    <font>
      <sz val="10"/>
      <color rgb="FF000000"/>
      <name val="等线"/>
      <family val="3"/>
      <charset val="134"/>
    </font>
    <font>
      <sz val="10"/>
      <color theme="1"/>
      <name val="等线"/>
      <family val="3"/>
      <charset val="134"/>
      <scheme val="minor"/>
    </font>
    <font>
      <b/>
      <sz val="10"/>
      <color rgb="FF000000"/>
      <name val="等线"/>
      <family val="3"/>
      <charset val="134"/>
    </font>
    <font>
      <b/>
      <sz val="10"/>
      <color rgb="FF000000"/>
      <name val="宋体"/>
      <family val="3"/>
      <charset val="134"/>
    </font>
    <font>
      <sz val="10"/>
      <color rgb="FFFE0300"/>
      <name val="宋体"/>
      <family val="3"/>
      <charset val="134"/>
    </font>
    <font>
      <sz val="10"/>
      <color rgb="FFFF0000"/>
      <name val="宋体"/>
      <family val="3"/>
      <charset val="134"/>
    </font>
    <font>
      <sz val="10"/>
      <color rgb="FF000000"/>
      <name val="Calibri"/>
      <family val="2"/>
    </font>
    <font>
      <sz val="10"/>
      <color rgb="FF000000"/>
      <name val="微软雅黑"/>
      <family val="2"/>
      <charset val="134"/>
    </font>
    <font>
      <sz val="12"/>
      <color rgb="FF000000"/>
      <name val="等线"/>
      <family val="3"/>
      <charset val="134"/>
    </font>
    <font>
      <b/>
      <sz val="11"/>
      <color rgb="FF000000"/>
      <name val="等线"/>
      <family val="3"/>
      <charset val="134"/>
    </font>
    <font>
      <sz val="11"/>
      <color rgb="FF000000"/>
      <name val="等线"/>
      <family val="3"/>
      <charset val="134"/>
    </font>
    <font>
      <sz val="11"/>
      <color rgb="FF000000"/>
      <name val="宋体"/>
      <family val="3"/>
      <charset val="134"/>
    </font>
    <font>
      <b/>
      <sz val="20"/>
      <color rgb="FF000000"/>
      <name val="宋体"/>
      <family val="3"/>
      <charset val="134"/>
    </font>
    <font>
      <b/>
      <sz val="14"/>
      <color rgb="FF000000"/>
      <name val="宋体"/>
      <family val="3"/>
      <charset val="134"/>
    </font>
    <font>
      <b/>
      <sz val="12"/>
      <color rgb="FF000000"/>
      <name val="宋体"/>
      <family val="3"/>
      <charset val="134"/>
    </font>
    <font>
      <sz val="12"/>
      <color rgb="FF000000"/>
      <name val="宋体"/>
      <family val="3"/>
      <charset val="134"/>
    </font>
    <font>
      <sz val="12"/>
      <color rgb="FFFF0000"/>
      <name val="宋体"/>
      <family val="3"/>
      <charset val="134"/>
    </font>
    <font>
      <sz val="12"/>
      <color rgb="FFFF0000"/>
      <name val="等线"/>
      <family val="3"/>
      <charset val="134"/>
    </font>
    <font>
      <b/>
      <sz val="11"/>
      <color rgb="FF000000"/>
      <name val="宋体"/>
      <family val="3"/>
      <charset val="134"/>
    </font>
    <font>
      <sz val="12"/>
      <color rgb="FFFE0300"/>
      <name val="宋体"/>
      <family val="3"/>
      <charset val="134"/>
    </font>
    <font>
      <sz val="10"/>
      <name val="宋体"/>
      <family val="3"/>
      <charset val="134"/>
    </font>
    <font>
      <sz val="11"/>
      <color rgb="FFFF0000"/>
      <name val="等线"/>
      <family val="3"/>
      <charset val="134"/>
    </font>
    <font>
      <sz val="9"/>
      <name val="等线"/>
      <family val="3"/>
      <charset val="134"/>
      <scheme val="minor"/>
    </font>
  </fonts>
  <fills count="7">
    <fill>
      <patternFill patternType="none"/>
    </fill>
    <fill>
      <patternFill patternType="gray125"/>
    </fill>
    <fill>
      <patternFill patternType="solid">
        <fgColor rgb="FFF9E5D7"/>
        <bgColor indexed="64"/>
      </patternFill>
    </fill>
    <fill>
      <patternFill patternType="solid">
        <fgColor rgb="FFDFEBF6"/>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alignment vertical="center"/>
    </xf>
  </cellStyleXfs>
  <cellXfs count="165">
    <xf numFmtId="0" fontId="0" fillId="0" borderId="0" xfId="0">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lignment vertical="center"/>
    </xf>
    <xf numFmtId="0" fontId="2" fillId="2" borderId="1" xfId="0" applyFont="1" applyFill="1" applyBorder="1">
      <alignment vertical="center"/>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1" fillId="2" borderId="1" xfId="0" applyFont="1" applyFill="1" applyBorder="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3" borderId="1" xfId="0" applyFont="1" applyFill="1" applyBorder="1">
      <alignment vertical="center"/>
    </xf>
    <xf numFmtId="0" fontId="1"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3" fillId="0" borderId="0" xfId="0" applyFont="1" applyAlignment="1">
      <alignment vertical="center" wrapText="1"/>
    </xf>
    <xf numFmtId="0" fontId="4" fillId="0" borderId="0" xfId="0" applyFont="1">
      <alignment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lignmen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176" fontId="3" fillId="0" borderId="1" xfId="0" applyNumberFormat="1" applyFont="1" applyBorder="1" applyAlignment="1">
      <alignment vertical="center" wrapText="1"/>
    </xf>
    <xf numFmtId="43" fontId="3" fillId="0" borderId="1" xfId="0" applyNumberFormat="1" applyFont="1" applyBorder="1" applyAlignment="1">
      <alignment vertical="center" wrapText="1"/>
    </xf>
    <xf numFmtId="0" fontId="3" fillId="0" borderId="1" xfId="0" applyFont="1" applyBorder="1" applyAlignment="1">
      <alignment horizontal="left" vertical="center" wrapText="1"/>
    </xf>
    <xf numFmtId="0" fontId="4" fillId="0" borderId="1" xfId="0" applyFont="1" applyBorder="1">
      <alignment vertical="center"/>
    </xf>
    <xf numFmtId="0" fontId="4" fillId="0" borderId="1" xfId="0" applyFont="1" applyBorder="1" applyAlignment="1">
      <alignment horizontal="center" vertical="center"/>
    </xf>
    <xf numFmtId="0" fontId="12" fillId="0" borderId="0" xfId="0" applyFont="1">
      <alignment vertical="center"/>
    </xf>
    <xf numFmtId="0" fontId="13" fillId="0" borderId="0" xfId="0" applyFont="1" applyAlignment="1">
      <alignment horizontal="center"/>
    </xf>
    <xf numFmtId="0" fontId="14" fillId="0" borderId="0" xfId="0" applyFont="1" applyAlignment="1"/>
    <xf numFmtId="0" fontId="14" fillId="0" borderId="0" xfId="0" applyFont="1">
      <alignment vertical="center"/>
    </xf>
    <xf numFmtId="0" fontId="12" fillId="0" borderId="0" xfId="0" applyFont="1" applyAlignment="1">
      <alignment horizontal="left"/>
    </xf>
    <xf numFmtId="0" fontId="15" fillId="0" borderId="0" xfId="0" applyFont="1">
      <alignment vertical="center"/>
    </xf>
    <xf numFmtId="0" fontId="17" fillId="0" borderId="1" xfId="0" applyFont="1" applyBorder="1" applyAlignment="1">
      <alignment horizontal="center" vertical="center"/>
    </xf>
    <xf numFmtId="0" fontId="14" fillId="0" borderId="0" xfId="0" applyFont="1" applyAlignment="1">
      <alignment vertical="center" wrapText="1"/>
    </xf>
    <xf numFmtId="0" fontId="18" fillId="0" borderId="1" xfId="0" applyFont="1" applyBorder="1" applyAlignment="1">
      <alignment horizontal="center" vertical="center" wrapText="1"/>
    </xf>
    <xf numFmtId="49" fontId="18" fillId="0" borderId="1" xfId="0" applyNumberFormat="1" applyFont="1" applyBorder="1" applyAlignment="1">
      <alignment horizontal="center" vertical="center" wrapText="1"/>
    </xf>
    <xf numFmtId="0" fontId="18" fillId="0" borderId="2" xfId="0" applyFont="1" applyBorder="1" applyAlignment="1">
      <alignment horizontal="center" vertical="center" wrapText="1"/>
    </xf>
    <xf numFmtId="0" fontId="18" fillId="0" borderId="1" xfId="0" applyFont="1" applyBorder="1" applyAlignment="1">
      <alignment horizontal="center" vertical="center"/>
    </xf>
    <xf numFmtId="0" fontId="18" fillId="0" borderId="2" xfId="0" applyFont="1" applyBorder="1" applyAlignment="1">
      <alignment horizontal="center" vertical="center"/>
    </xf>
    <xf numFmtId="0" fontId="15" fillId="0" borderId="1" xfId="0" applyFont="1" applyBorder="1" applyAlignment="1">
      <alignment horizontal="center" vertical="center"/>
    </xf>
    <xf numFmtId="9" fontId="15" fillId="0" borderId="1" xfId="0" applyNumberFormat="1" applyFont="1" applyBorder="1" applyAlignment="1">
      <alignment horizontal="center" vertical="center"/>
    </xf>
    <xf numFmtId="177" fontId="15" fillId="0" borderId="1" xfId="0" applyNumberFormat="1" applyFont="1" applyBorder="1" applyAlignment="1">
      <alignment horizontal="center" vertical="center"/>
    </xf>
    <xf numFmtId="0" fontId="15" fillId="0" borderId="1" xfId="0" applyFont="1" applyBorder="1" applyAlignment="1"/>
    <xf numFmtId="178" fontId="15" fillId="0" borderId="1" xfId="0" applyNumberFormat="1" applyFont="1" applyBorder="1" applyAlignment="1">
      <alignment horizontal="center" vertical="center"/>
    </xf>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177" fontId="22" fillId="0" borderId="1" xfId="0" applyNumberFormat="1" applyFont="1" applyBorder="1" applyAlignment="1">
      <alignment horizontal="center" vertical="center"/>
    </xf>
    <xf numFmtId="0" fontId="22" fillId="0" borderId="1" xfId="0" applyFont="1" applyBorder="1" applyAlignment="1"/>
    <xf numFmtId="0" fontId="15" fillId="0" borderId="0" xfId="0" applyFont="1" applyAlignment="1">
      <alignment horizontal="center"/>
    </xf>
    <xf numFmtId="43" fontId="15" fillId="0" borderId="1" xfId="0" applyNumberFormat="1" applyFont="1" applyBorder="1" applyAlignment="1">
      <alignment horizontal="center" vertical="center"/>
    </xf>
    <xf numFmtId="43" fontId="22" fillId="4" borderId="1" xfId="0" applyNumberFormat="1" applyFont="1" applyFill="1" applyBorder="1" applyAlignment="1">
      <alignment horizontal="center" vertical="center"/>
    </xf>
    <xf numFmtId="0" fontId="15" fillId="5" borderId="0" xfId="0" applyFont="1" applyFill="1" applyAlignment="1">
      <alignment horizontal="center" vertical="center"/>
    </xf>
    <xf numFmtId="43" fontId="15" fillId="5" borderId="0" xfId="0" applyNumberFormat="1" applyFont="1" applyFill="1" applyAlignment="1">
      <alignment horizontal="right" vertical="center"/>
    </xf>
    <xf numFmtId="43" fontId="22" fillId="0" borderId="0" xfId="0" applyNumberFormat="1" applyFont="1">
      <alignment vertical="center"/>
    </xf>
    <xf numFmtId="43" fontId="15" fillId="0" borderId="0" xfId="0" applyNumberFormat="1" applyFont="1">
      <alignment vertical="center"/>
    </xf>
    <xf numFmtId="0" fontId="3" fillId="5"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5" borderId="1" xfId="0" applyFont="1" applyFill="1" applyBorder="1" applyAlignment="1">
      <alignment vertical="center" wrapText="1"/>
    </xf>
    <xf numFmtId="0" fontId="3" fillId="0" borderId="0" xfId="0" applyFont="1" applyAlignment="1">
      <alignment horizontal="left"/>
    </xf>
    <xf numFmtId="0" fontId="6" fillId="0" borderId="0" xfId="0" applyFont="1" applyAlignment="1">
      <alignment horizontal="center" vertical="center"/>
    </xf>
    <xf numFmtId="0" fontId="7" fillId="0" borderId="0" xfId="0" applyFont="1" applyAlignment="1">
      <alignment horizontal="center" vertical="center"/>
    </xf>
    <xf numFmtId="0" fontId="5" fillId="0" borderId="0" xfId="0" applyFont="1">
      <alignment vertical="center"/>
    </xf>
    <xf numFmtId="0" fontId="7" fillId="0" borderId="1" xfId="0" applyFont="1" applyBorder="1" applyAlignment="1">
      <alignment horizontal="center" vertical="center"/>
    </xf>
    <xf numFmtId="0" fontId="7" fillId="0" borderId="5" xfId="0" applyFont="1" applyBorder="1" applyAlignment="1">
      <alignment horizontal="left" vertical="center"/>
    </xf>
    <xf numFmtId="0" fontId="7" fillId="0" borderId="1" xfId="0" applyFont="1" applyBorder="1" applyAlignment="1">
      <alignment horizontal="center" vertical="center" wrapText="1"/>
    </xf>
    <xf numFmtId="43" fontId="7"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0" xfId="0" applyFont="1" applyAlignment="1">
      <alignment horizontal="left" vertical="center"/>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176" fontId="3" fillId="0" borderId="1" xfId="0" applyNumberFormat="1" applyFont="1" applyBorder="1">
      <alignment vertical="center"/>
    </xf>
    <xf numFmtId="43" fontId="9" fillId="0" borderId="1" xfId="0" applyNumberFormat="1" applyFont="1" applyBorder="1" applyAlignment="1">
      <alignment vertical="center" wrapText="1"/>
    </xf>
    <xf numFmtId="0" fontId="3" fillId="0" borderId="4" xfId="0" applyFont="1" applyBorder="1" applyAlignment="1">
      <alignment horizontal="left" vertical="center" wrapText="1"/>
    </xf>
    <xf numFmtId="0" fontId="3" fillId="0" borderId="6" xfId="0" applyFont="1" applyBorder="1" applyAlignment="1">
      <alignment horizontal="left" vertical="center"/>
    </xf>
    <xf numFmtId="0" fontId="7" fillId="0" borderId="6" xfId="0" applyFont="1" applyBorder="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5" xfId="0" applyFont="1" applyBorder="1">
      <alignment vertical="center"/>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xf>
    <xf numFmtId="0" fontId="3" fillId="0" borderId="4" xfId="0" applyFont="1" applyBorder="1" applyAlignment="1">
      <alignment vertical="center" wrapText="1"/>
    </xf>
    <xf numFmtId="0" fontId="3" fillId="0" borderId="4" xfId="0" applyFont="1" applyBorder="1" applyAlignment="1">
      <alignment horizontal="center" vertical="center"/>
    </xf>
    <xf numFmtId="0" fontId="3" fillId="0" borderId="4" xfId="0" applyFont="1" applyBorder="1">
      <alignment vertical="center"/>
    </xf>
    <xf numFmtId="0" fontId="10" fillId="0" borderId="1" xfId="0" applyFont="1" applyBorder="1" applyAlignment="1">
      <alignment horizontal="left" vertical="center" wrapText="1"/>
    </xf>
    <xf numFmtId="0" fontId="7" fillId="0" borderId="2" xfId="0" applyFont="1" applyBorder="1">
      <alignment vertical="center"/>
    </xf>
    <xf numFmtId="0" fontId="3" fillId="0" borderId="2" xfId="0" applyFont="1" applyBorder="1">
      <alignment vertical="center"/>
    </xf>
    <xf numFmtId="176" fontId="3" fillId="0" borderId="2" xfId="0" applyNumberFormat="1" applyFont="1" applyBorder="1">
      <alignment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7" fillId="0" borderId="1" xfId="0" applyFont="1" applyBorder="1" applyAlignment="1">
      <alignment horizontal="left" vertical="center"/>
    </xf>
    <xf numFmtId="176" fontId="9" fillId="0" borderId="1" xfId="0" applyNumberFormat="1" applyFont="1" applyBorder="1" applyAlignment="1">
      <alignment vertical="center" wrapText="1"/>
    </xf>
    <xf numFmtId="0" fontId="3" fillId="0" borderId="7" xfId="0" applyFont="1" applyBorder="1">
      <alignment vertical="center"/>
    </xf>
    <xf numFmtId="0" fontId="3" fillId="0" borderId="0" xfId="0" applyFont="1">
      <alignment vertical="center"/>
    </xf>
    <xf numFmtId="0" fontId="4" fillId="0" borderId="0" xfId="0" applyFont="1" applyAlignment="1">
      <alignment horizontal="center" vertical="center"/>
    </xf>
    <xf numFmtId="43" fontId="11" fillId="0" borderId="0" xfId="0" applyNumberFormat="1" applyFont="1">
      <alignment vertical="center"/>
    </xf>
    <xf numFmtId="0" fontId="15" fillId="5" borderId="1" xfId="0" applyFont="1" applyFill="1" applyBorder="1" applyAlignment="1">
      <alignment horizontal="center" vertical="center" wrapText="1"/>
    </xf>
    <xf numFmtId="0" fontId="15" fillId="5" borderId="1" xfId="0" applyFont="1" applyFill="1" applyBorder="1" applyAlignment="1">
      <alignment vertical="center" wrapText="1"/>
    </xf>
    <xf numFmtId="0" fontId="15" fillId="0" borderId="1" xfId="0" applyFont="1" applyBorder="1" applyAlignment="1">
      <alignment vertical="center" wrapText="1"/>
    </xf>
    <xf numFmtId="0" fontId="15" fillId="6" borderId="1" xfId="0" applyFont="1" applyFill="1" applyBorder="1" applyAlignment="1">
      <alignment vertical="center" wrapText="1"/>
    </xf>
    <xf numFmtId="0" fontId="18" fillId="0" borderId="11" xfId="0" applyFont="1" applyBorder="1" applyAlignment="1">
      <alignment horizontal="center" vertical="center"/>
    </xf>
    <xf numFmtId="0" fontId="14" fillId="0" borderId="7" xfId="0" applyFont="1" applyBorder="1" applyAlignment="1">
      <alignment horizontal="left" vertical="top" wrapText="1"/>
    </xf>
    <xf numFmtId="0" fontId="14" fillId="0" borderId="6" xfId="0" applyFont="1" applyBorder="1" applyAlignment="1">
      <alignment horizontal="left" vertical="top" wrapText="1"/>
    </xf>
    <xf numFmtId="0" fontId="14" fillId="0" borderId="5" xfId="0" applyFont="1" applyBorder="1" applyAlignment="1">
      <alignment horizontal="left" vertical="top" wrapText="1"/>
    </xf>
    <xf numFmtId="0" fontId="16" fillId="0" borderId="0" xfId="0" applyFont="1" applyAlignment="1">
      <alignment horizontal="center" vertical="center"/>
    </xf>
    <xf numFmtId="0" fontId="18" fillId="0" borderId="1" xfId="0" applyFont="1" applyBorder="1" applyAlignment="1">
      <alignment horizontal="left" vertical="center" wrapText="1"/>
    </xf>
    <xf numFmtId="49" fontId="17" fillId="0" borderId="7" xfId="0" applyNumberFormat="1" applyFont="1" applyBorder="1" applyAlignment="1">
      <alignment horizontal="center" vertical="center" wrapText="1"/>
    </xf>
    <xf numFmtId="49" fontId="17" fillId="0" borderId="6" xfId="0" applyNumberFormat="1" applyFont="1" applyBorder="1" applyAlignment="1">
      <alignment horizontal="center" vertical="center" wrapText="1"/>
    </xf>
    <xf numFmtId="49" fontId="17" fillId="0" borderId="5" xfId="0" applyNumberFormat="1" applyFont="1" applyBorder="1" applyAlignment="1">
      <alignment horizontal="center" vertical="center" wrapText="1"/>
    </xf>
    <xf numFmtId="0" fontId="19" fillId="0" borderId="10" xfId="0" applyFont="1" applyBorder="1" applyAlignment="1">
      <alignment horizontal="left" vertical="center" wrapText="1"/>
    </xf>
    <xf numFmtId="0" fontId="19" fillId="0" borderId="11" xfId="0" applyFont="1" applyBorder="1" applyAlignment="1">
      <alignment horizontal="left" vertical="center" wrapText="1"/>
    </xf>
    <xf numFmtId="0" fontId="19" fillId="0" borderId="12" xfId="0" applyFont="1" applyBorder="1" applyAlignment="1">
      <alignment horizontal="left" vertical="center" wrapText="1"/>
    </xf>
    <xf numFmtId="49" fontId="19" fillId="0" borderId="10" xfId="0" applyNumberFormat="1" applyFont="1" applyBorder="1" applyAlignment="1">
      <alignment vertical="center" wrapText="1"/>
    </xf>
    <xf numFmtId="49" fontId="19" fillId="0" borderId="11" xfId="0" applyNumberFormat="1" applyFont="1" applyBorder="1" applyAlignment="1">
      <alignment vertical="center" wrapText="1"/>
    </xf>
    <xf numFmtId="49" fontId="19" fillId="0" borderId="12" xfId="0" applyNumberFormat="1" applyFont="1" applyBorder="1" applyAlignment="1">
      <alignment vertical="center" wrapText="1"/>
    </xf>
    <xf numFmtId="0" fontId="19" fillId="0" borderId="7" xfId="0" applyFont="1" applyBorder="1" applyAlignment="1">
      <alignment horizontal="left" vertical="center" wrapText="1"/>
    </xf>
    <xf numFmtId="0" fontId="19" fillId="0" borderId="6" xfId="0" applyFont="1" applyBorder="1" applyAlignment="1">
      <alignment horizontal="left" vertical="center" wrapText="1"/>
    </xf>
    <xf numFmtId="0" fontId="19" fillId="0" borderId="5" xfId="0" applyFont="1" applyBorder="1" applyAlignment="1">
      <alignment horizontal="left" vertical="center" wrapText="1"/>
    </xf>
    <xf numFmtId="0" fontId="17" fillId="0" borderId="7"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5"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49" fontId="19" fillId="0" borderId="7" xfId="0" applyNumberFormat="1" applyFont="1" applyBorder="1" applyAlignment="1">
      <alignment horizontal="left" vertical="center" wrapText="1"/>
    </xf>
    <xf numFmtId="49" fontId="19" fillId="0" borderId="6" xfId="0" applyNumberFormat="1" applyFont="1" applyBorder="1" applyAlignment="1">
      <alignment horizontal="left" vertical="center" wrapText="1"/>
    </xf>
    <xf numFmtId="49" fontId="19" fillId="0" borderId="5" xfId="0" applyNumberFormat="1" applyFont="1" applyBorder="1" applyAlignment="1">
      <alignment horizontal="left" vertical="center" wrapText="1"/>
    </xf>
    <xf numFmtId="0" fontId="19" fillId="0" borderId="1" xfId="0" applyFont="1" applyBorder="1" applyAlignment="1">
      <alignment vertical="center" wrapText="1"/>
    </xf>
    <xf numFmtId="0" fontId="12" fillId="0" borderId="1" xfId="0" applyFont="1" applyBorder="1" applyAlignment="1">
      <alignment vertical="center" wrapText="1"/>
    </xf>
    <xf numFmtId="0" fontId="18" fillId="0" borderId="1" xfId="0" applyFont="1" applyBorder="1" applyAlignment="1">
      <alignment horizontal="center" vertical="center"/>
    </xf>
    <xf numFmtId="0" fontId="4" fillId="0" borderId="1" xfId="0" applyFont="1" applyBorder="1">
      <alignment vertical="center"/>
    </xf>
    <xf numFmtId="0" fontId="19" fillId="0" borderId="2" xfId="0" applyFont="1" applyBorder="1" applyAlignment="1">
      <alignment vertical="center" wrapText="1"/>
    </xf>
    <xf numFmtId="0" fontId="12" fillId="0" borderId="2" xfId="0" applyFont="1" applyBorder="1" applyAlignment="1">
      <alignment vertical="center" wrapText="1"/>
    </xf>
    <xf numFmtId="0" fontId="20" fillId="0" borderId="1" xfId="0" applyFont="1" applyBorder="1" applyAlignment="1">
      <alignment vertical="center" wrapText="1"/>
    </xf>
    <xf numFmtId="0" fontId="21" fillId="0" borderId="1" xfId="0" applyFont="1" applyBorder="1" applyAlignment="1">
      <alignment vertical="center" wrapText="1"/>
    </xf>
    <xf numFmtId="0" fontId="3" fillId="0" borderId="0" xfId="0" applyFont="1" applyAlignment="1">
      <alignment horizontal="left"/>
    </xf>
    <xf numFmtId="0" fontId="3" fillId="0" borderId="0" xfId="0" applyFont="1" applyAlignment="1">
      <alignment horizontal="left"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xf numFmtId="0" fontId="6" fillId="0" borderId="0" xfId="0" applyFont="1" applyFill="1" applyAlignment="1">
      <alignment horizontal="center" vertical="center"/>
    </xf>
    <xf numFmtId="0" fontId="6" fillId="0" borderId="1" xfId="0" applyFont="1" applyFill="1" applyBorder="1" applyAlignment="1">
      <alignment horizontal="center" vertical="center"/>
    </xf>
    <xf numFmtId="0" fontId="3" fillId="0" borderId="1" xfId="0" applyFont="1" applyFill="1" applyBorder="1">
      <alignment vertical="center"/>
    </xf>
    <xf numFmtId="176" fontId="3" fillId="0" borderId="1" xfId="0" applyNumberFormat="1" applyFont="1" applyFill="1" applyBorder="1" applyAlignment="1">
      <alignment vertical="center" wrapText="1"/>
    </xf>
    <xf numFmtId="177" fontId="15" fillId="0" borderId="1" xfId="0" applyNumberFormat="1" applyFont="1" applyFill="1" applyBorder="1" applyAlignment="1">
      <alignment horizontal="right" vertical="center" wrapText="1"/>
    </xf>
    <xf numFmtId="176" fontId="3" fillId="0" borderId="1" xfId="0" applyNumberFormat="1" applyFont="1" applyFill="1" applyBorder="1">
      <alignment vertical="center"/>
    </xf>
    <xf numFmtId="176" fontId="3" fillId="0" borderId="2" xfId="0" applyNumberFormat="1" applyFont="1" applyFill="1" applyBorder="1">
      <alignment vertical="center"/>
    </xf>
    <xf numFmtId="43" fontId="11" fillId="0" borderId="0" xfId="0" applyNumberFormat="1" applyFont="1" applyFill="1">
      <alignment vertical="center"/>
    </xf>
    <xf numFmtId="0" fontId="3" fillId="0" borderId="0" xfId="0" applyFont="1" applyFill="1">
      <alignment vertical="center"/>
    </xf>
    <xf numFmtId="0" fontId="3" fillId="0"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neDrive%20-%20Lenovo/&#34892;&#19994;&#20132;&#20184;&#20108;&#22788;/02&#21830;&#26426;/&#38451;&#20809;&#30005;&#28304;&#26234;&#24935;&#22253;&#21306;/&#25104;&#26412;/&#20379;&#24212;&#21830;&#25253;&#20215;/&#25253;&#20215;&#28165;&#21333;-&#38451;&#20809;&#30005;&#28304;&#26234;&#24935;&#22253;&#21306;&#65288;&#19968;&#26399;&#65289;&#39033;&#30446;-&#26368;&#32456;&#25253;&#20215;-SBY-20260907%2017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总价汇总表"/>
      <sheetName val="硬件-报价汇总表"/>
      <sheetName val="硬件-报价说明"/>
      <sheetName val="硬件-报价明细"/>
      <sheetName val="软件-报价汇总表"/>
      <sheetName val="软件-产品费用报价明细"/>
      <sheetName val="软件-实施费用报价明细"/>
      <sheetName val="附录五硬件场景需求表"/>
    </sheetNames>
    <sheetDataSet>
      <sheetData sheetId="0"/>
      <sheetData sheetId="1"/>
      <sheetData sheetId="2"/>
      <sheetData sheetId="3">
        <row r="115">
          <cell r="N115">
            <v>1187731</v>
          </cell>
          <cell r="P115">
            <v>6669628</v>
          </cell>
        </row>
      </sheetData>
      <sheetData sheetId="4"/>
      <sheetData sheetId="5"/>
      <sheetData sheetId="6"/>
      <sheetData sheetId="7"/>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F16"/>
  <sheetViews>
    <sheetView topLeftCell="A2" workbookViewId="0">
      <selection activeCell="E15" sqref="E15"/>
    </sheetView>
  </sheetViews>
  <sheetFormatPr defaultColWidth="9" defaultRowHeight="13.5" customHeight="1" x14ac:dyDescent="0.3"/>
  <cols>
    <col min="2" max="2" width="29" style="37" customWidth="1"/>
    <col min="3" max="3" width="15.1796875" style="37" customWidth="1"/>
    <col min="4" max="5" width="20" style="37" customWidth="1"/>
    <col min="6" max="6" width="22" style="37" customWidth="1"/>
  </cols>
  <sheetData>
    <row r="1" spans="1:6" ht="37.950000000000003" customHeight="1" x14ac:dyDescent="0.3">
      <c r="A1" s="36" t="s">
        <v>0</v>
      </c>
    </row>
    <row r="2" spans="1:6" ht="33" customHeight="1" x14ac:dyDescent="0.3">
      <c r="A2" s="107" t="s">
        <v>1</v>
      </c>
      <c r="B2" s="107"/>
      <c r="C2" s="107"/>
      <c r="D2" s="107"/>
      <c r="E2" s="107"/>
      <c r="F2" s="107"/>
    </row>
    <row r="3" spans="1:6" ht="21" customHeight="1" x14ac:dyDescent="0.3">
      <c r="A3" s="45" t="s">
        <v>2</v>
      </c>
      <c r="B3" s="45" t="s">
        <v>3</v>
      </c>
      <c r="C3" s="45" t="s">
        <v>4</v>
      </c>
      <c r="D3" s="45" t="s">
        <v>5</v>
      </c>
      <c r="E3" s="45" t="s">
        <v>6</v>
      </c>
      <c r="F3" s="45" t="s">
        <v>7</v>
      </c>
    </row>
    <row r="4" spans="1:6" ht="21" customHeight="1" x14ac:dyDescent="0.25">
      <c r="A4" s="45">
        <v>1</v>
      </c>
      <c r="B4" s="45" t="s">
        <v>8</v>
      </c>
      <c r="C4" s="46">
        <v>0.13</v>
      </c>
      <c r="D4" s="55">
        <f>'硬件-报价汇总表'!D7</f>
        <v>8730927.6600000001</v>
      </c>
      <c r="E4" s="55">
        <f>D4*(1+C4)</f>
        <v>9865948.2557999995</v>
      </c>
      <c r="F4" s="48"/>
    </row>
    <row r="5" spans="1:6" ht="21" customHeight="1" x14ac:dyDescent="0.25">
      <c r="A5" s="45">
        <v>2</v>
      </c>
      <c r="B5" s="49" t="s">
        <v>9</v>
      </c>
      <c r="C5" s="46">
        <v>0.13</v>
      </c>
      <c r="D5" s="55">
        <v>2550183</v>
      </c>
      <c r="E5" s="55">
        <f>D5*(1+C5)</f>
        <v>2881706.79</v>
      </c>
      <c r="F5" s="48"/>
    </row>
    <row r="6" spans="1:6" ht="21" customHeight="1" x14ac:dyDescent="0.25">
      <c r="A6" s="50">
        <v>3</v>
      </c>
      <c r="B6" s="51" t="s">
        <v>10</v>
      </c>
      <c r="C6" s="51"/>
      <c r="D6" s="56">
        <f>SUM(D4:D5)</f>
        <v>11281110.66</v>
      </c>
      <c r="E6" s="56">
        <f>SUM(E4:E5)</f>
        <v>12747655.0458</v>
      </c>
      <c r="F6" s="53"/>
    </row>
    <row r="7" spans="1:6" ht="22.05" customHeight="1" x14ac:dyDescent="0.3">
      <c r="D7" s="37" t="s">
        <v>11</v>
      </c>
    </row>
    <row r="9" spans="1:6" ht="13.5" customHeight="1" x14ac:dyDescent="0.25">
      <c r="B9" s="54"/>
      <c r="C9" s="57" t="s">
        <v>12</v>
      </c>
      <c r="D9" s="57" t="s">
        <v>13</v>
      </c>
    </row>
    <row r="10" spans="1:6" ht="13.5" customHeight="1" x14ac:dyDescent="0.3">
      <c r="C10" s="58">
        <f>'硬件-报价明细'!N115</f>
        <v>1686597.9700000004</v>
      </c>
      <c r="D10" s="58">
        <f>'硬件-报价明细'!P115</f>
        <v>7044329.6899999976</v>
      </c>
      <c r="E10" s="59">
        <f>SUM(C10:D10)</f>
        <v>8730927.6599999983</v>
      </c>
    </row>
    <row r="12" spans="1:6" ht="13.5" customHeight="1" x14ac:dyDescent="0.3">
      <c r="C12" s="60">
        <f>C10*1.13</f>
        <v>1905855.7061000003</v>
      </c>
      <c r="D12" s="60">
        <f>D10*1.13</f>
        <v>7960092.5496999966</v>
      </c>
      <c r="E12" s="59">
        <f>SUM(C12:D12)</f>
        <v>9865948.2557999976</v>
      </c>
    </row>
    <row r="14" spans="1:6" ht="13.5" customHeight="1" x14ac:dyDescent="0.3">
      <c r="C14" s="37">
        <v>111</v>
      </c>
      <c r="D14" s="37">
        <v>667</v>
      </c>
    </row>
    <row r="16" spans="1:6" ht="13.5" customHeight="1" x14ac:dyDescent="0.3">
      <c r="D16" s="37">
        <f>1180-C14-D14</f>
        <v>402</v>
      </c>
    </row>
  </sheetData>
  <mergeCells count="1">
    <mergeCell ref="A2:F2"/>
  </mergeCells>
  <phoneticPr fontId="2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outlinePr summaryBelow="0" summaryRight="0"/>
  </sheetPr>
  <dimension ref="A1:E10"/>
  <sheetViews>
    <sheetView workbookViewId="0">
      <selection activeCell="B6" sqref="B6"/>
    </sheetView>
  </sheetViews>
  <sheetFormatPr defaultColWidth="9" defaultRowHeight="13.5" customHeight="1" x14ac:dyDescent="0.3"/>
  <cols>
    <col min="2" max="2" width="50.1796875" style="37" customWidth="1"/>
    <col min="3" max="3" width="15.1796875" style="37" customWidth="1"/>
    <col min="4" max="4" width="20" style="37" customWidth="1"/>
    <col min="5" max="5" width="22" style="37" customWidth="1"/>
  </cols>
  <sheetData>
    <row r="1" spans="1:5" ht="37.950000000000003" customHeight="1" x14ac:dyDescent="0.3">
      <c r="A1" s="36" t="s">
        <v>0</v>
      </c>
    </row>
    <row r="2" spans="1:5" ht="33" customHeight="1" x14ac:dyDescent="0.3">
      <c r="A2" s="107" t="s">
        <v>14</v>
      </c>
      <c r="B2" s="107"/>
      <c r="C2" s="107"/>
      <c r="D2" s="107"/>
      <c r="E2" s="107"/>
    </row>
    <row r="3" spans="1:5" ht="21" customHeight="1" x14ac:dyDescent="0.3">
      <c r="A3" s="45" t="s">
        <v>2</v>
      </c>
      <c r="B3" s="45" t="s">
        <v>3</v>
      </c>
      <c r="C3" s="45" t="s">
        <v>4</v>
      </c>
      <c r="D3" s="45" t="s">
        <v>5</v>
      </c>
      <c r="E3" s="45" t="s">
        <v>7</v>
      </c>
    </row>
    <row r="4" spans="1:5" ht="21" customHeight="1" x14ac:dyDescent="0.25">
      <c r="A4" s="45">
        <v>1</v>
      </c>
      <c r="B4" s="45" t="s">
        <v>15</v>
      </c>
      <c r="C4" s="46">
        <v>0.13</v>
      </c>
      <c r="D4" s="47">
        <f>SUM('硬件-报价明细'!Q7:Q33)</f>
        <v>3432953.34</v>
      </c>
      <c r="E4" s="48"/>
    </row>
    <row r="5" spans="1:5" ht="21" customHeight="1" x14ac:dyDescent="0.25">
      <c r="A5" s="45">
        <v>2</v>
      </c>
      <c r="B5" s="49" t="s">
        <v>16</v>
      </c>
      <c r="C5" s="46">
        <v>0.13</v>
      </c>
      <c r="D5" s="47">
        <f>SUM('硬件-报价明细'!Q36:Q110)</f>
        <v>5240102.3200000012</v>
      </c>
      <c r="E5" s="48"/>
    </row>
    <row r="6" spans="1:5" ht="21" customHeight="1" x14ac:dyDescent="0.25">
      <c r="A6" s="45">
        <v>3</v>
      </c>
      <c r="B6" s="45" t="s">
        <v>17</v>
      </c>
      <c r="C6" s="46">
        <v>0.13</v>
      </c>
      <c r="D6" s="47">
        <f>'硬件-报价明细'!Q112</f>
        <v>57872</v>
      </c>
      <c r="E6" s="48"/>
    </row>
    <row r="7" spans="1:5" ht="21" customHeight="1" x14ac:dyDescent="0.25">
      <c r="A7" s="50">
        <v>4</v>
      </c>
      <c r="B7" s="51" t="s">
        <v>18</v>
      </c>
      <c r="C7" s="51"/>
      <c r="D7" s="52">
        <f>SUM(D4:D6)</f>
        <v>8730927.6600000001</v>
      </c>
      <c r="E7" s="53"/>
    </row>
    <row r="8" spans="1:5" ht="76.95" customHeight="1" x14ac:dyDescent="0.3">
      <c r="A8" s="108" t="s">
        <v>19</v>
      </c>
      <c r="B8" s="109"/>
      <c r="C8" s="109"/>
      <c r="D8" s="109"/>
      <c r="E8" s="110"/>
    </row>
    <row r="10" spans="1:5" ht="13.5" customHeight="1" x14ac:dyDescent="0.25">
      <c r="B10" s="54"/>
    </row>
  </sheetData>
  <mergeCells count="2">
    <mergeCell ref="A2:E2"/>
    <mergeCell ref="A8:E8"/>
  </mergeCells>
  <phoneticPr fontId="2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outlinePr summaryBelow="0" summaryRight="0"/>
  </sheetPr>
  <dimension ref="A1:I26"/>
  <sheetViews>
    <sheetView topLeftCell="A8" zoomScale="55" zoomScaleNormal="55" workbookViewId="0">
      <selection activeCell="G8" sqref="G8"/>
    </sheetView>
  </sheetViews>
  <sheetFormatPr defaultColWidth="10" defaultRowHeight="16.5" customHeight="1" x14ac:dyDescent="0.25"/>
  <cols>
    <col min="1" max="1" width="22.453125" style="33" customWidth="1"/>
    <col min="2" max="2" width="19.81640625" style="34" customWidth="1"/>
    <col min="5" max="5" width="23.7265625" style="34" customWidth="1"/>
    <col min="6" max="6" width="44.7265625" style="34" customWidth="1"/>
    <col min="7" max="8" width="23.1796875" style="35" customWidth="1"/>
    <col min="9" max="9" width="61.26953125" style="35" customWidth="1"/>
  </cols>
  <sheetData>
    <row r="1" spans="1:9" s="32" customFormat="1" ht="37.950000000000003" customHeight="1" x14ac:dyDescent="0.3">
      <c r="A1" s="36" t="s">
        <v>0</v>
      </c>
      <c r="B1" s="37"/>
      <c r="C1" s="37"/>
      <c r="D1" s="37"/>
      <c r="E1" s="37"/>
    </row>
    <row r="2" spans="1:9" ht="43.05" customHeight="1" x14ac:dyDescent="0.3">
      <c r="A2" s="111" t="s">
        <v>20</v>
      </c>
      <c r="B2" s="111"/>
      <c r="C2" s="111"/>
      <c r="D2" s="111"/>
      <c r="E2" s="111"/>
      <c r="F2" s="111"/>
    </row>
    <row r="3" spans="1:9" ht="43.05" customHeight="1" x14ac:dyDescent="0.3">
      <c r="A3" s="38" t="s">
        <v>21</v>
      </c>
      <c r="B3" s="112" t="s">
        <v>22</v>
      </c>
      <c r="C3" s="112"/>
      <c r="D3" s="112"/>
      <c r="E3" s="112"/>
      <c r="F3" s="112"/>
    </row>
    <row r="4" spans="1:9" ht="46.2" customHeight="1" x14ac:dyDescent="0.3">
      <c r="A4" s="113" t="s">
        <v>23</v>
      </c>
      <c r="B4" s="114"/>
      <c r="C4" s="114"/>
      <c r="D4" s="114"/>
      <c r="E4" s="114"/>
      <c r="F4" s="115"/>
    </row>
    <row r="5" spans="1:9" ht="42" customHeight="1" x14ac:dyDescent="0.3">
      <c r="A5" s="128" t="s">
        <v>24</v>
      </c>
      <c r="B5" s="116" t="s">
        <v>25</v>
      </c>
      <c r="C5" s="117"/>
      <c r="D5" s="117"/>
      <c r="E5" s="117"/>
      <c r="F5" s="118"/>
    </row>
    <row r="6" spans="1:9" s="32" customFormat="1" ht="46.2" customHeight="1" x14ac:dyDescent="0.3">
      <c r="A6" s="128"/>
      <c r="B6" s="116" t="s">
        <v>26</v>
      </c>
      <c r="C6" s="117"/>
      <c r="D6" s="117"/>
      <c r="E6" s="117"/>
      <c r="F6" s="118"/>
      <c r="G6" s="35"/>
      <c r="H6" s="35"/>
      <c r="I6" s="35"/>
    </row>
    <row r="7" spans="1:9" s="32" customFormat="1" ht="37.049999999999997" customHeight="1" x14ac:dyDescent="0.3">
      <c r="A7" s="128"/>
      <c r="B7" s="116" t="s">
        <v>27</v>
      </c>
      <c r="C7" s="117"/>
      <c r="D7" s="117"/>
      <c r="E7" s="117"/>
      <c r="F7" s="118"/>
      <c r="G7" s="35"/>
      <c r="H7" s="35"/>
      <c r="I7" s="35"/>
    </row>
    <row r="8" spans="1:9" ht="79.05" customHeight="1" x14ac:dyDescent="0.3">
      <c r="A8" s="129"/>
      <c r="B8" s="119" t="s">
        <v>28</v>
      </c>
      <c r="C8" s="120"/>
      <c r="D8" s="120"/>
      <c r="E8" s="120"/>
      <c r="F8" s="121"/>
      <c r="I8" s="39"/>
    </row>
    <row r="9" spans="1:9" ht="67.95" customHeight="1" x14ac:dyDescent="0.25">
      <c r="A9" s="40" t="s">
        <v>29</v>
      </c>
      <c r="B9" s="119" t="s">
        <v>30</v>
      </c>
      <c r="C9" s="120"/>
      <c r="D9" s="120"/>
      <c r="E9" s="120"/>
      <c r="F9" s="121"/>
      <c r="I9" s="34"/>
    </row>
    <row r="10" spans="1:9" ht="55.05" customHeight="1" x14ac:dyDescent="0.3">
      <c r="A10" s="41" t="s">
        <v>31</v>
      </c>
      <c r="B10" s="122" t="s">
        <v>32</v>
      </c>
      <c r="C10" s="123"/>
      <c r="D10" s="123"/>
      <c r="E10" s="123"/>
      <c r="F10" s="124"/>
      <c r="I10" s="39"/>
    </row>
    <row r="11" spans="1:9" s="32" customFormat="1" ht="46.2" customHeight="1" x14ac:dyDescent="0.3">
      <c r="A11" s="125" t="s">
        <v>33</v>
      </c>
      <c r="B11" s="126"/>
      <c r="C11" s="126"/>
      <c r="D11" s="126"/>
      <c r="E11" s="126"/>
      <c r="F11" s="127"/>
      <c r="G11" s="35"/>
      <c r="H11" s="35"/>
      <c r="I11" s="35"/>
    </row>
    <row r="12" spans="1:9" ht="46.95" customHeight="1" x14ac:dyDescent="0.3">
      <c r="A12" s="40" t="s">
        <v>34</v>
      </c>
      <c r="B12" s="122" t="s">
        <v>35</v>
      </c>
      <c r="C12" s="123"/>
      <c r="D12" s="123"/>
      <c r="E12" s="123"/>
      <c r="F12" s="124"/>
      <c r="I12" s="39"/>
    </row>
    <row r="13" spans="1:9" ht="46.95" customHeight="1" x14ac:dyDescent="0.3">
      <c r="A13" s="42" t="s">
        <v>36</v>
      </c>
      <c r="B13" s="130" t="s">
        <v>37</v>
      </c>
      <c r="C13" s="131"/>
      <c r="D13" s="131"/>
      <c r="E13" s="131"/>
      <c r="F13" s="132"/>
    </row>
    <row r="14" spans="1:9" ht="48" customHeight="1" x14ac:dyDescent="0.3">
      <c r="A14" s="42" t="s">
        <v>38</v>
      </c>
      <c r="B14" s="130" t="s">
        <v>39</v>
      </c>
      <c r="C14" s="131"/>
      <c r="D14" s="131"/>
      <c r="E14" s="131"/>
      <c r="F14" s="132"/>
    </row>
    <row r="15" spans="1:9" s="32" customFormat="1" ht="46.2" customHeight="1" x14ac:dyDescent="0.3">
      <c r="A15" s="125" t="s">
        <v>40</v>
      </c>
      <c r="B15" s="126"/>
      <c r="C15" s="126"/>
      <c r="D15" s="126"/>
      <c r="E15" s="126"/>
      <c r="F15" s="127"/>
      <c r="G15" s="35"/>
      <c r="H15" s="35"/>
      <c r="I15" s="35"/>
    </row>
    <row r="16" spans="1:9" ht="52.95" customHeight="1" x14ac:dyDescent="0.3">
      <c r="A16" s="43" t="s">
        <v>41</v>
      </c>
      <c r="B16" s="133" t="s">
        <v>42</v>
      </c>
      <c r="C16" s="134"/>
      <c r="D16" s="134"/>
      <c r="E16" s="134"/>
      <c r="F16" s="134"/>
    </row>
    <row r="17" spans="1:9" ht="40.200000000000003" customHeight="1" x14ac:dyDescent="0.3">
      <c r="A17" s="43" t="s">
        <v>43</v>
      </c>
      <c r="B17" s="133" t="s">
        <v>44</v>
      </c>
      <c r="C17" s="134"/>
      <c r="D17" s="134"/>
      <c r="E17" s="134"/>
      <c r="F17" s="134"/>
    </row>
    <row r="18" spans="1:9" s="32" customFormat="1" ht="40.200000000000003" customHeight="1" x14ac:dyDescent="0.3">
      <c r="A18" s="43" t="s">
        <v>45</v>
      </c>
      <c r="B18" s="133" t="s">
        <v>46</v>
      </c>
      <c r="C18" s="134"/>
      <c r="D18" s="134"/>
      <c r="E18" s="134"/>
      <c r="F18" s="134"/>
      <c r="G18" s="35"/>
      <c r="H18" s="35"/>
      <c r="I18" s="35"/>
    </row>
    <row r="19" spans="1:9" ht="34.200000000000003" customHeight="1" x14ac:dyDescent="0.3">
      <c r="A19" s="43" t="s">
        <v>47</v>
      </c>
      <c r="B19" s="133" t="s">
        <v>48</v>
      </c>
      <c r="C19" s="134"/>
      <c r="D19" s="134"/>
      <c r="E19" s="134"/>
      <c r="F19" s="134"/>
    </row>
    <row r="20" spans="1:9" s="32" customFormat="1" ht="46.2" customHeight="1" x14ac:dyDescent="0.3">
      <c r="A20" s="125" t="s">
        <v>49</v>
      </c>
      <c r="B20" s="126"/>
      <c r="C20" s="126"/>
      <c r="D20" s="126"/>
      <c r="E20" s="126"/>
      <c r="F20" s="127"/>
      <c r="G20" s="35"/>
      <c r="H20" s="35"/>
      <c r="I20" s="35"/>
    </row>
    <row r="21" spans="1:9" ht="46.95" customHeight="1" x14ac:dyDescent="0.3">
      <c r="A21" s="43" t="s">
        <v>50</v>
      </c>
      <c r="B21" s="133" t="s">
        <v>51</v>
      </c>
      <c r="C21" s="134"/>
      <c r="D21" s="134"/>
      <c r="E21" s="134"/>
      <c r="F21" s="134"/>
    </row>
    <row r="22" spans="1:9" s="32" customFormat="1" ht="46.95" customHeight="1" x14ac:dyDescent="0.3">
      <c r="A22" s="43" t="s">
        <v>52</v>
      </c>
      <c r="B22" s="133" t="s">
        <v>53</v>
      </c>
      <c r="C22" s="134"/>
      <c r="D22" s="134"/>
      <c r="E22" s="134"/>
      <c r="F22" s="134"/>
      <c r="G22" s="35"/>
      <c r="H22" s="35"/>
      <c r="I22" s="35"/>
    </row>
    <row r="23" spans="1:9" s="32" customFormat="1" ht="46.95" customHeight="1" x14ac:dyDescent="0.3">
      <c r="A23" s="44" t="s">
        <v>54</v>
      </c>
      <c r="B23" s="137" t="s">
        <v>55</v>
      </c>
      <c r="C23" s="138"/>
      <c r="D23" s="138"/>
      <c r="E23" s="138"/>
      <c r="F23" s="138"/>
      <c r="G23" s="35"/>
      <c r="H23" s="35"/>
      <c r="I23" s="35"/>
    </row>
    <row r="24" spans="1:9" ht="39" customHeight="1" x14ac:dyDescent="0.3">
      <c r="A24" s="135" t="s">
        <v>56</v>
      </c>
      <c r="B24" s="133" t="s">
        <v>57</v>
      </c>
      <c r="C24" s="134"/>
      <c r="D24" s="134"/>
      <c r="E24" s="134"/>
      <c r="F24" s="134"/>
    </row>
    <row r="25" spans="1:9" ht="39" customHeight="1" x14ac:dyDescent="0.3">
      <c r="A25" s="136"/>
      <c r="B25" s="139" t="s">
        <v>58</v>
      </c>
      <c r="C25" s="140"/>
      <c r="D25" s="140"/>
      <c r="E25" s="140"/>
      <c r="F25" s="140"/>
    </row>
    <row r="26" spans="1:9" ht="39" customHeight="1" x14ac:dyDescent="0.3">
      <c r="A26" s="136"/>
      <c r="B26" s="139" t="s">
        <v>59</v>
      </c>
      <c r="C26" s="140"/>
      <c r="D26" s="140"/>
      <c r="E26" s="140"/>
      <c r="F26" s="140"/>
    </row>
  </sheetData>
  <mergeCells count="27">
    <mergeCell ref="A24:A26"/>
    <mergeCell ref="B22:F22"/>
    <mergeCell ref="B23:F23"/>
    <mergeCell ref="B24:F24"/>
    <mergeCell ref="B25:F25"/>
    <mergeCell ref="B26:F26"/>
    <mergeCell ref="B17:F17"/>
    <mergeCell ref="B18:F18"/>
    <mergeCell ref="B19:F19"/>
    <mergeCell ref="A20:F20"/>
    <mergeCell ref="B21:F21"/>
    <mergeCell ref="B12:F12"/>
    <mergeCell ref="B13:F13"/>
    <mergeCell ref="B14:F14"/>
    <mergeCell ref="A15:F15"/>
    <mergeCell ref="B16:F16"/>
    <mergeCell ref="B7:F7"/>
    <mergeCell ref="B8:F8"/>
    <mergeCell ref="B9:F9"/>
    <mergeCell ref="B10:F10"/>
    <mergeCell ref="A11:F11"/>
    <mergeCell ref="A5:A8"/>
    <mergeCell ref="A2:F2"/>
    <mergeCell ref="B3:F3"/>
    <mergeCell ref="A4:F4"/>
    <mergeCell ref="B5:F5"/>
    <mergeCell ref="B6:F6"/>
  </mergeCells>
  <phoneticPr fontId="2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summaryRight="0"/>
  </sheetPr>
  <dimension ref="A1:AL119"/>
  <sheetViews>
    <sheetView tabSelected="1" topLeftCell="C1" zoomScale="85" zoomScaleNormal="85" workbookViewId="0">
      <pane ySplit="2" topLeftCell="A3" activePane="bottomLeft" state="frozen"/>
      <selection pane="bottomLeft" activeCell="K29" sqref="K29"/>
    </sheetView>
  </sheetViews>
  <sheetFormatPr defaultColWidth="9" defaultRowHeight="27.6" customHeight="1" x14ac:dyDescent="0.3"/>
  <cols>
    <col min="1" max="1" width="9" style="82"/>
    <col min="2" max="2" width="23.26953125" style="83" customWidth="1"/>
    <col min="3" max="3" width="71.1796875" style="20" customWidth="1"/>
    <col min="4" max="4" width="11.453125" style="82" customWidth="1"/>
    <col min="5" max="5" width="9" style="21"/>
    <col min="6" max="6" width="11" style="100" customWidth="1"/>
    <col min="7" max="7" width="9" style="21" customWidth="1"/>
    <col min="8" max="8" width="9" style="101"/>
    <col min="9" max="9" width="9" style="21" customWidth="1"/>
    <col min="10" max="10" width="16.26953125" style="21" customWidth="1"/>
    <col min="11" max="11" width="18.7265625" style="100" customWidth="1"/>
    <col min="12" max="12" width="14.7265625" style="100" customWidth="1"/>
    <col min="13" max="14" width="16.26953125" style="100" customWidth="1"/>
    <col min="15" max="15" width="16.26953125" style="163" customWidth="1"/>
    <col min="16" max="16" width="16.26953125" style="100" customWidth="1"/>
    <col min="17" max="17" width="16.26953125" style="21" customWidth="1"/>
    <col min="18" max="38" width="9" style="21"/>
    <col min="39" max="16384" width="9" style="67"/>
  </cols>
  <sheetData>
    <row r="1" spans="1:19" ht="27.6" customHeight="1" x14ac:dyDescent="0.15">
      <c r="A1" s="141" t="s">
        <v>0</v>
      </c>
      <c r="B1" s="141"/>
      <c r="C1" s="142"/>
      <c r="D1" s="141"/>
      <c r="E1" s="141"/>
      <c r="F1" s="141"/>
      <c r="G1" s="64"/>
      <c r="H1" s="65" t="s">
        <v>60</v>
      </c>
      <c r="I1" s="65" t="s">
        <v>60</v>
      </c>
      <c r="J1" s="65" t="s">
        <v>60</v>
      </c>
      <c r="K1" s="65" t="s">
        <v>60</v>
      </c>
      <c r="L1" s="65" t="s">
        <v>60</v>
      </c>
      <c r="M1" s="65" t="s">
        <v>60</v>
      </c>
      <c r="N1" s="65"/>
      <c r="O1" s="155" t="s">
        <v>60</v>
      </c>
      <c r="P1" s="65"/>
      <c r="Q1" s="65" t="s">
        <v>60</v>
      </c>
      <c r="R1" s="66"/>
    </row>
    <row r="2" spans="1:19" ht="27.6" customHeight="1" x14ac:dyDescent="0.3">
      <c r="A2" s="68" t="s">
        <v>2</v>
      </c>
      <c r="B2" s="69" t="s">
        <v>61</v>
      </c>
      <c r="C2" s="70" t="s">
        <v>62</v>
      </c>
      <c r="D2" s="68" t="s">
        <v>63</v>
      </c>
      <c r="E2" s="71" t="s">
        <v>64</v>
      </c>
      <c r="F2" s="68" t="s">
        <v>65</v>
      </c>
      <c r="G2" s="68" t="s">
        <v>7</v>
      </c>
      <c r="H2" s="72" t="s">
        <v>66</v>
      </c>
      <c r="I2" s="72" t="s">
        <v>67</v>
      </c>
      <c r="J2" s="72" t="s">
        <v>68</v>
      </c>
      <c r="K2" s="73" t="s">
        <v>69</v>
      </c>
      <c r="L2" s="73" t="s">
        <v>70</v>
      </c>
      <c r="M2" s="72" t="s">
        <v>71</v>
      </c>
      <c r="N2" s="72" t="s">
        <v>72</v>
      </c>
      <c r="O2" s="156" t="s">
        <v>73</v>
      </c>
      <c r="P2" s="72" t="s">
        <v>74</v>
      </c>
      <c r="Q2" s="72" t="s">
        <v>75</v>
      </c>
      <c r="R2" s="73" t="s">
        <v>7</v>
      </c>
    </row>
    <row r="3" spans="1:19" ht="27.6" customHeight="1" x14ac:dyDescent="0.3">
      <c r="A3" s="22"/>
      <c r="B3" s="74" t="s">
        <v>76</v>
      </c>
      <c r="C3" s="23"/>
      <c r="D3" s="22"/>
      <c r="E3" s="24"/>
      <c r="F3" s="24"/>
      <c r="G3" s="24"/>
      <c r="H3" s="22"/>
      <c r="I3" s="24"/>
      <c r="J3" s="24"/>
      <c r="K3" s="24"/>
      <c r="L3" s="24"/>
      <c r="M3" s="24"/>
      <c r="N3" s="24"/>
      <c r="O3" s="157"/>
      <c r="P3" s="24"/>
      <c r="Q3" s="24"/>
      <c r="R3" s="24"/>
    </row>
    <row r="4" spans="1:19" s="20" customFormat="1" ht="27.6" customHeight="1" x14ac:dyDescent="0.3">
      <c r="A4" s="149">
        <v>1</v>
      </c>
      <c r="B4" s="143" t="s">
        <v>77</v>
      </c>
      <c r="C4" s="146" t="s">
        <v>582</v>
      </c>
      <c r="D4" s="146" t="s">
        <v>563</v>
      </c>
      <c r="E4" s="22">
        <v>24</v>
      </c>
      <c r="F4" s="25" t="s">
        <v>78</v>
      </c>
      <c r="G4" s="23"/>
      <c r="H4" s="25" t="s">
        <v>79</v>
      </c>
      <c r="I4" s="23" t="s">
        <v>80</v>
      </c>
      <c r="J4" s="23" t="s">
        <v>584</v>
      </c>
      <c r="K4" s="23" t="s">
        <v>81</v>
      </c>
      <c r="L4" s="23"/>
      <c r="M4" s="27">
        <v>131.84</v>
      </c>
      <c r="N4" s="27">
        <f>E4*M4</f>
        <v>3164.16</v>
      </c>
      <c r="O4" s="158">
        <v>2622.5</v>
      </c>
      <c r="P4" s="28">
        <f>E4*O4</f>
        <v>62940</v>
      </c>
      <c r="Q4" s="27">
        <f>ROUND((M4+O4)*E4,2)</f>
        <v>66104.160000000003</v>
      </c>
      <c r="R4" s="23"/>
    </row>
    <row r="5" spans="1:19" s="20" customFormat="1" ht="27.6" customHeight="1" x14ac:dyDescent="0.3">
      <c r="A5" s="150"/>
      <c r="B5" s="144"/>
      <c r="C5" s="147"/>
      <c r="D5" s="147"/>
      <c r="E5" s="22">
        <v>1</v>
      </c>
      <c r="F5" s="25" t="s">
        <v>78</v>
      </c>
      <c r="G5" s="23"/>
      <c r="H5" s="103" t="s">
        <v>585</v>
      </c>
      <c r="I5" s="104" t="s">
        <v>586</v>
      </c>
      <c r="J5" s="105" t="s">
        <v>587</v>
      </c>
      <c r="K5" s="23" t="s">
        <v>81</v>
      </c>
      <c r="L5" s="23"/>
      <c r="M5" s="27">
        <v>131.84</v>
      </c>
      <c r="N5" s="27">
        <f t="shared" ref="N5:N6" si="0">E5*M5</f>
        <v>131.84</v>
      </c>
      <c r="O5" s="159">
        <v>2622.5</v>
      </c>
      <c r="P5" s="28">
        <f t="shared" ref="P5:P6" si="1">E5*O5</f>
        <v>2622.5</v>
      </c>
      <c r="Q5" s="27">
        <f t="shared" ref="Q5:Q6" si="2">ROUND((M5+O5)*E5,2)</f>
        <v>2754.34</v>
      </c>
      <c r="R5" s="23"/>
      <c r="S5" s="20" t="s">
        <v>613</v>
      </c>
    </row>
    <row r="6" spans="1:19" s="20" customFormat="1" ht="27.6" customHeight="1" x14ac:dyDescent="0.3">
      <c r="A6" s="151"/>
      <c r="B6" s="145"/>
      <c r="C6" s="148"/>
      <c r="D6" s="148"/>
      <c r="E6" s="22">
        <v>1</v>
      </c>
      <c r="F6" s="25" t="s">
        <v>78</v>
      </c>
      <c r="G6" s="23"/>
      <c r="H6" s="103" t="s">
        <v>588</v>
      </c>
      <c r="I6" s="104" t="s">
        <v>589</v>
      </c>
      <c r="J6" s="106" t="s">
        <v>590</v>
      </c>
      <c r="K6" s="23" t="s">
        <v>81</v>
      </c>
      <c r="L6" s="23"/>
      <c r="M6" s="27">
        <v>131.84</v>
      </c>
      <c r="N6" s="27">
        <f t="shared" si="0"/>
        <v>131.84</v>
      </c>
      <c r="O6" s="159">
        <v>2622.5</v>
      </c>
      <c r="P6" s="28">
        <f t="shared" si="1"/>
        <v>2622.5</v>
      </c>
      <c r="Q6" s="27">
        <f t="shared" si="2"/>
        <v>2754.34</v>
      </c>
      <c r="R6" s="23"/>
      <c r="S6" s="20" t="s">
        <v>613</v>
      </c>
    </row>
    <row r="7" spans="1:19" ht="27.6" customHeight="1" x14ac:dyDescent="0.3">
      <c r="A7" s="25">
        <v>2</v>
      </c>
      <c r="B7" s="26" t="s">
        <v>82</v>
      </c>
      <c r="C7" s="29" t="s">
        <v>571</v>
      </c>
      <c r="D7" s="25" t="s">
        <v>83</v>
      </c>
      <c r="E7" s="22">
        <v>9</v>
      </c>
      <c r="F7" s="25" t="s">
        <v>78</v>
      </c>
      <c r="G7" s="24"/>
      <c r="H7" s="25" t="s">
        <v>84</v>
      </c>
      <c r="I7" s="25" t="s">
        <v>572</v>
      </c>
      <c r="J7" s="23" t="s">
        <v>570</v>
      </c>
      <c r="K7" s="23" t="s">
        <v>81</v>
      </c>
      <c r="L7" s="24"/>
      <c r="M7" s="77">
        <v>32.96</v>
      </c>
      <c r="N7" s="27">
        <f t="shared" ref="N7:N38" si="3">E7*M7</f>
        <v>296.64</v>
      </c>
      <c r="O7" s="160">
        <v>7240.88</v>
      </c>
      <c r="P7" s="28">
        <f t="shared" ref="P7:P38" si="4">E7*O7</f>
        <v>65167.92</v>
      </c>
      <c r="Q7" s="27">
        <f t="shared" ref="Q7:Q33" si="5">ROUND((M7+O7)*E7,2)</f>
        <v>65464.56</v>
      </c>
      <c r="R7" s="24"/>
    </row>
    <row r="8" spans="1:19" ht="27.6" customHeight="1" x14ac:dyDescent="0.3">
      <c r="A8" s="25">
        <v>3</v>
      </c>
      <c r="B8" s="26" t="s">
        <v>87</v>
      </c>
      <c r="C8" s="29" t="s">
        <v>88</v>
      </c>
      <c r="D8" s="25" t="s">
        <v>83</v>
      </c>
      <c r="E8" s="22">
        <v>129</v>
      </c>
      <c r="F8" s="25" t="s">
        <v>78</v>
      </c>
      <c r="G8" s="24"/>
      <c r="H8" s="61" t="s">
        <v>84</v>
      </c>
      <c r="I8" s="25" t="s">
        <v>567</v>
      </c>
      <c r="J8" s="23" t="s">
        <v>568</v>
      </c>
      <c r="K8" s="23" t="s">
        <v>81</v>
      </c>
      <c r="L8" s="24"/>
      <c r="M8" s="77">
        <v>32.96</v>
      </c>
      <c r="N8" s="27">
        <f t="shared" si="3"/>
        <v>4251.84</v>
      </c>
      <c r="O8" s="160">
        <v>7424.7</v>
      </c>
      <c r="P8" s="78">
        <f t="shared" si="4"/>
        <v>957786.29999999993</v>
      </c>
      <c r="Q8" s="27">
        <f t="shared" si="5"/>
        <v>962038.14</v>
      </c>
      <c r="R8" s="24"/>
    </row>
    <row r="9" spans="1:19" ht="27.6" customHeight="1" x14ac:dyDescent="0.3">
      <c r="A9" s="25">
        <v>4</v>
      </c>
      <c r="B9" s="26" t="s">
        <v>91</v>
      </c>
      <c r="C9" s="29" t="s">
        <v>92</v>
      </c>
      <c r="D9" s="76" t="s">
        <v>93</v>
      </c>
      <c r="E9" s="22">
        <v>129</v>
      </c>
      <c r="F9" s="25" t="s">
        <v>78</v>
      </c>
      <c r="G9" s="24"/>
      <c r="H9" s="22" t="s">
        <v>591</v>
      </c>
      <c r="I9" s="24" t="s">
        <v>592</v>
      </c>
      <c r="J9" s="23" t="s">
        <v>593</v>
      </c>
      <c r="K9" s="23" t="s">
        <v>81</v>
      </c>
      <c r="L9" s="24"/>
      <c r="M9" s="77">
        <v>164.8</v>
      </c>
      <c r="N9" s="27">
        <f t="shared" si="3"/>
        <v>21259.200000000001</v>
      </c>
      <c r="O9" s="160">
        <v>1485.31</v>
      </c>
      <c r="P9" s="28">
        <f t="shared" si="4"/>
        <v>191604.99</v>
      </c>
      <c r="Q9" s="27">
        <f t="shared" si="5"/>
        <v>212864.19</v>
      </c>
      <c r="R9" s="24"/>
    </row>
    <row r="10" spans="1:19" ht="27.6" customHeight="1" x14ac:dyDescent="0.3">
      <c r="A10" s="25">
        <v>5</v>
      </c>
      <c r="B10" s="26" t="s">
        <v>96</v>
      </c>
      <c r="C10" s="75" t="s">
        <v>97</v>
      </c>
      <c r="D10" s="25" t="s">
        <v>583</v>
      </c>
      <c r="E10" s="22">
        <v>129</v>
      </c>
      <c r="F10" s="25" t="s">
        <v>78</v>
      </c>
      <c r="G10" s="24"/>
      <c r="H10" s="61" t="s">
        <v>84</v>
      </c>
      <c r="I10" s="24" t="s">
        <v>573</v>
      </c>
      <c r="J10" s="23" t="s">
        <v>97</v>
      </c>
      <c r="K10" s="23" t="s">
        <v>81</v>
      </c>
      <c r="L10" s="24"/>
      <c r="M10" s="77">
        <v>21.63</v>
      </c>
      <c r="N10" s="27">
        <f t="shared" si="3"/>
        <v>2790.27</v>
      </c>
      <c r="O10" s="160">
        <v>102.8</v>
      </c>
      <c r="P10" s="28">
        <f t="shared" si="4"/>
        <v>13261.199999999999</v>
      </c>
      <c r="Q10" s="27">
        <f t="shared" si="5"/>
        <v>16051.47</v>
      </c>
      <c r="R10" s="24"/>
      <c r="S10" s="21" t="s">
        <v>614</v>
      </c>
    </row>
    <row r="11" spans="1:19" ht="27.6" customHeight="1" x14ac:dyDescent="0.3">
      <c r="A11" s="25">
        <v>6</v>
      </c>
      <c r="B11" s="26" t="s">
        <v>100</v>
      </c>
      <c r="C11" s="79" t="s">
        <v>101</v>
      </c>
      <c r="D11" s="25" t="s">
        <v>83</v>
      </c>
      <c r="E11" s="22">
        <v>13</v>
      </c>
      <c r="F11" s="25" t="s">
        <v>78</v>
      </c>
      <c r="G11" s="24"/>
      <c r="H11" s="61" t="s">
        <v>84</v>
      </c>
      <c r="I11" s="24" t="s">
        <v>594</v>
      </c>
      <c r="J11" s="23" t="s">
        <v>102</v>
      </c>
      <c r="K11" s="23" t="s">
        <v>81</v>
      </c>
      <c r="L11" s="24"/>
      <c r="M11" s="77">
        <v>154.5</v>
      </c>
      <c r="N11" s="27">
        <f t="shared" si="3"/>
        <v>2008.5</v>
      </c>
      <c r="O11" s="160">
        <v>169.89</v>
      </c>
      <c r="P11" s="28">
        <f t="shared" si="4"/>
        <v>2208.5699999999997</v>
      </c>
      <c r="Q11" s="27">
        <f t="shared" si="5"/>
        <v>4217.07</v>
      </c>
      <c r="R11" s="24"/>
      <c r="S11" s="21" t="s">
        <v>614</v>
      </c>
    </row>
    <row r="12" spans="1:19" ht="27.6" customHeight="1" x14ac:dyDescent="0.3">
      <c r="A12" s="25">
        <v>7</v>
      </c>
      <c r="B12" s="26" t="s">
        <v>103</v>
      </c>
      <c r="C12" s="29" t="s">
        <v>104</v>
      </c>
      <c r="D12" s="25" t="s">
        <v>83</v>
      </c>
      <c r="E12" s="22">
        <v>362</v>
      </c>
      <c r="F12" s="25" t="s">
        <v>78</v>
      </c>
      <c r="G12" s="24"/>
      <c r="H12" s="61" t="s">
        <v>84</v>
      </c>
      <c r="I12" s="24" t="s">
        <v>595</v>
      </c>
      <c r="J12" s="23" t="s">
        <v>104</v>
      </c>
      <c r="K12" s="23" t="s">
        <v>81</v>
      </c>
      <c r="L12" s="24"/>
      <c r="M12" s="77">
        <v>131.84</v>
      </c>
      <c r="N12" s="27">
        <f t="shared" si="3"/>
        <v>47726.080000000002</v>
      </c>
      <c r="O12" s="160">
        <v>494.79</v>
      </c>
      <c r="P12" s="78">
        <f t="shared" si="4"/>
        <v>179113.98</v>
      </c>
      <c r="Q12" s="27">
        <f t="shared" si="5"/>
        <v>226840.06</v>
      </c>
      <c r="R12" s="24"/>
      <c r="S12" s="21" t="s">
        <v>614</v>
      </c>
    </row>
    <row r="13" spans="1:19" ht="27.6" customHeight="1" x14ac:dyDescent="0.3">
      <c r="A13" s="25">
        <v>8</v>
      </c>
      <c r="B13" s="26" t="s">
        <v>105</v>
      </c>
      <c r="C13" s="29" t="s">
        <v>106</v>
      </c>
      <c r="D13" s="25" t="s">
        <v>83</v>
      </c>
      <c r="E13" s="22">
        <v>75</v>
      </c>
      <c r="F13" s="25" t="s">
        <v>78</v>
      </c>
      <c r="G13" s="24"/>
      <c r="H13" s="62" t="s">
        <v>84</v>
      </c>
      <c r="I13" s="24" t="s">
        <v>107</v>
      </c>
      <c r="J13" s="23" t="s">
        <v>108</v>
      </c>
      <c r="K13" s="23" t="s">
        <v>81</v>
      </c>
      <c r="L13" s="24"/>
      <c r="M13" s="77">
        <v>350.2</v>
      </c>
      <c r="N13" s="27">
        <f t="shared" si="3"/>
        <v>26265</v>
      </c>
      <c r="O13" s="160">
        <v>7055.22</v>
      </c>
      <c r="P13" s="78">
        <f t="shared" si="4"/>
        <v>529141.5</v>
      </c>
      <c r="Q13" s="27">
        <f t="shared" si="5"/>
        <v>555406.5</v>
      </c>
      <c r="R13" s="24"/>
      <c r="S13" s="21" t="s">
        <v>614</v>
      </c>
    </row>
    <row r="14" spans="1:19" ht="27.6" customHeight="1" x14ac:dyDescent="0.3">
      <c r="A14" s="25">
        <v>9</v>
      </c>
      <c r="B14" s="26" t="s">
        <v>109</v>
      </c>
      <c r="C14" s="75" t="s">
        <v>110</v>
      </c>
      <c r="D14" s="25" t="s">
        <v>83</v>
      </c>
      <c r="E14" s="22">
        <v>26</v>
      </c>
      <c r="F14" s="25" t="s">
        <v>78</v>
      </c>
      <c r="G14" s="24"/>
      <c r="H14" s="62" t="s">
        <v>84</v>
      </c>
      <c r="I14" s="24" t="s">
        <v>596</v>
      </c>
      <c r="J14" s="23" t="s">
        <v>110</v>
      </c>
      <c r="K14" s="23" t="s">
        <v>81</v>
      </c>
      <c r="L14" s="24"/>
      <c r="M14" s="77">
        <v>131.84</v>
      </c>
      <c r="N14" s="27">
        <f t="shared" si="3"/>
        <v>3427.84</v>
      </c>
      <c r="O14" s="160">
        <v>107</v>
      </c>
      <c r="P14" s="28">
        <f t="shared" si="4"/>
        <v>2782</v>
      </c>
      <c r="Q14" s="27">
        <f t="shared" si="5"/>
        <v>6209.84</v>
      </c>
      <c r="R14" s="24"/>
      <c r="S14" s="21" t="s">
        <v>614</v>
      </c>
    </row>
    <row r="15" spans="1:19" ht="27.6" customHeight="1" x14ac:dyDescent="0.3">
      <c r="A15" s="25">
        <v>10</v>
      </c>
      <c r="B15" s="26" t="s">
        <v>111</v>
      </c>
      <c r="C15" s="29" t="s">
        <v>112</v>
      </c>
      <c r="D15" s="25" t="s">
        <v>83</v>
      </c>
      <c r="E15" s="22">
        <v>2</v>
      </c>
      <c r="F15" s="25" t="s">
        <v>78</v>
      </c>
      <c r="G15" s="24"/>
      <c r="H15" s="22" t="s">
        <v>84</v>
      </c>
      <c r="I15" s="24" t="s">
        <v>113</v>
      </c>
      <c r="J15" s="23" t="s">
        <v>114</v>
      </c>
      <c r="K15" s="23" t="s">
        <v>81</v>
      </c>
      <c r="L15" s="24"/>
      <c r="M15" s="77">
        <v>131.84</v>
      </c>
      <c r="N15" s="27">
        <f t="shared" si="3"/>
        <v>263.68</v>
      </c>
      <c r="O15" s="160">
        <v>481.8</v>
      </c>
      <c r="P15" s="78">
        <f t="shared" si="4"/>
        <v>963.6</v>
      </c>
      <c r="Q15" s="27">
        <f t="shared" si="5"/>
        <v>1227.28</v>
      </c>
      <c r="R15" s="24"/>
    </row>
    <row r="16" spans="1:19" ht="27.6" customHeight="1" x14ac:dyDescent="0.3">
      <c r="A16" s="25">
        <v>11</v>
      </c>
      <c r="B16" s="26" t="s">
        <v>115</v>
      </c>
      <c r="C16" s="75" t="s">
        <v>116</v>
      </c>
      <c r="D16" s="25" t="s">
        <v>83</v>
      </c>
      <c r="E16" s="22">
        <v>89</v>
      </c>
      <c r="F16" s="25" t="s">
        <v>78</v>
      </c>
      <c r="G16" s="24"/>
      <c r="H16" s="62" t="s">
        <v>84</v>
      </c>
      <c r="I16" s="23" t="s">
        <v>117</v>
      </c>
      <c r="J16" s="23" t="s">
        <v>118</v>
      </c>
      <c r="K16" s="23" t="s">
        <v>81</v>
      </c>
      <c r="L16" s="24"/>
      <c r="M16" s="77">
        <v>154.5</v>
      </c>
      <c r="N16" s="27">
        <f t="shared" si="3"/>
        <v>13750.5</v>
      </c>
      <c r="O16" s="160">
        <v>1074.06</v>
      </c>
      <c r="P16" s="78">
        <f t="shared" si="4"/>
        <v>95591.34</v>
      </c>
      <c r="Q16" s="27">
        <f t="shared" si="5"/>
        <v>109341.84</v>
      </c>
      <c r="R16" s="24"/>
      <c r="S16" s="21" t="s">
        <v>614</v>
      </c>
    </row>
    <row r="17" spans="1:19" ht="27.6" customHeight="1" x14ac:dyDescent="0.3">
      <c r="A17" s="25">
        <v>12</v>
      </c>
      <c r="B17" s="26" t="s">
        <v>119</v>
      </c>
      <c r="C17" s="29" t="s">
        <v>616</v>
      </c>
      <c r="D17" s="25" t="s">
        <v>83</v>
      </c>
      <c r="E17" s="22">
        <v>100</v>
      </c>
      <c r="F17" s="25" t="s">
        <v>121</v>
      </c>
      <c r="G17" s="24"/>
      <c r="H17" s="62" t="s">
        <v>597</v>
      </c>
      <c r="I17" s="63" t="s">
        <v>598</v>
      </c>
      <c r="J17" s="164" t="s">
        <v>120</v>
      </c>
      <c r="K17" s="23" t="s">
        <v>81</v>
      </c>
      <c r="L17" s="24"/>
      <c r="M17" s="77">
        <v>21.63</v>
      </c>
      <c r="N17" s="27">
        <f t="shared" si="3"/>
        <v>2163</v>
      </c>
      <c r="O17" s="160">
        <v>198.26</v>
      </c>
      <c r="P17" s="78">
        <f t="shared" si="4"/>
        <v>19826</v>
      </c>
      <c r="Q17" s="27">
        <f t="shared" si="5"/>
        <v>21989</v>
      </c>
      <c r="R17" s="24"/>
      <c r="S17" s="21" t="s">
        <v>614</v>
      </c>
    </row>
    <row r="18" spans="1:19" ht="27.6" customHeight="1" x14ac:dyDescent="0.3">
      <c r="A18" s="25">
        <v>13</v>
      </c>
      <c r="B18" s="26" t="s">
        <v>122</v>
      </c>
      <c r="C18" s="29" t="s">
        <v>123</v>
      </c>
      <c r="D18" s="25" t="s">
        <v>83</v>
      </c>
      <c r="E18" s="22">
        <v>168</v>
      </c>
      <c r="F18" s="25" t="s">
        <v>121</v>
      </c>
      <c r="G18" s="24"/>
      <c r="H18" s="62" t="s">
        <v>84</v>
      </c>
      <c r="I18" s="24" t="s">
        <v>124</v>
      </c>
      <c r="J18" s="24" t="s">
        <v>578</v>
      </c>
      <c r="K18" s="23" t="s">
        <v>81</v>
      </c>
      <c r="L18" s="24"/>
      <c r="M18" s="77">
        <v>144.19999999999999</v>
      </c>
      <c r="N18" s="27">
        <f t="shared" si="3"/>
        <v>24225.599999999999</v>
      </c>
      <c r="O18" s="160">
        <v>165.74</v>
      </c>
      <c r="P18" s="28">
        <f t="shared" si="4"/>
        <v>27844.32</v>
      </c>
      <c r="Q18" s="27">
        <f t="shared" si="5"/>
        <v>52069.919999999998</v>
      </c>
      <c r="R18" s="24"/>
      <c r="S18" s="21" t="s">
        <v>614</v>
      </c>
    </row>
    <row r="19" spans="1:19" ht="27.6" customHeight="1" x14ac:dyDescent="0.3">
      <c r="A19" s="25">
        <v>14</v>
      </c>
      <c r="B19" s="80" t="s">
        <v>125</v>
      </c>
      <c r="C19" s="29" t="s">
        <v>126</v>
      </c>
      <c r="D19" s="25" t="s">
        <v>127</v>
      </c>
      <c r="E19" s="22">
        <v>129</v>
      </c>
      <c r="F19" s="25" t="s">
        <v>121</v>
      </c>
      <c r="G19" s="24"/>
      <c r="H19" s="22" t="s">
        <v>128</v>
      </c>
      <c r="I19" s="23" t="s">
        <v>574</v>
      </c>
      <c r="J19" s="24" t="s">
        <v>130</v>
      </c>
      <c r="K19" s="23" t="s">
        <v>81</v>
      </c>
      <c r="L19" s="24"/>
      <c r="M19" s="77">
        <v>98.88</v>
      </c>
      <c r="N19" s="27">
        <f t="shared" si="3"/>
        <v>12755.519999999999</v>
      </c>
      <c r="O19" s="160">
        <v>111.19</v>
      </c>
      <c r="P19" s="78">
        <f t="shared" si="4"/>
        <v>14343.51</v>
      </c>
      <c r="Q19" s="27">
        <f t="shared" si="5"/>
        <v>27099.03</v>
      </c>
      <c r="R19" s="24"/>
    </row>
    <row r="20" spans="1:19" ht="27.6" customHeight="1" x14ac:dyDescent="0.3">
      <c r="A20" s="25">
        <v>15</v>
      </c>
      <c r="B20" s="80" t="s">
        <v>131</v>
      </c>
      <c r="C20" s="29" t="s">
        <v>132</v>
      </c>
      <c r="D20" s="22" t="s">
        <v>133</v>
      </c>
      <c r="E20" s="22">
        <v>129</v>
      </c>
      <c r="F20" s="25" t="s">
        <v>134</v>
      </c>
      <c r="G20" s="24"/>
      <c r="H20" s="22" t="s">
        <v>135</v>
      </c>
      <c r="I20" s="24" t="s">
        <v>136</v>
      </c>
      <c r="J20" s="24" t="s">
        <v>599</v>
      </c>
      <c r="K20" s="23" t="s">
        <v>81</v>
      </c>
      <c r="L20" s="24"/>
      <c r="M20" s="77">
        <v>32.96</v>
      </c>
      <c r="N20" s="27">
        <f t="shared" si="3"/>
        <v>4251.84</v>
      </c>
      <c r="O20" s="160">
        <v>182.53</v>
      </c>
      <c r="P20" s="28">
        <f t="shared" si="4"/>
        <v>23546.37</v>
      </c>
      <c r="Q20" s="27">
        <f t="shared" si="5"/>
        <v>27798.21</v>
      </c>
      <c r="R20" s="24"/>
    </row>
    <row r="21" spans="1:19" ht="27.6" customHeight="1" x14ac:dyDescent="0.3">
      <c r="A21" s="25">
        <v>16</v>
      </c>
      <c r="B21" s="80" t="s">
        <v>138</v>
      </c>
      <c r="C21" s="29" t="s">
        <v>139</v>
      </c>
      <c r="D21" s="22" t="s">
        <v>133</v>
      </c>
      <c r="E21" s="22">
        <v>34</v>
      </c>
      <c r="F21" s="25" t="s">
        <v>121</v>
      </c>
      <c r="G21" s="24"/>
      <c r="H21" s="22" t="s">
        <v>135</v>
      </c>
      <c r="I21" s="24" t="s">
        <v>140</v>
      </c>
      <c r="J21" s="24" t="s">
        <v>600</v>
      </c>
      <c r="K21" s="23" t="s">
        <v>81</v>
      </c>
      <c r="L21" s="24"/>
      <c r="M21" s="77">
        <v>87.55</v>
      </c>
      <c r="N21" s="27">
        <f t="shared" si="3"/>
        <v>2976.7</v>
      </c>
      <c r="O21" s="160">
        <v>543.38</v>
      </c>
      <c r="P21" s="78">
        <f t="shared" si="4"/>
        <v>18474.919999999998</v>
      </c>
      <c r="Q21" s="27">
        <f t="shared" si="5"/>
        <v>21451.62</v>
      </c>
      <c r="R21" s="24"/>
    </row>
    <row r="22" spans="1:19" ht="27.6" customHeight="1" x14ac:dyDescent="0.3">
      <c r="A22" s="25">
        <v>17</v>
      </c>
      <c r="B22" s="80" t="s">
        <v>576</v>
      </c>
      <c r="C22" s="29" t="s">
        <v>143</v>
      </c>
      <c r="D22" s="25" t="s">
        <v>127</v>
      </c>
      <c r="E22" s="25">
        <v>130000</v>
      </c>
      <c r="F22" s="25" t="s">
        <v>144</v>
      </c>
      <c r="G22" s="24"/>
      <c r="H22" s="22" t="s">
        <v>128</v>
      </c>
      <c r="I22" s="63" t="s">
        <v>577</v>
      </c>
      <c r="J22" s="23" t="s">
        <v>617</v>
      </c>
      <c r="K22" s="23" t="s">
        <v>81</v>
      </c>
      <c r="L22" s="24"/>
      <c r="M22" s="77">
        <v>2.68</v>
      </c>
      <c r="N22" s="27">
        <f t="shared" si="3"/>
        <v>348400</v>
      </c>
      <c r="O22" s="160">
        <v>1.84</v>
      </c>
      <c r="P22" s="28">
        <f t="shared" si="4"/>
        <v>239200</v>
      </c>
      <c r="Q22" s="27">
        <f t="shared" si="5"/>
        <v>587600</v>
      </c>
      <c r="R22" s="24"/>
      <c r="S22" s="21" t="s">
        <v>615</v>
      </c>
    </row>
    <row r="23" spans="1:19" ht="27.6" customHeight="1" x14ac:dyDescent="0.3">
      <c r="A23" s="25">
        <v>18</v>
      </c>
      <c r="B23" s="80" t="s">
        <v>145</v>
      </c>
      <c r="C23" s="29" t="s">
        <v>146</v>
      </c>
      <c r="D23" s="25" t="s">
        <v>127</v>
      </c>
      <c r="E23" s="25">
        <v>24</v>
      </c>
      <c r="F23" s="25" t="s">
        <v>121</v>
      </c>
      <c r="G23" s="24"/>
      <c r="H23" s="22" t="s">
        <v>128</v>
      </c>
      <c r="I23" s="23" t="s">
        <v>575</v>
      </c>
      <c r="J23" s="23" t="s">
        <v>146</v>
      </c>
      <c r="K23" s="23" t="s">
        <v>81</v>
      </c>
      <c r="L23" s="24"/>
      <c r="M23" s="77">
        <v>463.5</v>
      </c>
      <c r="N23" s="27">
        <f t="shared" si="3"/>
        <v>11124</v>
      </c>
      <c r="O23" s="160">
        <v>503.52</v>
      </c>
      <c r="P23" s="78">
        <f t="shared" si="4"/>
        <v>12084.48</v>
      </c>
      <c r="Q23" s="27">
        <f t="shared" si="5"/>
        <v>23208.48</v>
      </c>
      <c r="R23" s="24"/>
    </row>
    <row r="24" spans="1:19" ht="27.6" customHeight="1" x14ac:dyDescent="0.3">
      <c r="A24" s="25">
        <v>19</v>
      </c>
      <c r="B24" s="80" t="s">
        <v>148</v>
      </c>
      <c r="C24" s="29" t="s">
        <v>149</v>
      </c>
      <c r="D24" s="25" t="s">
        <v>127</v>
      </c>
      <c r="E24" s="25">
        <f>E20</f>
        <v>129</v>
      </c>
      <c r="F24" s="25" t="s">
        <v>121</v>
      </c>
      <c r="G24" s="24"/>
      <c r="H24" s="22" t="s">
        <v>128</v>
      </c>
      <c r="I24" s="24" t="s">
        <v>150</v>
      </c>
      <c r="J24" s="24" t="s">
        <v>149</v>
      </c>
      <c r="K24" s="23" t="s">
        <v>81</v>
      </c>
      <c r="L24" s="24"/>
      <c r="M24" s="77">
        <v>5.51</v>
      </c>
      <c r="N24" s="27">
        <f t="shared" si="3"/>
        <v>710.79</v>
      </c>
      <c r="O24" s="160">
        <v>23.08</v>
      </c>
      <c r="P24" s="28">
        <f t="shared" si="4"/>
        <v>2977.3199999999997</v>
      </c>
      <c r="Q24" s="27">
        <f t="shared" si="5"/>
        <v>3688.11</v>
      </c>
      <c r="R24" s="24"/>
    </row>
    <row r="25" spans="1:19" ht="27.6" customHeight="1" x14ac:dyDescent="0.3">
      <c r="A25" s="25">
        <v>20</v>
      </c>
      <c r="B25" s="80" t="s">
        <v>151</v>
      </c>
      <c r="C25" s="29" t="s">
        <v>152</v>
      </c>
      <c r="D25" s="25" t="s">
        <v>127</v>
      </c>
      <c r="E25" s="25">
        <f>E20*2</f>
        <v>258</v>
      </c>
      <c r="F25" s="25" t="s">
        <v>121</v>
      </c>
      <c r="G25" s="24"/>
      <c r="H25" s="22" t="s">
        <v>128</v>
      </c>
      <c r="I25" s="24" t="s">
        <v>153</v>
      </c>
      <c r="J25" s="23" t="s">
        <v>569</v>
      </c>
      <c r="K25" s="23" t="s">
        <v>81</v>
      </c>
      <c r="L25" s="24"/>
      <c r="M25" s="77">
        <v>5.51</v>
      </c>
      <c r="N25" s="27">
        <f t="shared" si="3"/>
        <v>1421.58</v>
      </c>
      <c r="O25" s="160">
        <v>16.78</v>
      </c>
      <c r="P25" s="78">
        <f t="shared" si="4"/>
        <v>4329.2400000000007</v>
      </c>
      <c r="Q25" s="27">
        <f t="shared" si="5"/>
        <v>5750.82</v>
      </c>
      <c r="R25" s="24"/>
    </row>
    <row r="26" spans="1:19" ht="27.6" customHeight="1" x14ac:dyDescent="0.3">
      <c r="A26" s="25">
        <v>21</v>
      </c>
      <c r="B26" s="80" t="s">
        <v>580</v>
      </c>
      <c r="C26" s="29" t="s">
        <v>579</v>
      </c>
      <c r="D26" s="22" t="s">
        <v>154</v>
      </c>
      <c r="E26" s="22">
        <v>12</v>
      </c>
      <c r="F26" s="25" t="s">
        <v>78</v>
      </c>
      <c r="G26" s="24"/>
      <c r="H26" s="22" t="s">
        <v>155</v>
      </c>
      <c r="I26" s="104" t="s">
        <v>601</v>
      </c>
      <c r="J26" s="63" t="s">
        <v>602</v>
      </c>
      <c r="K26" s="23" t="s">
        <v>81</v>
      </c>
      <c r="L26" s="24"/>
      <c r="M26" s="77">
        <v>144.19999999999999</v>
      </c>
      <c r="N26" s="27">
        <f t="shared" si="3"/>
        <v>1730.3999999999999</v>
      </c>
      <c r="O26" s="160">
        <v>795.14</v>
      </c>
      <c r="P26" s="28">
        <f t="shared" si="4"/>
        <v>9541.68</v>
      </c>
      <c r="Q26" s="27">
        <f t="shared" si="5"/>
        <v>11272.08</v>
      </c>
      <c r="R26" s="24"/>
      <c r="S26" s="21" t="s">
        <v>615</v>
      </c>
    </row>
    <row r="27" spans="1:19" ht="27.6" customHeight="1" x14ac:dyDescent="0.3">
      <c r="A27" s="25">
        <v>22</v>
      </c>
      <c r="B27" s="80" t="s">
        <v>156</v>
      </c>
      <c r="C27" s="29" t="s">
        <v>157</v>
      </c>
      <c r="D27" s="22" t="s">
        <v>154</v>
      </c>
      <c r="E27" s="25">
        <v>24</v>
      </c>
      <c r="F27" s="25" t="s">
        <v>121</v>
      </c>
      <c r="G27" s="24"/>
      <c r="H27" s="22" t="s">
        <v>155</v>
      </c>
      <c r="I27" s="63" t="s">
        <v>603</v>
      </c>
      <c r="J27" s="63" t="s">
        <v>604</v>
      </c>
      <c r="K27" s="23" t="s">
        <v>81</v>
      </c>
      <c r="L27" s="24"/>
      <c r="M27" s="77">
        <v>16.48</v>
      </c>
      <c r="N27" s="27">
        <f t="shared" si="3"/>
        <v>395.52</v>
      </c>
      <c r="O27" s="160">
        <v>110.15</v>
      </c>
      <c r="P27" s="28">
        <f t="shared" si="4"/>
        <v>2643.6000000000004</v>
      </c>
      <c r="Q27" s="27">
        <f t="shared" si="5"/>
        <v>3039.12</v>
      </c>
      <c r="R27" s="24"/>
    </row>
    <row r="28" spans="1:19" ht="27.6" customHeight="1" x14ac:dyDescent="0.3">
      <c r="A28" s="25">
        <v>23</v>
      </c>
      <c r="B28" s="80" t="s">
        <v>158</v>
      </c>
      <c r="C28" s="29" t="s">
        <v>159</v>
      </c>
      <c r="D28" s="25" t="s">
        <v>127</v>
      </c>
      <c r="E28" s="25">
        <v>3800</v>
      </c>
      <c r="F28" s="25" t="s">
        <v>144</v>
      </c>
      <c r="G28" s="24"/>
      <c r="H28" s="22" t="s">
        <v>128</v>
      </c>
      <c r="I28" s="24" t="s">
        <v>160</v>
      </c>
      <c r="J28" s="24" t="s">
        <v>159</v>
      </c>
      <c r="K28" s="23" t="s">
        <v>81</v>
      </c>
      <c r="L28" s="24"/>
      <c r="M28" s="77">
        <v>2.06</v>
      </c>
      <c r="N28" s="27">
        <f t="shared" si="3"/>
        <v>7828</v>
      </c>
      <c r="O28" s="160">
        <v>3.04</v>
      </c>
      <c r="P28" s="78">
        <f t="shared" si="4"/>
        <v>11552</v>
      </c>
      <c r="Q28" s="27">
        <f t="shared" si="5"/>
        <v>19380</v>
      </c>
      <c r="R28" s="24"/>
    </row>
    <row r="29" spans="1:19" ht="27.6" customHeight="1" x14ac:dyDescent="0.3">
      <c r="A29" s="25">
        <v>24</v>
      </c>
      <c r="B29" s="80" t="s">
        <v>158</v>
      </c>
      <c r="C29" s="29" t="s">
        <v>161</v>
      </c>
      <c r="D29" s="25" t="s">
        <v>127</v>
      </c>
      <c r="E29" s="25">
        <v>7200</v>
      </c>
      <c r="F29" s="25" t="s">
        <v>144</v>
      </c>
      <c r="G29" s="24"/>
      <c r="H29" s="22" t="s">
        <v>128</v>
      </c>
      <c r="I29" s="24" t="s">
        <v>162</v>
      </c>
      <c r="J29" s="24" t="s">
        <v>161</v>
      </c>
      <c r="K29" s="23" t="s">
        <v>81</v>
      </c>
      <c r="L29" s="24"/>
      <c r="M29" s="77">
        <v>2.06</v>
      </c>
      <c r="N29" s="27">
        <f t="shared" si="3"/>
        <v>14832</v>
      </c>
      <c r="O29" s="160">
        <v>5.72</v>
      </c>
      <c r="P29" s="28">
        <f t="shared" si="4"/>
        <v>41184</v>
      </c>
      <c r="Q29" s="27">
        <f t="shared" si="5"/>
        <v>56016</v>
      </c>
      <c r="R29" s="24"/>
    </row>
    <row r="30" spans="1:19" ht="27.6" customHeight="1" x14ac:dyDescent="0.3">
      <c r="A30" s="25">
        <v>25</v>
      </c>
      <c r="B30" s="80" t="s">
        <v>158</v>
      </c>
      <c r="C30" s="29" t="s">
        <v>163</v>
      </c>
      <c r="D30" s="25" t="s">
        <v>127</v>
      </c>
      <c r="E30" s="25">
        <v>5000</v>
      </c>
      <c r="F30" s="25" t="s">
        <v>144</v>
      </c>
      <c r="G30" s="24"/>
      <c r="H30" s="22" t="s">
        <v>128</v>
      </c>
      <c r="I30" s="24" t="s">
        <v>164</v>
      </c>
      <c r="J30" s="24" t="s">
        <v>163</v>
      </c>
      <c r="K30" s="23" t="s">
        <v>81</v>
      </c>
      <c r="L30" s="24"/>
      <c r="M30" s="77">
        <v>2.52</v>
      </c>
      <c r="N30" s="27">
        <f t="shared" si="3"/>
        <v>12600</v>
      </c>
      <c r="O30" s="160">
        <v>8.9700000000000006</v>
      </c>
      <c r="P30" s="28">
        <f t="shared" si="4"/>
        <v>44850</v>
      </c>
      <c r="Q30" s="27">
        <f t="shared" si="5"/>
        <v>57450</v>
      </c>
      <c r="R30" s="24"/>
    </row>
    <row r="31" spans="1:19" ht="27.6" customHeight="1" x14ac:dyDescent="0.3">
      <c r="A31" s="25">
        <v>26</v>
      </c>
      <c r="B31" s="80" t="s">
        <v>158</v>
      </c>
      <c r="C31" s="29" t="s">
        <v>165</v>
      </c>
      <c r="D31" s="25" t="s">
        <v>127</v>
      </c>
      <c r="E31" s="25">
        <v>154</v>
      </c>
      <c r="F31" s="25" t="s">
        <v>144</v>
      </c>
      <c r="G31" s="24"/>
      <c r="H31" s="22" t="s">
        <v>128</v>
      </c>
      <c r="I31" s="24" t="s">
        <v>166</v>
      </c>
      <c r="J31" s="24" t="s">
        <v>165</v>
      </c>
      <c r="K31" s="23" t="s">
        <v>81</v>
      </c>
      <c r="L31" s="24"/>
      <c r="M31" s="77">
        <v>2.52</v>
      </c>
      <c r="N31" s="27">
        <f t="shared" si="3"/>
        <v>388.08</v>
      </c>
      <c r="O31" s="160">
        <v>12.48</v>
      </c>
      <c r="P31" s="28">
        <f t="shared" si="4"/>
        <v>1921.92</v>
      </c>
      <c r="Q31" s="27">
        <f t="shared" si="5"/>
        <v>2310</v>
      </c>
      <c r="R31" s="24"/>
    </row>
    <row r="32" spans="1:19" ht="27.6" customHeight="1" x14ac:dyDescent="0.3">
      <c r="A32" s="25">
        <v>27</v>
      </c>
      <c r="B32" s="80" t="s">
        <v>167</v>
      </c>
      <c r="C32" s="29" t="s">
        <v>168</v>
      </c>
      <c r="D32" s="22" t="s">
        <v>169</v>
      </c>
      <c r="E32" s="25">
        <v>25000</v>
      </c>
      <c r="F32" s="25" t="s">
        <v>144</v>
      </c>
      <c r="G32" s="24"/>
      <c r="H32" s="22" t="s">
        <v>169</v>
      </c>
      <c r="I32" s="24" t="s">
        <v>170</v>
      </c>
      <c r="J32" s="24" t="s">
        <v>171</v>
      </c>
      <c r="K32" s="23" t="s">
        <v>81</v>
      </c>
      <c r="L32" s="24"/>
      <c r="M32" s="77">
        <v>9.7899999999999991</v>
      </c>
      <c r="N32" s="27">
        <f t="shared" si="3"/>
        <v>244749.99999999997</v>
      </c>
      <c r="O32" s="160">
        <v>3.67</v>
      </c>
      <c r="P32" s="78">
        <f t="shared" si="4"/>
        <v>91750</v>
      </c>
      <c r="Q32" s="27">
        <f t="shared" si="5"/>
        <v>336500</v>
      </c>
      <c r="R32" s="24"/>
    </row>
    <row r="33" spans="1:19" ht="27.6" customHeight="1" x14ac:dyDescent="0.3">
      <c r="A33" s="25">
        <v>28</v>
      </c>
      <c r="B33" s="80" t="s">
        <v>172</v>
      </c>
      <c r="C33" s="29" t="s">
        <v>173</v>
      </c>
      <c r="D33" s="22" t="s">
        <v>169</v>
      </c>
      <c r="E33" s="25">
        <v>1</v>
      </c>
      <c r="F33" s="25" t="s">
        <v>174</v>
      </c>
      <c r="G33" s="24"/>
      <c r="H33" s="22"/>
      <c r="I33" s="24"/>
      <c r="J33" s="24"/>
      <c r="K33" s="23" t="s">
        <v>81</v>
      </c>
      <c r="L33" s="24"/>
      <c r="M33" s="77">
        <v>6180</v>
      </c>
      <c r="N33" s="27">
        <f t="shared" si="3"/>
        <v>6180</v>
      </c>
      <c r="O33" s="160">
        <v>10490</v>
      </c>
      <c r="P33" s="78">
        <f t="shared" si="4"/>
        <v>10490</v>
      </c>
      <c r="Q33" s="27">
        <f t="shared" si="5"/>
        <v>16670</v>
      </c>
      <c r="R33" s="24"/>
    </row>
    <row r="34" spans="1:19" ht="27.6" customHeight="1" x14ac:dyDescent="0.3">
      <c r="A34" s="25"/>
      <c r="B34" s="81" t="s">
        <v>175</v>
      </c>
      <c r="C34" s="29"/>
      <c r="D34" s="22"/>
      <c r="E34" s="24"/>
      <c r="F34" s="24"/>
      <c r="G34" s="24"/>
      <c r="H34" s="22"/>
      <c r="I34" s="24"/>
      <c r="J34" s="24"/>
      <c r="K34" s="23"/>
      <c r="L34" s="24"/>
      <c r="M34" s="24"/>
      <c r="N34" s="27">
        <f t="shared" si="3"/>
        <v>0</v>
      </c>
      <c r="O34" s="157"/>
      <c r="P34" s="28">
        <f t="shared" si="4"/>
        <v>0</v>
      </c>
      <c r="Q34" s="24"/>
      <c r="R34" s="24"/>
    </row>
    <row r="35" spans="1:19" ht="27.6" customHeight="1" x14ac:dyDescent="0.3">
      <c r="A35" s="25"/>
      <c r="B35" s="80" t="s">
        <v>176</v>
      </c>
      <c r="C35" s="29"/>
      <c r="D35" s="22"/>
      <c r="E35" s="24"/>
      <c r="F35" s="24"/>
      <c r="G35" s="24"/>
      <c r="H35" s="22"/>
      <c r="I35" s="24"/>
      <c r="J35" s="24"/>
      <c r="K35" s="23"/>
      <c r="L35" s="24"/>
      <c r="M35" s="24"/>
      <c r="N35" s="27">
        <f t="shared" si="3"/>
        <v>0</v>
      </c>
      <c r="O35" s="157"/>
      <c r="P35" s="28">
        <f t="shared" si="4"/>
        <v>0</v>
      </c>
      <c r="Q35" s="24"/>
      <c r="R35" s="24"/>
    </row>
    <row r="36" spans="1:19" ht="27.6" customHeight="1" x14ac:dyDescent="0.3">
      <c r="A36" s="25">
        <v>1</v>
      </c>
      <c r="B36" s="80" t="s">
        <v>177</v>
      </c>
      <c r="C36" s="29" t="s">
        <v>178</v>
      </c>
      <c r="D36" s="22" t="s">
        <v>179</v>
      </c>
      <c r="E36" s="25">
        <v>6</v>
      </c>
      <c r="F36" s="25" t="s">
        <v>78</v>
      </c>
      <c r="G36" s="24"/>
      <c r="H36" s="22" t="s">
        <v>179</v>
      </c>
      <c r="I36" s="24" t="s">
        <v>180</v>
      </c>
      <c r="J36" s="23" t="s">
        <v>181</v>
      </c>
      <c r="K36" s="23" t="s">
        <v>81</v>
      </c>
      <c r="L36" s="24"/>
      <c r="M36" s="77">
        <v>175.1</v>
      </c>
      <c r="N36" s="27">
        <f t="shared" si="3"/>
        <v>1050.5999999999999</v>
      </c>
      <c r="O36" s="160">
        <v>2989.65</v>
      </c>
      <c r="P36" s="28">
        <f t="shared" si="4"/>
        <v>17937.900000000001</v>
      </c>
      <c r="Q36" s="27">
        <f t="shared" ref="Q36:Q58" si="6">ROUND((M36+O36)*E36,2)</f>
        <v>18988.5</v>
      </c>
      <c r="R36" s="24"/>
    </row>
    <row r="37" spans="1:19" ht="27.6" customHeight="1" x14ac:dyDescent="0.3">
      <c r="A37" s="25">
        <v>2</v>
      </c>
      <c r="B37" s="80" t="s">
        <v>182</v>
      </c>
      <c r="C37" s="29" t="s">
        <v>183</v>
      </c>
      <c r="D37" s="22" t="s">
        <v>179</v>
      </c>
      <c r="E37" s="25">
        <v>68</v>
      </c>
      <c r="F37" s="25" t="s">
        <v>78</v>
      </c>
      <c r="G37" s="24"/>
      <c r="H37" s="22" t="s">
        <v>179</v>
      </c>
      <c r="I37" s="24" t="s">
        <v>184</v>
      </c>
      <c r="J37" s="23" t="s">
        <v>185</v>
      </c>
      <c r="K37" s="23" t="s">
        <v>81</v>
      </c>
      <c r="L37" s="24"/>
      <c r="M37" s="77">
        <v>175.1</v>
      </c>
      <c r="N37" s="27">
        <f t="shared" si="3"/>
        <v>11906.8</v>
      </c>
      <c r="O37" s="160">
        <v>519.26</v>
      </c>
      <c r="P37" s="28">
        <f t="shared" si="4"/>
        <v>35309.68</v>
      </c>
      <c r="Q37" s="27">
        <f t="shared" si="6"/>
        <v>47216.480000000003</v>
      </c>
      <c r="R37" s="24"/>
    </row>
    <row r="38" spans="1:19" ht="27.6" customHeight="1" x14ac:dyDescent="0.3">
      <c r="A38" s="25">
        <v>3</v>
      </c>
      <c r="B38" s="80" t="s">
        <v>186</v>
      </c>
      <c r="C38" s="29" t="s">
        <v>187</v>
      </c>
      <c r="D38" s="22" t="s">
        <v>179</v>
      </c>
      <c r="E38" s="25">
        <v>199</v>
      </c>
      <c r="F38" s="25" t="s">
        <v>78</v>
      </c>
      <c r="G38" s="24"/>
      <c r="H38" s="22" t="s">
        <v>179</v>
      </c>
      <c r="I38" s="24" t="s">
        <v>188</v>
      </c>
      <c r="J38" s="23" t="s">
        <v>189</v>
      </c>
      <c r="K38" s="23" t="s">
        <v>81</v>
      </c>
      <c r="L38" s="24"/>
      <c r="M38" s="77">
        <v>195.7</v>
      </c>
      <c r="N38" s="27">
        <f t="shared" si="3"/>
        <v>38944.299999999996</v>
      </c>
      <c r="O38" s="160">
        <v>2040.31</v>
      </c>
      <c r="P38" s="28">
        <f t="shared" si="4"/>
        <v>406021.69</v>
      </c>
      <c r="Q38" s="27">
        <f t="shared" si="6"/>
        <v>444965.99</v>
      </c>
      <c r="R38" s="24"/>
    </row>
    <row r="39" spans="1:19" ht="27.6" customHeight="1" x14ac:dyDescent="0.3">
      <c r="A39" s="25">
        <v>4</v>
      </c>
      <c r="B39" s="80" t="s">
        <v>190</v>
      </c>
      <c r="C39" s="29" t="s">
        <v>191</v>
      </c>
      <c r="D39" s="22" t="s">
        <v>179</v>
      </c>
      <c r="E39" s="25">
        <v>3</v>
      </c>
      <c r="F39" s="25" t="s">
        <v>78</v>
      </c>
      <c r="G39" s="24"/>
      <c r="H39" s="22" t="s">
        <v>179</v>
      </c>
      <c r="I39" s="24" t="s">
        <v>192</v>
      </c>
      <c r="J39" s="23" t="s">
        <v>193</v>
      </c>
      <c r="K39" s="23" t="s">
        <v>81</v>
      </c>
      <c r="L39" s="24"/>
      <c r="M39" s="77">
        <v>309</v>
      </c>
      <c r="N39" s="27">
        <f t="shared" ref="N39:N70" si="7">E39*M39</f>
        <v>927</v>
      </c>
      <c r="O39" s="160">
        <v>28323</v>
      </c>
      <c r="P39" s="28">
        <f t="shared" ref="P39:P70" si="8">E39*O39</f>
        <v>84969</v>
      </c>
      <c r="Q39" s="27">
        <f t="shared" si="6"/>
        <v>85896</v>
      </c>
      <c r="R39" s="24"/>
    </row>
    <row r="40" spans="1:19" ht="27.6" customHeight="1" x14ac:dyDescent="0.3">
      <c r="A40" s="25">
        <v>5</v>
      </c>
      <c r="B40" s="80" t="s">
        <v>194</v>
      </c>
      <c r="C40" s="29" t="s">
        <v>195</v>
      </c>
      <c r="D40" s="22" t="s">
        <v>179</v>
      </c>
      <c r="E40" s="25">
        <v>5</v>
      </c>
      <c r="F40" s="25" t="s">
        <v>78</v>
      </c>
      <c r="G40" s="24"/>
      <c r="H40" s="22" t="s">
        <v>179</v>
      </c>
      <c r="I40" s="24" t="s">
        <v>196</v>
      </c>
      <c r="J40" s="23" t="s">
        <v>197</v>
      </c>
      <c r="K40" s="23" t="s">
        <v>81</v>
      </c>
      <c r="L40" s="24"/>
      <c r="M40" s="77">
        <v>412</v>
      </c>
      <c r="N40" s="27">
        <f t="shared" si="7"/>
        <v>2060</v>
      </c>
      <c r="O40" s="160">
        <v>17833</v>
      </c>
      <c r="P40" s="28">
        <f t="shared" si="8"/>
        <v>89165</v>
      </c>
      <c r="Q40" s="27">
        <f t="shared" si="6"/>
        <v>91225</v>
      </c>
      <c r="R40" s="24"/>
    </row>
    <row r="41" spans="1:19" ht="27.6" customHeight="1" x14ac:dyDescent="0.3">
      <c r="A41" s="25">
        <v>6</v>
      </c>
      <c r="B41" s="80" t="s">
        <v>198</v>
      </c>
      <c r="C41" s="29" t="s">
        <v>199</v>
      </c>
      <c r="D41" s="22" t="s">
        <v>179</v>
      </c>
      <c r="E41" s="25">
        <v>1</v>
      </c>
      <c r="F41" s="25" t="s">
        <v>78</v>
      </c>
      <c r="G41" s="24"/>
      <c r="H41" s="22" t="s">
        <v>179</v>
      </c>
      <c r="I41" s="24" t="s">
        <v>200</v>
      </c>
      <c r="J41" s="23" t="s">
        <v>201</v>
      </c>
      <c r="K41" s="23" t="s">
        <v>81</v>
      </c>
      <c r="L41" s="24"/>
      <c r="M41" s="77">
        <v>216.3</v>
      </c>
      <c r="N41" s="27">
        <f t="shared" si="7"/>
        <v>216.3</v>
      </c>
      <c r="O41" s="160">
        <v>597930</v>
      </c>
      <c r="P41" s="28">
        <f t="shared" si="8"/>
        <v>597930</v>
      </c>
      <c r="Q41" s="27">
        <f t="shared" si="6"/>
        <v>598146.30000000005</v>
      </c>
      <c r="R41" s="24"/>
    </row>
    <row r="42" spans="1:19" ht="27.6" customHeight="1" x14ac:dyDescent="0.3">
      <c r="A42" s="25">
        <v>7</v>
      </c>
      <c r="B42" s="80" t="s">
        <v>202</v>
      </c>
      <c r="C42" s="29" t="s">
        <v>203</v>
      </c>
      <c r="D42" s="22" t="s">
        <v>179</v>
      </c>
      <c r="E42" s="25">
        <v>4</v>
      </c>
      <c r="F42" s="25" t="s">
        <v>78</v>
      </c>
      <c r="G42" s="24"/>
      <c r="H42" s="22" t="s">
        <v>179</v>
      </c>
      <c r="I42" s="24" t="s">
        <v>204</v>
      </c>
      <c r="J42" s="23" t="s">
        <v>205</v>
      </c>
      <c r="K42" s="23" t="s">
        <v>81</v>
      </c>
      <c r="L42" s="24"/>
      <c r="M42" s="77">
        <v>216.3</v>
      </c>
      <c r="N42" s="27">
        <f t="shared" si="7"/>
        <v>865.2</v>
      </c>
      <c r="O42" s="160">
        <v>325190</v>
      </c>
      <c r="P42" s="28">
        <f t="shared" si="8"/>
        <v>1300760</v>
      </c>
      <c r="Q42" s="27">
        <f t="shared" si="6"/>
        <v>1301625.2</v>
      </c>
      <c r="R42" s="24"/>
    </row>
    <row r="43" spans="1:19" ht="27.6" customHeight="1" x14ac:dyDescent="0.3">
      <c r="A43" s="25">
        <v>8</v>
      </c>
      <c r="B43" s="80" t="s">
        <v>206</v>
      </c>
      <c r="C43" s="29" t="s">
        <v>207</v>
      </c>
      <c r="D43" s="22" t="s">
        <v>179</v>
      </c>
      <c r="E43" s="25">
        <v>3</v>
      </c>
      <c r="F43" s="25" t="s">
        <v>78</v>
      </c>
      <c r="G43" s="24"/>
      <c r="H43" s="22" t="s">
        <v>179</v>
      </c>
      <c r="I43" s="24" t="s">
        <v>208</v>
      </c>
      <c r="J43" s="23" t="s">
        <v>209</v>
      </c>
      <c r="K43" s="23" t="s">
        <v>81</v>
      </c>
      <c r="L43" s="24"/>
      <c r="M43" s="77">
        <v>216.3</v>
      </c>
      <c r="N43" s="27">
        <f t="shared" si="7"/>
        <v>648.90000000000009</v>
      </c>
      <c r="O43" s="160">
        <v>225755.29</v>
      </c>
      <c r="P43" s="28">
        <f t="shared" si="8"/>
        <v>677265.87</v>
      </c>
      <c r="Q43" s="27">
        <f t="shared" si="6"/>
        <v>677914.77</v>
      </c>
      <c r="R43" s="24"/>
    </row>
    <row r="44" spans="1:19" ht="27.6" customHeight="1" x14ac:dyDescent="0.3">
      <c r="A44" s="25">
        <v>9</v>
      </c>
      <c r="B44" s="80" t="s">
        <v>210</v>
      </c>
      <c r="C44" s="29" t="s">
        <v>211</v>
      </c>
      <c r="D44" s="22" t="s">
        <v>179</v>
      </c>
      <c r="E44" s="25">
        <v>281</v>
      </c>
      <c r="F44" s="25" t="s">
        <v>212</v>
      </c>
      <c r="G44" s="24"/>
      <c r="H44" s="22" t="s">
        <v>179</v>
      </c>
      <c r="I44" s="24"/>
      <c r="J44" s="24"/>
      <c r="K44" s="23" t="s">
        <v>81</v>
      </c>
      <c r="L44" s="24"/>
      <c r="M44" s="77">
        <v>5.51</v>
      </c>
      <c r="N44" s="27">
        <f t="shared" si="7"/>
        <v>1548.31</v>
      </c>
      <c r="O44" s="160">
        <v>31.47</v>
      </c>
      <c r="P44" s="78">
        <f t="shared" si="8"/>
        <v>8843.07</v>
      </c>
      <c r="Q44" s="27">
        <f t="shared" si="6"/>
        <v>10391.379999999999</v>
      </c>
      <c r="R44" s="24"/>
    </row>
    <row r="45" spans="1:19" ht="27.6" customHeight="1" x14ac:dyDescent="0.3">
      <c r="A45" s="25">
        <v>10</v>
      </c>
      <c r="B45" s="80" t="s">
        <v>213</v>
      </c>
      <c r="C45" s="29" t="s">
        <v>214</v>
      </c>
      <c r="D45" s="22" t="s">
        <v>154</v>
      </c>
      <c r="E45" s="25">
        <v>15</v>
      </c>
      <c r="F45" s="25" t="s">
        <v>78</v>
      </c>
      <c r="G45" s="24"/>
      <c r="H45" s="22" t="s">
        <v>155</v>
      </c>
      <c r="I45" s="63" t="s">
        <v>605</v>
      </c>
      <c r="J45" s="63" t="s">
        <v>606</v>
      </c>
      <c r="K45" s="23" t="s">
        <v>81</v>
      </c>
      <c r="L45" s="24"/>
      <c r="M45" s="77">
        <v>121.54</v>
      </c>
      <c r="N45" s="27">
        <f t="shared" si="7"/>
        <v>1823.1000000000001</v>
      </c>
      <c r="O45" s="160">
        <v>936.76</v>
      </c>
      <c r="P45" s="28">
        <f t="shared" si="8"/>
        <v>14051.4</v>
      </c>
      <c r="Q45" s="27">
        <f t="shared" si="6"/>
        <v>15874.5</v>
      </c>
      <c r="R45" s="24"/>
      <c r="S45" s="21" t="s">
        <v>615</v>
      </c>
    </row>
    <row r="46" spans="1:19" ht="27.6" customHeight="1" x14ac:dyDescent="0.3">
      <c r="A46" s="25">
        <v>11</v>
      </c>
      <c r="B46" s="80" t="s">
        <v>215</v>
      </c>
      <c r="C46" s="29" t="s">
        <v>581</v>
      </c>
      <c r="D46" s="22" t="s">
        <v>154</v>
      </c>
      <c r="E46" s="25">
        <v>17</v>
      </c>
      <c r="F46" s="25" t="s">
        <v>78</v>
      </c>
      <c r="G46" s="24"/>
      <c r="H46" s="22" t="s">
        <v>155</v>
      </c>
      <c r="I46" s="63" t="s">
        <v>607</v>
      </c>
      <c r="J46" s="63" t="s">
        <v>608</v>
      </c>
      <c r="K46" s="23" t="s">
        <v>81</v>
      </c>
      <c r="L46" s="24"/>
      <c r="M46" s="77">
        <v>144.19999999999999</v>
      </c>
      <c r="N46" s="27">
        <f t="shared" si="7"/>
        <v>2451.3999999999996</v>
      </c>
      <c r="O46" s="160">
        <v>1664.76</v>
      </c>
      <c r="P46" s="28">
        <f t="shared" si="8"/>
        <v>28300.92</v>
      </c>
      <c r="Q46" s="27">
        <f t="shared" si="6"/>
        <v>30752.32</v>
      </c>
      <c r="R46" s="24"/>
      <c r="S46" s="21" t="s">
        <v>615</v>
      </c>
    </row>
    <row r="47" spans="1:19" ht="27.6" customHeight="1" x14ac:dyDescent="0.3">
      <c r="A47" s="25">
        <v>12</v>
      </c>
      <c r="B47" s="80" t="s">
        <v>156</v>
      </c>
      <c r="C47" s="29" t="s">
        <v>157</v>
      </c>
      <c r="D47" s="22" t="s">
        <v>154</v>
      </c>
      <c r="E47" s="25">
        <v>30</v>
      </c>
      <c r="F47" s="25" t="s">
        <v>121</v>
      </c>
      <c r="G47" s="24"/>
      <c r="H47" s="22" t="s">
        <v>155</v>
      </c>
      <c r="I47" s="63" t="s">
        <v>603</v>
      </c>
      <c r="J47" s="63" t="s">
        <v>604</v>
      </c>
      <c r="K47" s="23" t="s">
        <v>81</v>
      </c>
      <c r="L47" s="24"/>
      <c r="M47" s="77">
        <v>11.33</v>
      </c>
      <c r="N47" s="27">
        <f t="shared" si="7"/>
        <v>339.9</v>
      </c>
      <c r="O47" s="160">
        <v>110.15</v>
      </c>
      <c r="P47" s="28">
        <f t="shared" si="8"/>
        <v>3304.5</v>
      </c>
      <c r="Q47" s="27">
        <f t="shared" si="6"/>
        <v>3644.4</v>
      </c>
      <c r="R47" s="24"/>
    </row>
    <row r="48" spans="1:19" ht="27.6" customHeight="1" x14ac:dyDescent="0.3">
      <c r="A48" s="25">
        <v>13</v>
      </c>
      <c r="B48" s="80" t="s">
        <v>216</v>
      </c>
      <c r="C48" s="29" t="s">
        <v>217</v>
      </c>
      <c r="D48" s="22" t="s">
        <v>154</v>
      </c>
      <c r="E48" s="25">
        <v>34</v>
      </c>
      <c r="F48" s="25" t="s">
        <v>121</v>
      </c>
      <c r="G48" s="24"/>
      <c r="H48" s="22" t="s">
        <v>155</v>
      </c>
      <c r="I48" s="63" t="s">
        <v>609</v>
      </c>
      <c r="J48" s="63" t="s">
        <v>610</v>
      </c>
      <c r="K48" s="23" t="s">
        <v>81</v>
      </c>
      <c r="L48" s="24"/>
      <c r="M48" s="77">
        <v>11.33</v>
      </c>
      <c r="N48" s="27">
        <f t="shared" si="7"/>
        <v>385.22</v>
      </c>
      <c r="O48" s="160">
        <v>276.94</v>
      </c>
      <c r="P48" s="78">
        <f t="shared" si="8"/>
        <v>9415.9599999999991</v>
      </c>
      <c r="Q48" s="27">
        <f t="shared" si="6"/>
        <v>9801.18</v>
      </c>
      <c r="R48" s="24"/>
    </row>
    <row r="49" spans="1:19" ht="27.6" customHeight="1" x14ac:dyDescent="0.3">
      <c r="A49" s="25">
        <v>14</v>
      </c>
      <c r="B49" s="80" t="s">
        <v>218</v>
      </c>
      <c r="C49" s="29" t="s">
        <v>219</v>
      </c>
      <c r="D49" s="25" t="s">
        <v>127</v>
      </c>
      <c r="E49" s="25">
        <v>20000</v>
      </c>
      <c r="F49" s="25" t="s">
        <v>144</v>
      </c>
      <c r="G49" s="24"/>
      <c r="H49" s="22" t="s">
        <v>128</v>
      </c>
      <c r="I49" s="24" t="s">
        <v>220</v>
      </c>
      <c r="J49" s="23" t="s">
        <v>219</v>
      </c>
      <c r="K49" s="23" t="s">
        <v>81</v>
      </c>
      <c r="L49" s="24"/>
      <c r="M49" s="77">
        <v>1.75</v>
      </c>
      <c r="N49" s="27">
        <f t="shared" si="7"/>
        <v>35000</v>
      </c>
      <c r="O49" s="160">
        <v>3.04</v>
      </c>
      <c r="P49" s="78">
        <f t="shared" si="8"/>
        <v>60800</v>
      </c>
      <c r="Q49" s="27">
        <f t="shared" si="6"/>
        <v>95800</v>
      </c>
      <c r="R49" s="24"/>
    </row>
    <row r="50" spans="1:19" ht="27.6" customHeight="1" x14ac:dyDescent="0.3">
      <c r="A50" s="25">
        <v>15</v>
      </c>
      <c r="B50" s="80" t="s">
        <v>221</v>
      </c>
      <c r="C50" s="29" t="s">
        <v>222</v>
      </c>
      <c r="D50" s="25" t="s">
        <v>127</v>
      </c>
      <c r="E50" s="25">
        <f>E51*70*1.1</f>
        <v>2464</v>
      </c>
      <c r="F50" s="25" t="s">
        <v>144</v>
      </c>
      <c r="G50" s="24"/>
      <c r="H50" s="22" t="s">
        <v>128</v>
      </c>
      <c r="I50" s="24" t="s">
        <v>223</v>
      </c>
      <c r="J50" s="24" t="s">
        <v>222</v>
      </c>
      <c r="K50" s="23" t="s">
        <v>81</v>
      </c>
      <c r="L50" s="24"/>
      <c r="M50" s="77">
        <v>2.52</v>
      </c>
      <c r="N50" s="27">
        <f t="shared" si="7"/>
        <v>6209.28</v>
      </c>
      <c r="O50" s="160">
        <v>10.7</v>
      </c>
      <c r="P50" s="28">
        <f t="shared" si="8"/>
        <v>26364.799999999999</v>
      </c>
      <c r="Q50" s="27">
        <f t="shared" si="6"/>
        <v>32574.080000000002</v>
      </c>
      <c r="R50" s="24"/>
    </row>
    <row r="51" spans="1:19" ht="27.6" customHeight="1" x14ac:dyDescent="0.3">
      <c r="A51" s="25">
        <v>16</v>
      </c>
      <c r="B51" s="80" t="s">
        <v>224</v>
      </c>
      <c r="C51" s="29" t="s">
        <v>225</v>
      </c>
      <c r="D51" s="22" t="s">
        <v>169</v>
      </c>
      <c r="E51" s="25">
        <f>E45+E46</f>
        <v>32</v>
      </c>
      <c r="F51" s="25" t="s">
        <v>121</v>
      </c>
      <c r="G51" s="24"/>
      <c r="H51" s="22" t="s">
        <v>169</v>
      </c>
      <c r="I51" s="24" t="s">
        <v>226</v>
      </c>
      <c r="J51" s="23" t="s">
        <v>225</v>
      </c>
      <c r="K51" s="23" t="s">
        <v>81</v>
      </c>
      <c r="L51" s="24"/>
      <c r="M51" s="77">
        <v>56.65</v>
      </c>
      <c r="N51" s="27">
        <f t="shared" si="7"/>
        <v>1812.8</v>
      </c>
      <c r="O51" s="160">
        <v>89.17</v>
      </c>
      <c r="P51" s="28">
        <f t="shared" si="8"/>
        <v>2853.44</v>
      </c>
      <c r="Q51" s="27">
        <f t="shared" si="6"/>
        <v>4666.24</v>
      </c>
      <c r="R51" s="24"/>
    </row>
    <row r="52" spans="1:19" ht="27.6" customHeight="1" x14ac:dyDescent="0.3">
      <c r="A52" s="25">
        <v>17</v>
      </c>
      <c r="B52" s="80" t="s">
        <v>227</v>
      </c>
      <c r="C52" s="29" t="s">
        <v>228</v>
      </c>
      <c r="D52" s="22" t="s">
        <v>169</v>
      </c>
      <c r="E52" s="25">
        <v>100</v>
      </c>
      <c r="F52" s="25" t="s">
        <v>121</v>
      </c>
      <c r="G52" s="24"/>
      <c r="H52" s="22" t="s">
        <v>169</v>
      </c>
      <c r="I52" s="24" t="s">
        <v>229</v>
      </c>
      <c r="J52" s="23" t="s">
        <v>228</v>
      </c>
      <c r="K52" s="23" t="s">
        <v>81</v>
      </c>
      <c r="L52" s="24"/>
      <c r="M52" s="77">
        <v>309</v>
      </c>
      <c r="N52" s="27">
        <f t="shared" si="7"/>
        <v>30900</v>
      </c>
      <c r="O52" s="160">
        <v>681.85</v>
      </c>
      <c r="P52" s="78">
        <f t="shared" si="8"/>
        <v>68185</v>
      </c>
      <c r="Q52" s="27">
        <f t="shared" si="6"/>
        <v>99085</v>
      </c>
      <c r="R52" s="24"/>
    </row>
    <row r="53" spans="1:19" ht="27.6" customHeight="1" x14ac:dyDescent="0.3">
      <c r="A53" s="25">
        <v>18</v>
      </c>
      <c r="B53" s="80" t="s">
        <v>564</v>
      </c>
      <c r="C53" s="29" t="s">
        <v>230</v>
      </c>
      <c r="D53" s="25" t="s">
        <v>127</v>
      </c>
      <c r="E53" s="22">
        <f>E45+E46</f>
        <v>32</v>
      </c>
      <c r="F53" s="25" t="s">
        <v>121</v>
      </c>
      <c r="G53" s="24"/>
      <c r="H53" s="22" t="s">
        <v>128</v>
      </c>
      <c r="I53" s="23" t="s">
        <v>129</v>
      </c>
      <c r="J53" s="24" t="s">
        <v>565</v>
      </c>
      <c r="K53" s="23" t="s">
        <v>81</v>
      </c>
      <c r="L53" s="24"/>
      <c r="M53" s="77">
        <v>97.85</v>
      </c>
      <c r="N53" s="27">
        <f t="shared" si="7"/>
        <v>3131.2</v>
      </c>
      <c r="O53" s="160">
        <v>111.19</v>
      </c>
      <c r="P53" s="78">
        <f t="shared" si="8"/>
        <v>3558.08</v>
      </c>
      <c r="Q53" s="27">
        <f t="shared" si="6"/>
        <v>6689.28</v>
      </c>
      <c r="R53" s="24"/>
    </row>
    <row r="54" spans="1:19" ht="27.6" customHeight="1" x14ac:dyDescent="0.3">
      <c r="A54" s="25">
        <v>19</v>
      </c>
      <c r="B54" s="80" t="s">
        <v>142</v>
      </c>
      <c r="C54" s="29" t="s">
        <v>143</v>
      </c>
      <c r="D54" s="25" t="s">
        <v>127</v>
      </c>
      <c r="E54" s="25">
        <v>10560</v>
      </c>
      <c r="F54" s="25" t="s">
        <v>144</v>
      </c>
      <c r="G54" s="24"/>
      <c r="H54" s="22" t="s">
        <v>128</v>
      </c>
      <c r="I54" s="63" t="s">
        <v>577</v>
      </c>
      <c r="J54" s="23" t="s">
        <v>143</v>
      </c>
      <c r="K54" s="23" t="s">
        <v>81</v>
      </c>
      <c r="L54" s="24"/>
      <c r="M54" s="77">
        <v>2.73</v>
      </c>
      <c r="N54" s="27">
        <f t="shared" si="7"/>
        <v>28828.799999999999</v>
      </c>
      <c r="O54" s="160">
        <v>1.84</v>
      </c>
      <c r="P54" s="28">
        <f t="shared" si="8"/>
        <v>19430.400000000001</v>
      </c>
      <c r="Q54" s="27">
        <f t="shared" si="6"/>
        <v>48259.199999999997</v>
      </c>
      <c r="R54" s="24"/>
      <c r="S54" s="21" t="s">
        <v>615</v>
      </c>
    </row>
    <row r="55" spans="1:19" ht="27.6" customHeight="1" x14ac:dyDescent="0.3">
      <c r="A55" s="25">
        <v>20</v>
      </c>
      <c r="B55" s="80" t="s">
        <v>145</v>
      </c>
      <c r="C55" s="29" t="s">
        <v>146</v>
      </c>
      <c r="D55" s="25" t="s">
        <v>127</v>
      </c>
      <c r="E55" s="25">
        <v>3</v>
      </c>
      <c r="F55" s="25" t="s">
        <v>121</v>
      </c>
      <c r="G55" s="24"/>
      <c r="H55" s="22" t="s">
        <v>128</v>
      </c>
      <c r="I55" s="23" t="s">
        <v>147</v>
      </c>
      <c r="J55" s="23" t="s">
        <v>146</v>
      </c>
      <c r="K55" s="23" t="s">
        <v>81</v>
      </c>
      <c r="L55" s="24"/>
      <c r="M55" s="77">
        <v>463.5</v>
      </c>
      <c r="N55" s="27">
        <f t="shared" si="7"/>
        <v>1390.5</v>
      </c>
      <c r="O55" s="160">
        <v>503.52</v>
      </c>
      <c r="P55" s="78">
        <f t="shared" si="8"/>
        <v>1510.56</v>
      </c>
      <c r="Q55" s="27">
        <f t="shared" si="6"/>
        <v>2901.06</v>
      </c>
      <c r="R55" s="24"/>
    </row>
    <row r="56" spans="1:19" ht="27.6" customHeight="1" x14ac:dyDescent="0.3">
      <c r="A56" s="25">
        <v>21</v>
      </c>
      <c r="B56" s="23" t="s">
        <v>148</v>
      </c>
      <c r="C56" s="26" t="s">
        <v>231</v>
      </c>
      <c r="D56" s="25" t="s">
        <v>127</v>
      </c>
      <c r="E56" s="25">
        <f>E53</f>
        <v>32</v>
      </c>
      <c r="F56" s="25" t="s">
        <v>121</v>
      </c>
      <c r="G56" s="24"/>
      <c r="H56" s="22" t="s">
        <v>128</v>
      </c>
      <c r="I56" s="24" t="s">
        <v>150</v>
      </c>
      <c r="J56" s="24" t="s">
        <v>149</v>
      </c>
      <c r="K56" s="23" t="s">
        <v>81</v>
      </c>
      <c r="L56" s="24"/>
      <c r="M56" s="77">
        <v>5.51</v>
      </c>
      <c r="N56" s="27">
        <f t="shared" si="7"/>
        <v>176.32</v>
      </c>
      <c r="O56" s="160">
        <v>23.08</v>
      </c>
      <c r="P56" s="28">
        <f t="shared" si="8"/>
        <v>738.56</v>
      </c>
      <c r="Q56" s="27">
        <f t="shared" si="6"/>
        <v>914.88</v>
      </c>
    </row>
    <row r="57" spans="1:19" ht="27.6" customHeight="1" x14ac:dyDescent="0.3">
      <c r="A57" s="25">
        <v>22</v>
      </c>
      <c r="B57" s="80" t="s">
        <v>167</v>
      </c>
      <c r="C57" s="29" t="s">
        <v>168</v>
      </c>
      <c r="D57" s="22" t="s">
        <v>169</v>
      </c>
      <c r="E57" s="25">
        <v>15000</v>
      </c>
      <c r="F57" s="25" t="s">
        <v>144</v>
      </c>
      <c r="G57" s="24"/>
      <c r="H57" s="22" t="s">
        <v>169</v>
      </c>
      <c r="I57" s="24" t="s">
        <v>170</v>
      </c>
      <c r="J57" s="24" t="s">
        <v>171</v>
      </c>
      <c r="K57" s="23" t="s">
        <v>81</v>
      </c>
      <c r="L57" s="24"/>
      <c r="M57" s="77">
        <v>9.7899999999999991</v>
      </c>
      <c r="N57" s="27">
        <f t="shared" si="7"/>
        <v>146850</v>
      </c>
      <c r="O57" s="160">
        <v>3.67</v>
      </c>
      <c r="P57" s="78">
        <f t="shared" si="8"/>
        <v>55050</v>
      </c>
      <c r="Q57" s="27">
        <f t="shared" si="6"/>
        <v>201900</v>
      </c>
    </row>
    <row r="58" spans="1:19" ht="27.6" customHeight="1" x14ac:dyDescent="0.3">
      <c r="A58" s="25">
        <v>23</v>
      </c>
      <c r="B58" s="80" t="s">
        <v>172</v>
      </c>
      <c r="C58" s="29" t="s">
        <v>173</v>
      </c>
      <c r="D58" s="22"/>
      <c r="E58" s="25">
        <v>1</v>
      </c>
      <c r="F58" s="25" t="s">
        <v>174</v>
      </c>
      <c r="G58" s="24"/>
      <c r="H58" s="22"/>
      <c r="I58" s="24"/>
      <c r="J58" s="24"/>
      <c r="K58" s="23" t="s">
        <v>81</v>
      </c>
      <c r="L58" s="24"/>
      <c r="M58" s="77">
        <v>6180</v>
      </c>
      <c r="N58" s="27">
        <f t="shared" si="7"/>
        <v>6180</v>
      </c>
      <c r="O58" s="160">
        <v>10490</v>
      </c>
      <c r="P58" s="78">
        <f t="shared" si="8"/>
        <v>10490</v>
      </c>
      <c r="Q58" s="27">
        <f t="shared" si="6"/>
        <v>16670</v>
      </c>
    </row>
    <row r="59" spans="1:19" ht="27.6" customHeight="1" x14ac:dyDescent="0.3">
      <c r="B59" s="83" t="s">
        <v>232</v>
      </c>
      <c r="C59" s="23"/>
      <c r="D59" s="22"/>
      <c r="F59" s="25"/>
      <c r="G59" s="24"/>
      <c r="H59" s="22"/>
      <c r="I59" s="24"/>
      <c r="J59" s="24"/>
      <c r="K59" s="23"/>
      <c r="L59" s="24"/>
      <c r="M59" s="24"/>
      <c r="N59" s="27">
        <f t="shared" si="7"/>
        <v>0</v>
      </c>
      <c r="O59" s="157"/>
      <c r="P59" s="28">
        <f t="shared" si="8"/>
        <v>0</v>
      </c>
      <c r="Q59" s="24"/>
    </row>
    <row r="60" spans="1:19" ht="27.6" customHeight="1" x14ac:dyDescent="0.3">
      <c r="A60" s="25">
        <v>1</v>
      </c>
      <c r="B60" s="29" t="s">
        <v>233</v>
      </c>
      <c r="C60" s="29" t="s">
        <v>234</v>
      </c>
      <c r="D60" s="22" t="s">
        <v>235</v>
      </c>
      <c r="E60" s="25">
        <v>1</v>
      </c>
      <c r="F60" s="25" t="s">
        <v>78</v>
      </c>
      <c r="G60" s="24"/>
      <c r="H60" s="22" t="s">
        <v>236</v>
      </c>
      <c r="I60" s="24" t="s">
        <v>237</v>
      </c>
      <c r="J60" s="29" t="s">
        <v>234</v>
      </c>
      <c r="K60" s="23" t="s">
        <v>81</v>
      </c>
      <c r="L60" s="24"/>
      <c r="M60" s="77">
        <v>206</v>
      </c>
      <c r="N60" s="27">
        <f t="shared" si="7"/>
        <v>206</v>
      </c>
      <c r="O60" s="160">
        <v>43112.85</v>
      </c>
      <c r="P60" s="28">
        <f t="shared" si="8"/>
        <v>43112.85</v>
      </c>
      <c r="Q60" s="27">
        <f t="shared" ref="Q60:Q62" si="9">ROUND((M60+O60)*E60,2)</f>
        <v>43318.85</v>
      </c>
    </row>
    <row r="61" spans="1:19" ht="27.6" customHeight="1" x14ac:dyDescent="0.3">
      <c r="A61" s="25">
        <v>2</v>
      </c>
      <c r="B61" s="29" t="s">
        <v>238</v>
      </c>
      <c r="C61" s="29" t="s">
        <v>239</v>
      </c>
      <c r="D61" s="22" t="s">
        <v>235</v>
      </c>
      <c r="E61" s="25">
        <v>1</v>
      </c>
      <c r="F61" s="25" t="s">
        <v>240</v>
      </c>
      <c r="G61" s="24"/>
      <c r="H61" s="22" t="s">
        <v>236</v>
      </c>
      <c r="I61" s="24" t="s">
        <v>241</v>
      </c>
      <c r="J61" s="29" t="s">
        <v>239</v>
      </c>
      <c r="K61" s="23" t="s">
        <v>81</v>
      </c>
      <c r="L61" s="24"/>
      <c r="M61" s="77">
        <v>206</v>
      </c>
      <c r="N61" s="27">
        <f t="shared" si="7"/>
        <v>206</v>
      </c>
      <c r="O61" s="160">
        <v>82766.100000000006</v>
      </c>
      <c r="P61" s="28">
        <f t="shared" si="8"/>
        <v>82766.100000000006</v>
      </c>
      <c r="Q61" s="27">
        <f t="shared" si="9"/>
        <v>82972.100000000006</v>
      </c>
    </row>
    <row r="62" spans="1:19" ht="27.6" customHeight="1" x14ac:dyDescent="0.3">
      <c r="A62" s="25">
        <v>3</v>
      </c>
      <c r="B62" s="29" t="s">
        <v>242</v>
      </c>
      <c r="C62" s="29" t="s">
        <v>243</v>
      </c>
      <c r="D62" s="22" t="s">
        <v>235</v>
      </c>
      <c r="E62" s="25">
        <v>1</v>
      </c>
      <c r="F62" s="25" t="s">
        <v>240</v>
      </c>
      <c r="G62" s="24"/>
      <c r="H62" s="22" t="s">
        <v>236</v>
      </c>
      <c r="I62" s="24" t="s">
        <v>244</v>
      </c>
      <c r="J62" s="29" t="s">
        <v>243</v>
      </c>
      <c r="K62" s="23" t="s">
        <v>81</v>
      </c>
      <c r="L62" s="24"/>
      <c r="M62" s="77">
        <v>206</v>
      </c>
      <c r="N62" s="27">
        <f t="shared" si="7"/>
        <v>206</v>
      </c>
      <c r="O62" s="160">
        <v>76459.509999999995</v>
      </c>
      <c r="P62" s="28">
        <f t="shared" si="8"/>
        <v>76459.509999999995</v>
      </c>
      <c r="Q62" s="27">
        <f t="shared" si="9"/>
        <v>76665.509999999995</v>
      </c>
    </row>
    <row r="63" spans="1:19" ht="27.6" customHeight="1" x14ac:dyDescent="0.3">
      <c r="B63" s="83" t="s">
        <v>245</v>
      </c>
      <c r="C63" s="23"/>
      <c r="D63" s="22"/>
      <c r="E63" s="24"/>
      <c r="F63" s="22"/>
      <c r="G63" s="24"/>
      <c r="H63" s="22"/>
      <c r="I63" s="24"/>
      <c r="J63" s="29"/>
      <c r="K63" s="23"/>
      <c r="L63" s="24"/>
      <c r="M63" s="24"/>
      <c r="N63" s="27">
        <f t="shared" si="7"/>
        <v>0</v>
      </c>
      <c r="O63" s="157"/>
      <c r="P63" s="28">
        <f t="shared" si="8"/>
        <v>0</v>
      </c>
      <c r="Q63" s="24"/>
    </row>
    <row r="64" spans="1:19" ht="27.6" customHeight="1" x14ac:dyDescent="0.3">
      <c r="A64" s="25">
        <v>1</v>
      </c>
      <c r="B64" s="29" t="s">
        <v>246</v>
      </c>
      <c r="C64" s="29" t="s">
        <v>247</v>
      </c>
      <c r="D64" s="22" t="s">
        <v>248</v>
      </c>
      <c r="E64" s="25">
        <v>15</v>
      </c>
      <c r="F64" s="25" t="s">
        <v>78</v>
      </c>
      <c r="G64" s="24"/>
      <c r="H64" s="22" t="s">
        <v>179</v>
      </c>
      <c r="I64" s="24" t="s">
        <v>249</v>
      </c>
      <c r="J64" s="23" t="s">
        <v>250</v>
      </c>
      <c r="K64" s="23" t="s">
        <v>81</v>
      </c>
      <c r="L64" s="24"/>
      <c r="M64" s="77">
        <v>87.55</v>
      </c>
      <c r="N64" s="27">
        <f t="shared" si="7"/>
        <v>1313.25</v>
      </c>
      <c r="O64" s="160">
        <v>2042.4</v>
      </c>
      <c r="P64" s="28">
        <f t="shared" si="8"/>
        <v>30636</v>
      </c>
      <c r="Q64" s="27">
        <f t="shared" ref="Q64:Q67" si="10">ROUND((M64+O64)*E64,2)</f>
        <v>31949.25</v>
      </c>
    </row>
    <row r="65" spans="1:17" ht="27.6" customHeight="1" x14ac:dyDescent="0.3">
      <c r="A65" s="25">
        <v>2</v>
      </c>
      <c r="B65" s="29" t="s">
        <v>251</v>
      </c>
      <c r="C65" s="29" t="s">
        <v>252</v>
      </c>
      <c r="D65" s="22" t="s">
        <v>248</v>
      </c>
      <c r="E65" s="25">
        <v>50</v>
      </c>
      <c r="F65" s="25" t="s">
        <v>78</v>
      </c>
      <c r="G65" s="24"/>
      <c r="H65" s="22" t="s">
        <v>179</v>
      </c>
      <c r="I65" s="24" t="s">
        <v>253</v>
      </c>
      <c r="J65" s="23" t="s">
        <v>254</v>
      </c>
      <c r="K65" s="23" t="s">
        <v>81</v>
      </c>
      <c r="L65" s="24"/>
      <c r="M65" s="77">
        <v>21.63</v>
      </c>
      <c r="N65" s="27">
        <f t="shared" si="7"/>
        <v>1081.5</v>
      </c>
      <c r="O65" s="160">
        <v>5.25</v>
      </c>
      <c r="P65" s="28">
        <f t="shared" si="8"/>
        <v>262.5</v>
      </c>
      <c r="Q65" s="27">
        <f t="shared" si="10"/>
        <v>1344</v>
      </c>
    </row>
    <row r="66" spans="1:17" ht="27.6" customHeight="1" x14ac:dyDescent="0.3">
      <c r="A66" s="25">
        <v>3</v>
      </c>
      <c r="B66" s="29" t="s">
        <v>255</v>
      </c>
      <c r="C66" s="29" t="s">
        <v>256</v>
      </c>
      <c r="D66" s="22" t="s">
        <v>248</v>
      </c>
      <c r="E66" s="25">
        <v>1</v>
      </c>
      <c r="F66" s="25" t="s">
        <v>78</v>
      </c>
      <c r="G66" s="24"/>
      <c r="H66" s="22" t="s">
        <v>179</v>
      </c>
      <c r="I66" s="24" t="s">
        <v>257</v>
      </c>
      <c r="J66" s="23" t="s">
        <v>258</v>
      </c>
      <c r="K66" s="23" t="s">
        <v>81</v>
      </c>
      <c r="L66" s="24"/>
      <c r="M66" s="77">
        <v>87.55</v>
      </c>
      <c r="N66" s="27">
        <f t="shared" si="7"/>
        <v>87.55</v>
      </c>
      <c r="O66" s="160">
        <v>604.22</v>
      </c>
      <c r="P66" s="78">
        <f t="shared" si="8"/>
        <v>604.22</v>
      </c>
      <c r="Q66" s="27">
        <f t="shared" si="10"/>
        <v>691.77</v>
      </c>
    </row>
    <row r="67" spans="1:17" ht="27.6" customHeight="1" x14ac:dyDescent="0.3">
      <c r="A67" s="25">
        <v>4</v>
      </c>
      <c r="B67" s="29" t="s">
        <v>259</v>
      </c>
      <c r="C67" s="29" t="s">
        <v>260</v>
      </c>
      <c r="D67" s="22" t="s">
        <v>248</v>
      </c>
      <c r="E67" s="25">
        <v>1</v>
      </c>
      <c r="F67" s="25" t="s">
        <v>240</v>
      </c>
      <c r="G67" s="24"/>
      <c r="H67" s="22" t="s">
        <v>179</v>
      </c>
      <c r="I67" s="24" t="s">
        <v>259</v>
      </c>
      <c r="J67" s="23" t="s">
        <v>260</v>
      </c>
      <c r="K67" s="23" t="s">
        <v>81</v>
      </c>
      <c r="L67" s="24"/>
      <c r="M67" s="77">
        <v>216.3</v>
      </c>
      <c r="N67" s="27">
        <f t="shared" si="7"/>
        <v>216.3</v>
      </c>
      <c r="O67" s="160">
        <v>5245</v>
      </c>
      <c r="P67" s="78">
        <f t="shared" si="8"/>
        <v>5245</v>
      </c>
      <c r="Q67" s="27">
        <f t="shared" si="10"/>
        <v>5461.3</v>
      </c>
    </row>
    <row r="68" spans="1:17" ht="27.6" customHeight="1" x14ac:dyDescent="0.3">
      <c r="B68" s="83" t="s">
        <v>261</v>
      </c>
      <c r="C68" s="23"/>
      <c r="D68" s="22"/>
      <c r="E68" s="24"/>
      <c r="F68" s="22"/>
      <c r="G68" s="24"/>
      <c r="H68" s="22"/>
      <c r="I68" s="24"/>
      <c r="J68" s="23"/>
      <c r="K68" s="23"/>
      <c r="L68" s="24"/>
      <c r="M68" s="24"/>
      <c r="N68" s="27">
        <f t="shared" si="7"/>
        <v>0</v>
      </c>
      <c r="O68" s="157"/>
      <c r="P68" s="28">
        <f t="shared" si="8"/>
        <v>0</v>
      </c>
      <c r="Q68" s="24"/>
    </row>
    <row r="69" spans="1:17" ht="27.6" customHeight="1" x14ac:dyDescent="0.3">
      <c r="A69" s="25">
        <v>1</v>
      </c>
      <c r="B69" s="29" t="s">
        <v>262</v>
      </c>
      <c r="C69" s="29" t="s">
        <v>263</v>
      </c>
      <c r="D69" s="22" t="s">
        <v>264</v>
      </c>
      <c r="E69" s="25">
        <v>22000</v>
      </c>
      <c r="F69" s="25" t="s">
        <v>144</v>
      </c>
      <c r="G69" s="24"/>
      <c r="H69" s="22" t="s">
        <v>179</v>
      </c>
      <c r="I69" s="24" t="s">
        <v>265</v>
      </c>
      <c r="J69" s="23" t="s">
        <v>266</v>
      </c>
      <c r="K69" s="23" t="s">
        <v>81</v>
      </c>
      <c r="L69" s="24"/>
      <c r="M69" s="77">
        <v>2.73</v>
      </c>
      <c r="N69" s="27">
        <f t="shared" si="7"/>
        <v>60060</v>
      </c>
      <c r="O69" s="160">
        <v>2.84</v>
      </c>
      <c r="P69" s="78">
        <f t="shared" si="8"/>
        <v>62480</v>
      </c>
      <c r="Q69" s="27">
        <f t="shared" ref="Q69:Q78" si="11">ROUND((M69+O69)*E69,2)</f>
        <v>122540</v>
      </c>
    </row>
    <row r="70" spans="1:17" ht="27.6" customHeight="1" x14ac:dyDescent="0.3">
      <c r="A70" s="25">
        <v>2</v>
      </c>
      <c r="B70" s="29" t="s">
        <v>267</v>
      </c>
      <c r="C70" s="29" t="s">
        <v>268</v>
      </c>
      <c r="D70" s="22" t="s">
        <v>264</v>
      </c>
      <c r="E70" s="25">
        <v>1</v>
      </c>
      <c r="F70" s="25" t="s">
        <v>78</v>
      </c>
      <c r="G70" s="24"/>
      <c r="H70" s="22" t="s">
        <v>179</v>
      </c>
      <c r="I70" s="24" t="s">
        <v>269</v>
      </c>
      <c r="J70" s="23" t="s">
        <v>270</v>
      </c>
      <c r="K70" s="23" t="s">
        <v>81</v>
      </c>
      <c r="L70" s="24"/>
      <c r="M70" s="77">
        <v>412</v>
      </c>
      <c r="N70" s="27">
        <f t="shared" si="7"/>
        <v>412</v>
      </c>
      <c r="O70" s="160">
        <v>248613</v>
      </c>
      <c r="P70" s="28">
        <f t="shared" si="8"/>
        <v>248613</v>
      </c>
      <c r="Q70" s="27">
        <f t="shared" si="11"/>
        <v>249025</v>
      </c>
    </row>
    <row r="71" spans="1:17" ht="27.6" customHeight="1" x14ac:dyDescent="0.3">
      <c r="A71" s="25">
        <v>3</v>
      </c>
      <c r="B71" s="29" t="s">
        <v>271</v>
      </c>
      <c r="C71" s="29" t="s">
        <v>272</v>
      </c>
      <c r="D71" s="22" t="s">
        <v>264</v>
      </c>
      <c r="E71" s="25">
        <v>323</v>
      </c>
      <c r="F71" s="25" t="s">
        <v>273</v>
      </c>
      <c r="G71" s="84"/>
      <c r="H71" s="22" t="s">
        <v>179</v>
      </c>
      <c r="I71" s="24" t="s">
        <v>274</v>
      </c>
      <c r="J71" s="23" t="s">
        <v>275</v>
      </c>
      <c r="K71" s="23" t="s">
        <v>81</v>
      </c>
      <c r="L71" s="24"/>
      <c r="M71" s="77">
        <v>113.3</v>
      </c>
      <c r="N71" s="27">
        <f t="shared" ref="N71:N112" si="12">E71*M71</f>
        <v>36595.9</v>
      </c>
      <c r="O71" s="160">
        <v>44.06</v>
      </c>
      <c r="P71" s="78">
        <f t="shared" ref="P71:P112" si="13">E71*O71</f>
        <v>14231.380000000001</v>
      </c>
      <c r="Q71" s="27">
        <f t="shared" si="11"/>
        <v>50827.28</v>
      </c>
    </row>
    <row r="72" spans="1:17" ht="27.6" customHeight="1" x14ac:dyDescent="0.3">
      <c r="A72" s="25">
        <v>4</v>
      </c>
      <c r="B72" s="29" t="s">
        <v>276</v>
      </c>
      <c r="C72" s="29" t="s">
        <v>277</v>
      </c>
      <c r="D72" s="22" t="s">
        <v>264</v>
      </c>
      <c r="E72" s="25">
        <v>9</v>
      </c>
      <c r="F72" s="25" t="s">
        <v>278</v>
      </c>
      <c r="G72" s="84"/>
      <c r="H72" s="22" t="s">
        <v>179</v>
      </c>
      <c r="I72" s="23" t="s">
        <v>279</v>
      </c>
      <c r="J72" s="23" t="s">
        <v>280</v>
      </c>
      <c r="K72" s="23" t="s">
        <v>81</v>
      </c>
      <c r="L72" s="24"/>
      <c r="M72" s="77">
        <v>131.84</v>
      </c>
      <c r="N72" s="27">
        <f t="shared" si="12"/>
        <v>1186.56</v>
      </c>
      <c r="O72" s="160">
        <v>163.63999999999999</v>
      </c>
      <c r="P72" s="78">
        <f t="shared" si="13"/>
        <v>1472.7599999999998</v>
      </c>
      <c r="Q72" s="27">
        <f t="shared" si="11"/>
        <v>2659.32</v>
      </c>
    </row>
    <row r="73" spans="1:17" ht="27.6" customHeight="1" x14ac:dyDescent="0.3">
      <c r="A73" s="25">
        <v>5</v>
      </c>
      <c r="B73" s="29" t="s">
        <v>281</v>
      </c>
      <c r="C73" s="29" t="s">
        <v>282</v>
      </c>
      <c r="D73" s="22" t="s">
        <v>264</v>
      </c>
      <c r="E73" s="25">
        <v>8800</v>
      </c>
      <c r="F73" s="25" t="s">
        <v>283</v>
      </c>
      <c r="G73" s="24"/>
      <c r="H73" s="22" t="s">
        <v>179</v>
      </c>
      <c r="I73" s="24" t="s">
        <v>284</v>
      </c>
      <c r="J73" s="23" t="s">
        <v>282</v>
      </c>
      <c r="K73" s="23" t="s">
        <v>81</v>
      </c>
      <c r="L73" s="24"/>
      <c r="M73" s="77">
        <v>8.76</v>
      </c>
      <c r="N73" s="27">
        <f t="shared" si="12"/>
        <v>77088</v>
      </c>
      <c r="O73" s="160">
        <v>8.39</v>
      </c>
      <c r="P73" s="78">
        <f t="shared" si="13"/>
        <v>73832</v>
      </c>
      <c r="Q73" s="27">
        <f t="shared" si="11"/>
        <v>150920</v>
      </c>
    </row>
    <row r="74" spans="1:17" ht="27.6" customHeight="1" x14ac:dyDescent="0.3">
      <c r="A74" s="85">
        <v>6</v>
      </c>
      <c r="B74" s="86" t="s">
        <v>285</v>
      </c>
      <c r="C74" s="86" t="s">
        <v>286</v>
      </c>
      <c r="D74" s="87" t="s">
        <v>264</v>
      </c>
      <c r="E74" s="85">
        <v>1</v>
      </c>
      <c r="F74" s="85" t="s">
        <v>78</v>
      </c>
      <c r="G74" s="24"/>
      <c r="H74" s="22" t="s">
        <v>179</v>
      </c>
      <c r="I74" s="24" t="s">
        <v>287</v>
      </c>
      <c r="J74" s="23" t="s">
        <v>288</v>
      </c>
      <c r="K74" s="23" t="s">
        <v>81</v>
      </c>
      <c r="L74" s="24"/>
      <c r="M74" s="77">
        <v>216.3</v>
      </c>
      <c r="N74" s="27">
        <f t="shared" si="12"/>
        <v>216.3</v>
      </c>
      <c r="O74" s="160">
        <v>8077.3</v>
      </c>
      <c r="P74" s="28">
        <f t="shared" si="13"/>
        <v>8077.3</v>
      </c>
      <c r="Q74" s="27">
        <f t="shared" si="11"/>
        <v>8293.6</v>
      </c>
    </row>
    <row r="75" spans="1:17" ht="27.6" customHeight="1" x14ac:dyDescent="0.3">
      <c r="A75" s="25">
        <v>7</v>
      </c>
      <c r="B75" s="29" t="s">
        <v>289</v>
      </c>
      <c r="C75" s="29" t="s">
        <v>290</v>
      </c>
      <c r="D75" s="22" t="s">
        <v>264</v>
      </c>
      <c r="E75" s="85">
        <v>1</v>
      </c>
      <c r="F75" s="85" t="s">
        <v>240</v>
      </c>
      <c r="G75" s="24"/>
      <c r="H75" s="22" t="s">
        <v>179</v>
      </c>
      <c r="I75" s="24" t="s">
        <v>289</v>
      </c>
      <c r="J75" s="23" t="s">
        <v>290</v>
      </c>
      <c r="K75" s="23" t="s">
        <v>81</v>
      </c>
      <c r="L75" s="24"/>
      <c r="M75" s="77">
        <v>0</v>
      </c>
      <c r="N75" s="27">
        <f t="shared" si="12"/>
        <v>0</v>
      </c>
      <c r="O75" s="160">
        <v>5245</v>
      </c>
      <c r="P75" s="28">
        <f t="shared" si="13"/>
        <v>5245</v>
      </c>
      <c r="Q75" s="27">
        <f t="shared" si="11"/>
        <v>5245</v>
      </c>
    </row>
    <row r="76" spans="1:17" ht="27.6" customHeight="1" x14ac:dyDescent="0.3">
      <c r="A76" s="25">
        <v>8</v>
      </c>
      <c r="B76" s="29" t="s">
        <v>291</v>
      </c>
      <c r="C76" s="29" t="s">
        <v>292</v>
      </c>
      <c r="D76" s="87" t="s">
        <v>264</v>
      </c>
      <c r="E76" s="85">
        <v>1</v>
      </c>
      <c r="F76" s="85" t="s">
        <v>240</v>
      </c>
      <c r="G76" s="24"/>
      <c r="H76" s="22" t="s">
        <v>179</v>
      </c>
      <c r="I76" s="24" t="s">
        <v>291</v>
      </c>
      <c r="J76" s="23" t="s">
        <v>292</v>
      </c>
      <c r="K76" s="23" t="s">
        <v>81</v>
      </c>
      <c r="L76" s="24"/>
      <c r="M76" s="77">
        <v>0</v>
      </c>
      <c r="N76" s="27">
        <f t="shared" si="12"/>
        <v>0</v>
      </c>
      <c r="O76" s="160">
        <v>5245</v>
      </c>
      <c r="P76" s="28">
        <f t="shared" si="13"/>
        <v>5245</v>
      </c>
      <c r="Q76" s="27">
        <f t="shared" si="11"/>
        <v>5245</v>
      </c>
    </row>
    <row r="77" spans="1:17" ht="27.6" customHeight="1" x14ac:dyDescent="0.3">
      <c r="A77" s="25">
        <v>7</v>
      </c>
      <c r="B77" s="29" t="s">
        <v>293</v>
      </c>
      <c r="C77" s="29" t="s">
        <v>294</v>
      </c>
      <c r="D77" s="22"/>
      <c r="E77" s="25">
        <v>3500</v>
      </c>
      <c r="F77" s="25" t="s">
        <v>144</v>
      </c>
      <c r="G77" s="24"/>
      <c r="H77" s="22"/>
      <c r="I77" s="29" t="s">
        <v>293</v>
      </c>
      <c r="J77" s="29" t="s">
        <v>294</v>
      </c>
      <c r="K77" s="23" t="s">
        <v>81</v>
      </c>
      <c r="L77" s="24"/>
      <c r="M77" s="77">
        <v>41.2</v>
      </c>
      <c r="N77" s="27">
        <f t="shared" si="12"/>
        <v>144200</v>
      </c>
      <c r="O77" s="160">
        <v>0</v>
      </c>
      <c r="P77" s="28">
        <f t="shared" si="13"/>
        <v>0</v>
      </c>
      <c r="Q77" s="27">
        <f t="shared" si="11"/>
        <v>144200</v>
      </c>
    </row>
    <row r="78" spans="1:17" ht="27.6" customHeight="1" x14ac:dyDescent="0.3">
      <c r="A78" s="25">
        <v>8</v>
      </c>
      <c r="B78" s="26" t="s">
        <v>295</v>
      </c>
      <c r="C78" s="26" t="s">
        <v>295</v>
      </c>
      <c r="D78" s="22"/>
      <c r="E78" s="25">
        <v>2000</v>
      </c>
      <c r="F78" s="25" t="s">
        <v>296</v>
      </c>
      <c r="G78" s="24"/>
      <c r="H78" s="22"/>
      <c r="I78" s="26" t="s">
        <v>295</v>
      </c>
      <c r="J78" s="26" t="s">
        <v>295</v>
      </c>
      <c r="K78" s="23" t="s">
        <v>81</v>
      </c>
      <c r="L78" s="24"/>
      <c r="M78" s="77">
        <v>32.96</v>
      </c>
      <c r="N78" s="27">
        <f t="shared" si="12"/>
        <v>65920</v>
      </c>
      <c r="O78" s="160">
        <v>26.23</v>
      </c>
      <c r="P78" s="28">
        <f t="shared" si="13"/>
        <v>52460</v>
      </c>
      <c r="Q78" s="27">
        <f t="shared" si="11"/>
        <v>118380</v>
      </c>
    </row>
    <row r="79" spans="1:17" ht="27.6" customHeight="1" x14ac:dyDescent="0.3">
      <c r="B79" s="83" t="s">
        <v>297</v>
      </c>
      <c r="C79" s="88"/>
      <c r="D79" s="89"/>
      <c r="E79" s="90"/>
      <c r="F79" s="89"/>
      <c r="G79" s="24"/>
      <c r="H79" s="22"/>
      <c r="I79" s="24"/>
      <c r="J79" s="24"/>
      <c r="K79" s="23"/>
      <c r="L79" s="24"/>
      <c r="M79" s="24"/>
      <c r="N79" s="27">
        <f t="shared" si="12"/>
        <v>0</v>
      </c>
      <c r="O79" s="157"/>
      <c r="P79" s="28">
        <f t="shared" si="13"/>
        <v>0</v>
      </c>
      <c r="Q79" s="24"/>
    </row>
    <row r="80" spans="1:17" ht="27.6" customHeight="1" x14ac:dyDescent="0.3">
      <c r="A80" s="25">
        <v>1</v>
      </c>
      <c r="B80" s="29" t="s">
        <v>298</v>
      </c>
      <c r="C80" s="29" t="s">
        <v>299</v>
      </c>
      <c r="D80" s="22" t="s">
        <v>264</v>
      </c>
      <c r="E80" s="25">
        <v>11</v>
      </c>
      <c r="F80" s="25" t="s">
        <v>134</v>
      </c>
      <c r="G80" s="24"/>
      <c r="H80" s="22" t="s">
        <v>179</v>
      </c>
      <c r="I80" s="24" t="s">
        <v>300</v>
      </c>
      <c r="J80" s="23" t="s">
        <v>301</v>
      </c>
      <c r="K80" s="23" t="s">
        <v>81</v>
      </c>
      <c r="L80" s="24"/>
      <c r="M80" s="77">
        <v>164.8</v>
      </c>
      <c r="N80" s="27">
        <f t="shared" si="12"/>
        <v>1812.8000000000002</v>
      </c>
      <c r="O80" s="160">
        <v>650.38</v>
      </c>
      <c r="P80" s="28">
        <f t="shared" si="13"/>
        <v>7154.18</v>
      </c>
      <c r="Q80" s="27">
        <f t="shared" ref="Q80:Q90" si="14">ROUND((M80+O80)*E80,2)</f>
        <v>8966.98</v>
      </c>
    </row>
    <row r="81" spans="1:17" ht="27.6" customHeight="1" x14ac:dyDescent="0.3">
      <c r="A81" s="25">
        <v>2</v>
      </c>
      <c r="B81" s="29" t="s">
        <v>302</v>
      </c>
      <c r="C81" s="29" t="s">
        <v>303</v>
      </c>
      <c r="D81" s="22" t="s">
        <v>264</v>
      </c>
      <c r="E81" s="25">
        <v>6</v>
      </c>
      <c r="F81" s="25" t="s">
        <v>78</v>
      </c>
      <c r="G81" s="24"/>
      <c r="H81" s="22" t="s">
        <v>179</v>
      </c>
      <c r="I81" s="24" t="s">
        <v>304</v>
      </c>
      <c r="J81" s="23" t="s">
        <v>305</v>
      </c>
      <c r="K81" s="23" t="s">
        <v>81</v>
      </c>
      <c r="L81" s="24"/>
      <c r="M81" s="77">
        <v>164.8</v>
      </c>
      <c r="N81" s="27">
        <f t="shared" si="12"/>
        <v>988.80000000000007</v>
      </c>
      <c r="O81" s="160">
        <v>514.01</v>
      </c>
      <c r="P81" s="28">
        <f t="shared" si="13"/>
        <v>3084.06</v>
      </c>
      <c r="Q81" s="27">
        <f t="shared" si="14"/>
        <v>4072.86</v>
      </c>
    </row>
    <row r="82" spans="1:17" ht="27.6" customHeight="1" x14ac:dyDescent="0.3">
      <c r="A82" s="25">
        <v>3</v>
      </c>
      <c r="B82" s="29" t="s">
        <v>306</v>
      </c>
      <c r="C82" s="29" t="s">
        <v>307</v>
      </c>
      <c r="D82" s="22" t="s">
        <v>264</v>
      </c>
      <c r="E82" s="25">
        <v>1</v>
      </c>
      <c r="F82" s="25" t="s">
        <v>78</v>
      </c>
      <c r="G82" s="24"/>
      <c r="H82" s="22" t="s">
        <v>179</v>
      </c>
      <c r="I82" s="24" t="s">
        <v>308</v>
      </c>
      <c r="J82" s="23" t="s">
        <v>309</v>
      </c>
      <c r="K82" s="23" t="s">
        <v>81</v>
      </c>
      <c r="L82" s="24"/>
      <c r="M82" s="77">
        <v>131.84</v>
      </c>
      <c r="N82" s="27">
        <f t="shared" si="12"/>
        <v>131.84</v>
      </c>
      <c r="O82" s="160">
        <v>1678.4</v>
      </c>
      <c r="P82" s="28">
        <f t="shared" si="13"/>
        <v>1678.4</v>
      </c>
      <c r="Q82" s="27">
        <f t="shared" si="14"/>
        <v>1810.24</v>
      </c>
    </row>
    <row r="83" spans="1:17" ht="27.6" customHeight="1" x14ac:dyDescent="0.3">
      <c r="A83" s="25">
        <v>4</v>
      </c>
      <c r="B83" s="29" t="s">
        <v>310</v>
      </c>
      <c r="C83" s="29" t="s">
        <v>311</v>
      </c>
      <c r="D83" s="22" t="s">
        <v>264</v>
      </c>
      <c r="E83" s="25">
        <v>1</v>
      </c>
      <c r="F83" s="25" t="s">
        <v>78</v>
      </c>
      <c r="G83" s="24"/>
      <c r="H83" s="22" t="s">
        <v>179</v>
      </c>
      <c r="I83" s="24" t="s">
        <v>312</v>
      </c>
      <c r="J83" s="23" t="s">
        <v>313</v>
      </c>
      <c r="K83" s="23" t="s">
        <v>81</v>
      </c>
      <c r="L83" s="24"/>
      <c r="M83" s="77">
        <v>56.65</v>
      </c>
      <c r="N83" s="27">
        <f t="shared" si="12"/>
        <v>56.65</v>
      </c>
      <c r="O83" s="160">
        <v>225.54</v>
      </c>
      <c r="P83" s="28">
        <f t="shared" si="13"/>
        <v>225.54</v>
      </c>
      <c r="Q83" s="27">
        <f t="shared" si="14"/>
        <v>282.19</v>
      </c>
    </row>
    <row r="84" spans="1:17" ht="27.6" customHeight="1" x14ac:dyDescent="0.3">
      <c r="A84" s="25">
        <v>5</v>
      </c>
      <c r="B84" s="29" t="s">
        <v>314</v>
      </c>
      <c r="C84" s="29" t="s">
        <v>315</v>
      </c>
      <c r="D84" s="22" t="s">
        <v>264</v>
      </c>
      <c r="E84" s="25">
        <v>1</v>
      </c>
      <c r="F84" s="25" t="s">
        <v>78</v>
      </c>
      <c r="G84" s="24"/>
      <c r="H84" s="22" t="s">
        <v>179</v>
      </c>
      <c r="I84" s="24" t="s">
        <v>316</v>
      </c>
      <c r="J84" s="23" t="s">
        <v>317</v>
      </c>
      <c r="K84" s="23" t="s">
        <v>81</v>
      </c>
      <c r="L84" s="24"/>
      <c r="M84" s="77">
        <v>412</v>
      </c>
      <c r="N84" s="27">
        <f t="shared" si="12"/>
        <v>412</v>
      </c>
      <c r="O84" s="160">
        <v>79.72</v>
      </c>
      <c r="P84" s="28">
        <f t="shared" si="13"/>
        <v>79.72</v>
      </c>
      <c r="Q84" s="27">
        <f t="shared" si="14"/>
        <v>491.72</v>
      </c>
    </row>
    <row r="85" spans="1:17" ht="27.6" customHeight="1" x14ac:dyDescent="0.3">
      <c r="A85" s="25">
        <v>6</v>
      </c>
      <c r="B85" s="29" t="s">
        <v>318</v>
      </c>
      <c r="C85" s="29" t="s">
        <v>319</v>
      </c>
      <c r="D85" s="22" t="s">
        <v>264</v>
      </c>
      <c r="E85" s="25">
        <v>1</v>
      </c>
      <c r="F85" s="25" t="s">
        <v>121</v>
      </c>
      <c r="G85" s="24"/>
      <c r="H85" s="22" t="s">
        <v>179</v>
      </c>
      <c r="I85" s="24" t="s">
        <v>320</v>
      </c>
      <c r="J85" s="23" t="s">
        <v>321</v>
      </c>
      <c r="K85" s="23" t="s">
        <v>81</v>
      </c>
      <c r="L85" s="24"/>
      <c r="M85" s="77">
        <v>32.96</v>
      </c>
      <c r="N85" s="27">
        <f t="shared" si="12"/>
        <v>32.96</v>
      </c>
      <c r="O85" s="160">
        <v>47.21</v>
      </c>
      <c r="P85" s="28">
        <f t="shared" si="13"/>
        <v>47.21</v>
      </c>
      <c r="Q85" s="27">
        <f t="shared" si="14"/>
        <v>80.17</v>
      </c>
    </row>
    <row r="86" spans="1:17" ht="27.6" customHeight="1" x14ac:dyDescent="0.3">
      <c r="A86" s="25">
        <v>7</v>
      </c>
      <c r="B86" s="29" t="s">
        <v>322</v>
      </c>
      <c r="C86" s="29" t="s">
        <v>323</v>
      </c>
      <c r="D86" s="22" t="s">
        <v>264</v>
      </c>
      <c r="E86" s="25">
        <v>11</v>
      </c>
      <c r="F86" s="25" t="s">
        <v>78</v>
      </c>
      <c r="G86" s="24"/>
      <c r="H86" s="22" t="s">
        <v>179</v>
      </c>
      <c r="I86" s="24" t="s">
        <v>324</v>
      </c>
      <c r="J86" s="23" t="s">
        <v>325</v>
      </c>
      <c r="K86" s="23" t="s">
        <v>81</v>
      </c>
      <c r="L86" s="24"/>
      <c r="M86" s="77">
        <v>21.63</v>
      </c>
      <c r="N86" s="27">
        <f t="shared" si="12"/>
        <v>237.92999999999998</v>
      </c>
      <c r="O86" s="160">
        <v>89.17</v>
      </c>
      <c r="P86" s="28">
        <f t="shared" si="13"/>
        <v>980.87</v>
      </c>
      <c r="Q86" s="27">
        <f t="shared" si="14"/>
        <v>1218.8</v>
      </c>
    </row>
    <row r="87" spans="1:17" ht="27.6" customHeight="1" x14ac:dyDescent="0.3">
      <c r="A87" s="25">
        <v>8</v>
      </c>
      <c r="B87" s="29" t="s">
        <v>326</v>
      </c>
      <c r="C87" s="29" t="s">
        <v>327</v>
      </c>
      <c r="D87" s="22" t="s">
        <v>264</v>
      </c>
      <c r="E87" s="25">
        <v>1</v>
      </c>
      <c r="F87" s="25" t="s">
        <v>78</v>
      </c>
      <c r="G87" s="24"/>
      <c r="H87" s="22" t="s">
        <v>179</v>
      </c>
      <c r="I87" s="24" t="s">
        <v>326</v>
      </c>
      <c r="J87" s="23" t="s">
        <v>327</v>
      </c>
      <c r="K87" s="23" t="s">
        <v>81</v>
      </c>
      <c r="L87" s="24"/>
      <c r="M87" s="77">
        <v>0</v>
      </c>
      <c r="N87" s="27">
        <f t="shared" si="12"/>
        <v>0</v>
      </c>
      <c r="O87" s="160">
        <v>1049</v>
      </c>
      <c r="P87" s="28">
        <f t="shared" si="13"/>
        <v>1049</v>
      </c>
      <c r="Q87" s="27">
        <f t="shared" si="14"/>
        <v>1049</v>
      </c>
    </row>
    <row r="88" spans="1:17" ht="27.6" customHeight="1" x14ac:dyDescent="0.3">
      <c r="A88" s="25">
        <v>9</v>
      </c>
      <c r="B88" s="29" t="s">
        <v>158</v>
      </c>
      <c r="C88" s="29" t="s">
        <v>328</v>
      </c>
      <c r="D88" s="25" t="s">
        <v>127</v>
      </c>
      <c r="E88" s="25">
        <v>2400</v>
      </c>
      <c r="F88" s="25" t="s">
        <v>144</v>
      </c>
      <c r="G88" s="24"/>
      <c r="H88" s="22" t="s">
        <v>128</v>
      </c>
      <c r="I88" s="24" t="s">
        <v>329</v>
      </c>
      <c r="J88" s="29" t="s">
        <v>328</v>
      </c>
      <c r="K88" s="23" t="s">
        <v>81</v>
      </c>
      <c r="L88" s="24"/>
      <c r="M88" s="77">
        <v>2.16</v>
      </c>
      <c r="N88" s="27">
        <f t="shared" si="12"/>
        <v>5184</v>
      </c>
      <c r="O88" s="160">
        <v>4.41</v>
      </c>
      <c r="P88" s="78">
        <f t="shared" si="13"/>
        <v>10584</v>
      </c>
      <c r="Q88" s="27">
        <f t="shared" si="14"/>
        <v>15768</v>
      </c>
    </row>
    <row r="89" spans="1:17" ht="27.6" customHeight="1" x14ac:dyDescent="0.3">
      <c r="A89" s="25">
        <v>10</v>
      </c>
      <c r="B89" s="29" t="s">
        <v>158</v>
      </c>
      <c r="C89" s="29" t="s">
        <v>330</v>
      </c>
      <c r="D89" s="25" t="s">
        <v>127</v>
      </c>
      <c r="E89" s="25">
        <v>200</v>
      </c>
      <c r="F89" s="25" t="s">
        <v>144</v>
      </c>
      <c r="G89" s="24"/>
      <c r="H89" s="22" t="s">
        <v>128</v>
      </c>
      <c r="I89" s="24" t="s">
        <v>331</v>
      </c>
      <c r="J89" s="29" t="s">
        <v>330</v>
      </c>
      <c r="K89" s="23" t="s">
        <v>81</v>
      </c>
      <c r="L89" s="24"/>
      <c r="M89" s="77">
        <v>2.37</v>
      </c>
      <c r="N89" s="27">
        <f t="shared" si="12"/>
        <v>474</v>
      </c>
      <c r="O89" s="160">
        <v>4.5599999999999996</v>
      </c>
      <c r="P89" s="28">
        <f t="shared" si="13"/>
        <v>911.99999999999989</v>
      </c>
      <c r="Q89" s="27">
        <f t="shared" si="14"/>
        <v>1386</v>
      </c>
    </row>
    <row r="90" spans="1:17" ht="27.6" customHeight="1" x14ac:dyDescent="0.3">
      <c r="A90" s="25">
        <v>11</v>
      </c>
      <c r="B90" s="80" t="s">
        <v>167</v>
      </c>
      <c r="C90" s="29" t="s">
        <v>168</v>
      </c>
      <c r="D90" s="22" t="s">
        <v>169</v>
      </c>
      <c r="E90" s="25">
        <v>1000</v>
      </c>
      <c r="F90" s="25" t="s">
        <v>144</v>
      </c>
      <c r="G90" s="24"/>
      <c r="H90" s="22" t="s">
        <v>169</v>
      </c>
      <c r="I90" s="24" t="s">
        <v>170</v>
      </c>
      <c r="J90" s="23" t="s">
        <v>171</v>
      </c>
      <c r="K90" s="23" t="s">
        <v>81</v>
      </c>
      <c r="L90" s="24"/>
      <c r="M90" s="77">
        <v>9.7899999999999991</v>
      </c>
      <c r="N90" s="27">
        <f t="shared" si="12"/>
        <v>9790</v>
      </c>
      <c r="O90" s="160">
        <v>3.67</v>
      </c>
      <c r="P90" s="78">
        <f t="shared" si="13"/>
        <v>3670</v>
      </c>
      <c r="Q90" s="27">
        <f t="shared" si="14"/>
        <v>13460</v>
      </c>
    </row>
    <row r="91" spans="1:17" ht="27.6" customHeight="1" x14ac:dyDescent="0.3">
      <c r="B91" s="83" t="s">
        <v>332</v>
      </c>
      <c r="C91" s="23"/>
      <c r="D91" s="22"/>
      <c r="E91" s="24"/>
      <c r="F91" s="22"/>
      <c r="G91" s="24"/>
      <c r="H91" s="22"/>
      <c r="I91" s="24"/>
      <c r="J91" s="23"/>
      <c r="K91" s="23"/>
      <c r="L91" s="24"/>
      <c r="M91" s="24"/>
      <c r="N91" s="27">
        <f t="shared" si="12"/>
        <v>0</v>
      </c>
      <c r="O91" s="157"/>
      <c r="P91" s="28">
        <f t="shared" si="13"/>
        <v>0</v>
      </c>
      <c r="Q91" s="24"/>
    </row>
    <row r="92" spans="1:17" ht="27.6" customHeight="1" x14ac:dyDescent="0.3">
      <c r="A92" s="25">
        <v>1</v>
      </c>
      <c r="B92" s="29" t="s">
        <v>566</v>
      </c>
      <c r="C92" s="75" t="s">
        <v>333</v>
      </c>
      <c r="D92" s="25" t="s">
        <v>83</v>
      </c>
      <c r="E92" s="25">
        <v>1</v>
      </c>
      <c r="F92" s="25" t="s">
        <v>78</v>
      </c>
      <c r="G92" s="24"/>
      <c r="H92" s="25" t="s">
        <v>84</v>
      </c>
      <c r="I92" s="25" t="s">
        <v>85</v>
      </c>
      <c r="J92" s="23" t="s">
        <v>86</v>
      </c>
      <c r="K92" s="23" t="s">
        <v>81</v>
      </c>
      <c r="L92" s="24"/>
      <c r="M92" s="77">
        <v>131.84</v>
      </c>
      <c r="N92" s="27">
        <f t="shared" si="12"/>
        <v>131.84</v>
      </c>
      <c r="O92" s="160">
        <v>7240.88</v>
      </c>
      <c r="P92" s="78">
        <f t="shared" si="13"/>
        <v>7240.88</v>
      </c>
      <c r="Q92" s="27">
        <f t="shared" ref="Q92:Q109" si="15">ROUND((M92+O92)*E92,2)</f>
        <v>7372.72</v>
      </c>
    </row>
    <row r="93" spans="1:17" ht="27.6" customHeight="1" x14ac:dyDescent="0.3">
      <c r="A93" s="25">
        <v>2</v>
      </c>
      <c r="B93" s="29" t="s">
        <v>87</v>
      </c>
      <c r="C93" s="29" t="s">
        <v>88</v>
      </c>
      <c r="D93" s="25" t="s">
        <v>83</v>
      </c>
      <c r="E93" s="25">
        <v>9</v>
      </c>
      <c r="F93" s="25" t="s">
        <v>78</v>
      </c>
      <c r="G93" s="24"/>
      <c r="H93" s="25" t="s">
        <v>84</v>
      </c>
      <c r="I93" s="25" t="s">
        <v>89</v>
      </c>
      <c r="J93" s="23" t="s">
        <v>90</v>
      </c>
      <c r="K93" s="23" t="s">
        <v>81</v>
      </c>
      <c r="L93" s="24"/>
      <c r="M93" s="77">
        <v>32.96</v>
      </c>
      <c r="N93" s="27">
        <f t="shared" si="12"/>
        <v>296.64</v>
      </c>
      <c r="O93" s="160">
        <v>7424.7</v>
      </c>
      <c r="P93" s="78">
        <f t="shared" si="13"/>
        <v>66822.3</v>
      </c>
      <c r="Q93" s="27">
        <f t="shared" si="15"/>
        <v>67118.94</v>
      </c>
    </row>
    <row r="94" spans="1:17" ht="27.6" customHeight="1" x14ac:dyDescent="0.3">
      <c r="A94" s="25">
        <v>3</v>
      </c>
      <c r="B94" s="29" t="s">
        <v>91</v>
      </c>
      <c r="C94" s="91" t="s">
        <v>334</v>
      </c>
      <c r="D94" s="25" t="s">
        <v>83</v>
      </c>
      <c r="E94" s="25">
        <v>9</v>
      </c>
      <c r="F94" s="25" t="s">
        <v>78</v>
      </c>
      <c r="G94" s="24"/>
      <c r="H94" s="25" t="s">
        <v>94</v>
      </c>
      <c r="I94" s="25" t="s">
        <v>95</v>
      </c>
      <c r="J94" s="23" t="s">
        <v>92</v>
      </c>
      <c r="K94" s="23" t="s">
        <v>81</v>
      </c>
      <c r="L94" s="24"/>
      <c r="M94" s="77">
        <v>164.8</v>
      </c>
      <c r="N94" s="27">
        <f t="shared" si="12"/>
        <v>1483.2</v>
      </c>
      <c r="O94" s="160">
        <v>1485.31</v>
      </c>
      <c r="P94" s="78">
        <f t="shared" si="13"/>
        <v>13367.789999999999</v>
      </c>
      <c r="Q94" s="27">
        <f t="shared" si="15"/>
        <v>14850.99</v>
      </c>
    </row>
    <row r="95" spans="1:17" ht="27.6" customHeight="1" x14ac:dyDescent="0.3">
      <c r="A95" s="25">
        <v>4</v>
      </c>
      <c r="B95" s="29" t="s">
        <v>96</v>
      </c>
      <c r="C95" s="75" t="s">
        <v>97</v>
      </c>
      <c r="D95" s="25" t="s">
        <v>83</v>
      </c>
      <c r="E95" s="25">
        <v>9</v>
      </c>
      <c r="F95" s="25" t="s">
        <v>78</v>
      </c>
      <c r="G95" s="24"/>
      <c r="H95" s="22" t="s">
        <v>98</v>
      </c>
      <c r="I95" s="24" t="s">
        <v>99</v>
      </c>
      <c r="J95" s="23" t="s">
        <v>97</v>
      </c>
      <c r="K95" s="23" t="s">
        <v>81</v>
      </c>
      <c r="L95" s="24"/>
      <c r="M95" s="77">
        <v>21.63</v>
      </c>
      <c r="N95" s="27">
        <f t="shared" si="12"/>
        <v>194.67</v>
      </c>
      <c r="O95" s="160">
        <v>102.8</v>
      </c>
      <c r="P95" s="28">
        <f t="shared" si="13"/>
        <v>925.19999999999993</v>
      </c>
      <c r="Q95" s="27">
        <f t="shared" si="15"/>
        <v>1119.8699999999999</v>
      </c>
    </row>
    <row r="96" spans="1:17" ht="27.6" customHeight="1" x14ac:dyDescent="0.3">
      <c r="A96" s="25">
        <v>5</v>
      </c>
      <c r="B96" s="29" t="s">
        <v>335</v>
      </c>
      <c r="C96" s="29" t="s">
        <v>336</v>
      </c>
      <c r="D96" s="25" t="s">
        <v>83</v>
      </c>
      <c r="E96" s="25">
        <v>39</v>
      </c>
      <c r="F96" s="25" t="s">
        <v>78</v>
      </c>
      <c r="G96" s="24"/>
      <c r="H96" s="22" t="s">
        <v>84</v>
      </c>
      <c r="I96" s="24" t="s">
        <v>337</v>
      </c>
      <c r="J96" s="23" t="s">
        <v>336</v>
      </c>
      <c r="K96" s="23" t="s">
        <v>81</v>
      </c>
      <c r="L96" s="24"/>
      <c r="M96" s="77">
        <v>154.5</v>
      </c>
      <c r="N96" s="27">
        <f t="shared" si="12"/>
        <v>6025.5</v>
      </c>
      <c r="O96" s="160">
        <v>240.22</v>
      </c>
      <c r="P96" s="28">
        <f t="shared" si="13"/>
        <v>9368.58</v>
      </c>
      <c r="Q96" s="27">
        <f t="shared" si="15"/>
        <v>15394.08</v>
      </c>
    </row>
    <row r="97" spans="1:19" ht="27.6" customHeight="1" x14ac:dyDescent="0.3">
      <c r="A97" s="25">
        <v>6</v>
      </c>
      <c r="B97" s="29" t="s">
        <v>338</v>
      </c>
      <c r="C97" s="29" t="s">
        <v>339</v>
      </c>
      <c r="D97" s="76" t="s">
        <v>340</v>
      </c>
      <c r="E97" s="25">
        <v>14</v>
      </c>
      <c r="F97" s="25" t="s">
        <v>78</v>
      </c>
      <c r="G97" s="24"/>
      <c r="H97" s="22" t="s">
        <v>340</v>
      </c>
      <c r="I97" s="23"/>
      <c r="J97" s="23" t="s">
        <v>339</v>
      </c>
      <c r="K97" s="23" t="s">
        <v>81</v>
      </c>
      <c r="L97" s="24"/>
      <c r="M97" s="77">
        <v>154.5</v>
      </c>
      <c r="N97" s="27">
        <f t="shared" si="12"/>
        <v>2163</v>
      </c>
      <c r="O97" s="160">
        <v>352.46</v>
      </c>
      <c r="P97" s="78">
        <f t="shared" si="13"/>
        <v>4934.4399999999996</v>
      </c>
      <c r="Q97" s="27">
        <f t="shared" si="15"/>
        <v>7097.44</v>
      </c>
    </row>
    <row r="98" spans="1:19" ht="27.6" customHeight="1" x14ac:dyDescent="0.3">
      <c r="A98" s="25">
        <v>7</v>
      </c>
      <c r="B98" s="80" t="s">
        <v>125</v>
      </c>
      <c r="C98" s="29" t="s">
        <v>126</v>
      </c>
      <c r="D98" s="25" t="s">
        <v>127</v>
      </c>
      <c r="E98" s="22">
        <f>E92+E93</f>
        <v>10</v>
      </c>
      <c r="F98" s="25" t="s">
        <v>121</v>
      </c>
      <c r="G98" s="24"/>
      <c r="H98" s="22" t="s">
        <v>128</v>
      </c>
      <c r="I98" s="23" t="s">
        <v>129</v>
      </c>
      <c r="J98" s="24" t="s">
        <v>130</v>
      </c>
      <c r="K98" s="23" t="s">
        <v>81</v>
      </c>
      <c r="L98" s="24"/>
      <c r="M98" s="77">
        <v>97.85</v>
      </c>
      <c r="N98" s="27">
        <f t="shared" si="12"/>
        <v>978.5</v>
      </c>
      <c r="O98" s="160">
        <v>111.19</v>
      </c>
      <c r="P98" s="78">
        <f t="shared" si="13"/>
        <v>1111.9000000000001</v>
      </c>
      <c r="Q98" s="27">
        <f t="shared" si="15"/>
        <v>2090.4</v>
      </c>
    </row>
    <row r="99" spans="1:19" ht="27.6" customHeight="1" x14ac:dyDescent="0.3">
      <c r="A99" s="25">
        <v>8</v>
      </c>
      <c r="B99" s="80" t="s">
        <v>131</v>
      </c>
      <c r="C99" s="29" t="s">
        <v>132</v>
      </c>
      <c r="D99" s="22" t="s">
        <v>133</v>
      </c>
      <c r="E99" s="22">
        <f>E92+E93</f>
        <v>10</v>
      </c>
      <c r="F99" s="25" t="s">
        <v>134</v>
      </c>
      <c r="G99" s="24"/>
      <c r="H99" s="22" t="s">
        <v>135</v>
      </c>
      <c r="I99" s="24" t="s">
        <v>136</v>
      </c>
      <c r="J99" s="24" t="s">
        <v>137</v>
      </c>
      <c r="K99" s="23" t="s">
        <v>81</v>
      </c>
      <c r="L99" s="24"/>
      <c r="M99" s="77">
        <v>32.96</v>
      </c>
      <c r="N99" s="27">
        <f t="shared" si="12"/>
        <v>329.6</v>
      </c>
      <c r="O99" s="160">
        <v>182.53</v>
      </c>
      <c r="P99" s="78">
        <f t="shared" si="13"/>
        <v>1825.3</v>
      </c>
      <c r="Q99" s="27">
        <f t="shared" si="15"/>
        <v>2154.9</v>
      </c>
    </row>
    <row r="100" spans="1:19" ht="27.6" customHeight="1" x14ac:dyDescent="0.3">
      <c r="A100" s="25">
        <v>9</v>
      </c>
      <c r="B100" s="80" t="s">
        <v>138</v>
      </c>
      <c r="C100" s="29" t="s">
        <v>139</v>
      </c>
      <c r="D100" s="22" t="s">
        <v>133</v>
      </c>
      <c r="E100" s="22">
        <v>1</v>
      </c>
      <c r="F100" s="25" t="s">
        <v>121</v>
      </c>
      <c r="G100" s="24"/>
      <c r="H100" s="22" t="s">
        <v>135</v>
      </c>
      <c r="I100" s="24" t="s">
        <v>140</v>
      </c>
      <c r="J100" s="24" t="s">
        <v>141</v>
      </c>
      <c r="K100" s="23" t="s">
        <v>81</v>
      </c>
      <c r="L100" s="24"/>
      <c r="M100" s="77">
        <v>87.55</v>
      </c>
      <c r="N100" s="27">
        <f t="shared" si="12"/>
        <v>87.55</v>
      </c>
      <c r="O100" s="160">
        <v>543.38</v>
      </c>
      <c r="P100" s="78">
        <f t="shared" si="13"/>
        <v>543.38</v>
      </c>
      <c r="Q100" s="27">
        <f t="shared" si="15"/>
        <v>630.92999999999995</v>
      </c>
    </row>
    <row r="101" spans="1:19" ht="27.6" customHeight="1" x14ac:dyDescent="0.3">
      <c r="A101" s="25">
        <v>10</v>
      </c>
      <c r="B101" s="80" t="s">
        <v>142</v>
      </c>
      <c r="C101" s="29" t="s">
        <v>143</v>
      </c>
      <c r="D101" s="25" t="s">
        <v>127</v>
      </c>
      <c r="E101" s="25">
        <f>E99*300</f>
        <v>3000</v>
      </c>
      <c r="F101" s="25" t="s">
        <v>144</v>
      </c>
      <c r="G101" s="24"/>
      <c r="H101" s="22" t="s">
        <v>128</v>
      </c>
      <c r="I101" s="63" t="s">
        <v>577</v>
      </c>
      <c r="J101" s="23" t="s">
        <v>143</v>
      </c>
      <c r="K101" s="23" t="s">
        <v>81</v>
      </c>
      <c r="L101" s="24"/>
      <c r="M101" s="77">
        <v>2.73</v>
      </c>
      <c r="N101" s="27">
        <f t="shared" si="12"/>
        <v>8190</v>
      </c>
      <c r="O101" s="160">
        <v>1.84</v>
      </c>
      <c r="P101" s="28">
        <f t="shared" si="13"/>
        <v>5520</v>
      </c>
      <c r="Q101" s="27">
        <f t="shared" si="15"/>
        <v>13710</v>
      </c>
    </row>
    <row r="102" spans="1:19" ht="27.6" customHeight="1" x14ac:dyDescent="0.3">
      <c r="A102" s="25">
        <v>11</v>
      </c>
      <c r="B102" s="80" t="s">
        <v>145</v>
      </c>
      <c r="C102" s="29" t="s">
        <v>146</v>
      </c>
      <c r="D102" s="25" t="s">
        <v>127</v>
      </c>
      <c r="E102" s="25">
        <v>1</v>
      </c>
      <c r="F102" s="25" t="s">
        <v>121</v>
      </c>
      <c r="G102" s="24"/>
      <c r="H102" s="22" t="s">
        <v>128</v>
      </c>
      <c r="I102" s="23" t="s">
        <v>147</v>
      </c>
      <c r="J102" s="23" t="s">
        <v>146</v>
      </c>
      <c r="K102" s="23" t="s">
        <v>81</v>
      </c>
      <c r="L102" s="24"/>
      <c r="M102" s="77">
        <v>463.5</v>
      </c>
      <c r="N102" s="27">
        <f t="shared" si="12"/>
        <v>463.5</v>
      </c>
      <c r="O102" s="160">
        <v>503.52</v>
      </c>
      <c r="P102" s="78">
        <f t="shared" si="13"/>
        <v>503.52</v>
      </c>
      <c r="Q102" s="27">
        <f t="shared" si="15"/>
        <v>967.02</v>
      </c>
    </row>
    <row r="103" spans="1:19" ht="27.6" customHeight="1" x14ac:dyDescent="0.3">
      <c r="A103" s="25">
        <v>12</v>
      </c>
      <c r="B103" s="80" t="s">
        <v>148</v>
      </c>
      <c r="C103" s="29" t="s">
        <v>149</v>
      </c>
      <c r="D103" s="25" t="s">
        <v>127</v>
      </c>
      <c r="E103" s="25">
        <f>E99</f>
        <v>10</v>
      </c>
      <c r="F103" s="25" t="s">
        <v>121</v>
      </c>
      <c r="G103" s="24"/>
      <c r="H103" s="22" t="s">
        <v>128</v>
      </c>
      <c r="I103" s="24" t="s">
        <v>150</v>
      </c>
      <c r="J103" s="24" t="s">
        <v>149</v>
      </c>
      <c r="K103" s="23" t="s">
        <v>81</v>
      </c>
      <c r="L103" s="24"/>
      <c r="M103" s="77">
        <v>5.51</v>
      </c>
      <c r="N103" s="27">
        <f t="shared" si="12"/>
        <v>55.099999999999994</v>
      </c>
      <c r="O103" s="160">
        <v>23.08</v>
      </c>
      <c r="P103" s="28">
        <f t="shared" si="13"/>
        <v>230.79999999999998</v>
      </c>
      <c r="Q103" s="27">
        <f t="shared" si="15"/>
        <v>285.89999999999998</v>
      </c>
    </row>
    <row r="104" spans="1:19" ht="27.6" customHeight="1" x14ac:dyDescent="0.3">
      <c r="A104" s="25">
        <v>13</v>
      </c>
      <c r="B104" s="80" t="s">
        <v>151</v>
      </c>
      <c r="C104" s="29" t="s">
        <v>341</v>
      </c>
      <c r="D104" s="25" t="s">
        <v>127</v>
      </c>
      <c r="E104" s="25">
        <f>E99*2</f>
        <v>20</v>
      </c>
      <c r="F104" s="25" t="s">
        <v>121</v>
      </c>
      <c r="G104" s="24"/>
      <c r="H104" s="22" t="s">
        <v>128</v>
      </c>
      <c r="I104" s="24" t="s">
        <v>153</v>
      </c>
      <c r="J104" s="24" t="s">
        <v>152</v>
      </c>
      <c r="K104" s="23" t="s">
        <v>81</v>
      </c>
      <c r="L104" s="24"/>
      <c r="M104" s="77">
        <v>5.51</v>
      </c>
      <c r="N104" s="27">
        <f t="shared" si="12"/>
        <v>110.19999999999999</v>
      </c>
      <c r="O104" s="160">
        <v>16.78</v>
      </c>
      <c r="P104" s="78">
        <f t="shared" si="13"/>
        <v>335.6</v>
      </c>
      <c r="Q104" s="27">
        <f t="shared" si="15"/>
        <v>445.8</v>
      </c>
    </row>
    <row r="105" spans="1:19" ht="27.6" customHeight="1" x14ac:dyDescent="0.3">
      <c r="A105" s="25">
        <v>14</v>
      </c>
      <c r="B105" s="80" t="s">
        <v>342</v>
      </c>
      <c r="C105" s="29" t="s">
        <v>343</v>
      </c>
      <c r="D105" s="22" t="s">
        <v>154</v>
      </c>
      <c r="E105" s="22">
        <v>1</v>
      </c>
      <c r="F105" s="25" t="s">
        <v>78</v>
      </c>
      <c r="G105" s="24"/>
      <c r="H105" s="22" t="s">
        <v>155</v>
      </c>
      <c r="I105" s="63" t="s">
        <v>611</v>
      </c>
      <c r="J105" s="63" t="s">
        <v>612</v>
      </c>
      <c r="K105" s="23" t="s">
        <v>81</v>
      </c>
      <c r="L105" s="24"/>
      <c r="M105" s="77">
        <v>242.05</v>
      </c>
      <c r="N105" s="27">
        <f t="shared" si="12"/>
        <v>242.05</v>
      </c>
      <c r="O105" s="160">
        <v>1640.64</v>
      </c>
      <c r="P105" s="28">
        <f t="shared" si="13"/>
        <v>1640.64</v>
      </c>
      <c r="Q105" s="27">
        <f t="shared" si="15"/>
        <v>1882.69</v>
      </c>
      <c r="S105" s="21" t="s">
        <v>615</v>
      </c>
    </row>
    <row r="106" spans="1:19" ht="27.6" customHeight="1" x14ac:dyDescent="0.3">
      <c r="A106" s="25">
        <v>15</v>
      </c>
      <c r="B106" s="80" t="s">
        <v>156</v>
      </c>
      <c r="C106" s="29" t="s">
        <v>157</v>
      </c>
      <c r="D106" s="22" t="s">
        <v>154</v>
      </c>
      <c r="E106" s="25">
        <f>(E105)*2</f>
        <v>2</v>
      </c>
      <c r="F106" s="25" t="s">
        <v>121</v>
      </c>
      <c r="G106" s="92"/>
      <c r="H106" s="22" t="s">
        <v>155</v>
      </c>
      <c r="I106" s="63" t="s">
        <v>603</v>
      </c>
      <c r="J106" s="63" t="s">
        <v>604</v>
      </c>
      <c r="K106" s="23" t="s">
        <v>81</v>
      </c>
      <c r="L106" s="93"/>
      <c r="M106" s="94">
        <v>11.33</v>
      </c>
      <c r="N106" s="27">
        <f t="shared" si="12"/>
        <v>22.66</v>
      </c>
      <c r="O106" s="161">
        <v>110.15</v>
      </c>
      <c r="P106" s="28">
        <f t="shared" si="13"/>
        <v>220.3</v>
      </c>
      <c r="Q106" s="27">
        <f t="shared" si="15"/>
        <v>242.96</v>
      </c>
    </row>
    <row r="107" spans="1:19" ht="27.6" customHeight="1" x14ac:dyDescent="0.3">
      <c r="A107" s="25">
        <v>16</v>
      </c>
      <c r="B107" s="29" t="s">
        <v>158</v>
      </c>
      <c r="C107" s="29" t="s">
        <v>344</v>
      </c>
      <c r="D107" s="25" t="s">
        <v>127</v>
      </c>
      <c r="E107" s="25">
        <f>E96*70*1.1</f>
        <v>3003.0000000000005</v>
      </c>
      <c r="F107" s="95" t="s">
        <v>144</v>
      </c>
      <c r="G107" s="30"/>
      <c r="H107" s="31" t="s">
        <v>128</v>
      </c>
      <c r="I107" s="30" t="s">
        <v>345</v>
      </c>
      <c r="J107" s="29" t="s">
        <v>344</v>
      </c>
      <c r="K107" s="23" t="s">
        <v>81</v>
      </c>
      <c r="L107" s="24"/>
      <c r="M107" s="77">
        <v>2.52</v>
      </c>
      <c r="N107" s="27">
        <f t="shared" si="12"/>
        <v>7567.5600000000013</v>
      </c>
      <c r="O107" s="160">
        <v>5.98</v>
      </c>
      <c r="P107" s="28">
        <f t="shared" si="13"/>
        <v>17957.940000000002</v>
      </c>
      <c r="Q107" s="27">
        <f t="shared" si="15"/>
        <v>25525.5</v>
      </c>
    </row>
    <row r="108" spans="1:19" ht="27.6" customHeight="1" x14ac:dyDescent="0.3">
      <c r="A108" s="25">
        <v>17</v>
      </c>
      <c r="B108" s="29" t="s">
        <v>346</v>
      </c>
      <c r="C108" s="29" t="s">
        <v>163</v>
      </c>
      <c r="D108" s="25" t="s">
        <v>127</v>
      </c>
      <c r="E108" s="25">
        <f>E97*70*1.1</f>
        <v>1078</v>
      </c>
      <c r="F108" s="95" t="s">
        <v>144</v>
      </c>
      <c r="G108" s="30"/>
      <c r="H108" s="22" t="s">
        <v>128</v>
      </c>
      <c r="I108" s="30" t="s">
        <v>164</v>
      </c>
      <c r="J108" s="30" t="s">
        <v>163</v>
      </c>
      <c r="K108" s="23" t="s">
        <v>81</v>
      </c>
      <c r="L108" s="24"/>
      <c r="M108" s="77">
        <v>2.52</v>
      </c>
      <c r="N108" s="27">
        <f t="shared" si="12"/>
        <v>2716.56</v>
      </c>
      <c r="O108" s="160">
        <v>8.9700000000000006</v>
      </c>
      <c r="P108" s="28">
        <f t="shared" si="13"/>
        <v>9669.66</v>
      </c>
      <c r="Q108" s="27">
        <f t="shared" si="15"/>
        <v>12386.22</v>
      </c>
    </row>
    <row r="109" spans="1:19" ht="27.6" customHeight="1" x14ac:dyDescent="0.3">
      <c r="A109" s="25">
        <v>18</v>
      </c>
      <c r="B109" s="80" t="s">
        <v>167</v>
      </c>
      <c r="C109" s="29" t="s">
        <v>168</v>
      </c>
      <c r="D109" s="22" t="s">
        <v>169</v>
      </c>
      <c r="E109" s="25">
        <f>E107+E108</f>
        <v>4081.0000000000005</v>
      </c>
      <c r="F109" s="95" t="s">
        <v>144</v>
      </c>
      <c r="G109" s="30"/>
      <c r="H109" s="22" t="s">
        <v>169</v>
      </c>
      <c r="I109" s="24" t="s">
        <v>170</v>
      </c>
      <c r="J109" s="24" t="s">
        <v>171</v>
      </c>
      <c r="K109" s="23" t="s">
        <v>81</v>
      </c>
      <c r="L109" s="24"/>
      <c r="M109" s="77">
        <v>9.7899999999999991</v>
      </c>
      <c r="N109" s="27">
        <f t="shared" si="12"/>
        <v>39952.99</v>
      </c>
      <c r="O109" s="160">
        <v>3.67</v>
      </c>
      <c r="P109" s="78">
        <f t="shared" si="13"/>
        <v>14977.270000000002</v>
      </c>
      <c r="Q109" s="27">
        <f t="shared" si="15"/>
        <v>54930.26</v>
      </c>
    </row>
    <row r="110" spans="1:19" ht="27.6" customHeight="1" x14ac:dyDescent="0.3">
      <c r="A110" s="85">
        <v>19</v>
      </c>
      <c r="B110" s="86" t="s">
        <v>172</v>
      </c>
      <c r="C110" s="86" t="s">
        <v>173</v>
      </c>
      <c r="D110" s="87"/>
      <c r="E110" s="85">
        <v>1</v>
      </c>
      <c r="F110" s="96" t="s">
        <v>174</v>
      </c>
      <c r="G110" s="30"/>
      <c r="H110" s="31"/>
      <c r="I110" s="30"/>
      <c r="J110" s="30"/>
      <c r="K110" s="23" t="s">
        <v>81</v>
      </c>
      <c r="L110" s="24"/>
      <c r="M110" s="77">
        <v>7180</v>
      </c>
      <c r="N110" s="27">
        <f t="shared" si="12"/>
        <v>7180</v>
      </c>
      <c r="O110" s="160">
        <v>10490</v>
      </c>
      <c r="P110" s="78">
        <f t="shared" si="13"/>
        <v>10490</v>
      </c>
      <c r="Q110" s="27">
        <f>ROUND((M110+O110)*E110,2)</f>
        <v>17670</v>
      </c>
    </row>
    <row r="111" spans="1:19" ht="27.6" customHeight="1" x14ac:dyDescent="0.3">
      <c r="A111" s="22"/>
      <c r="B111" s="97" t="s">
        <v>347</v>
      </c>
      <c r="C111" s="23"/>
      <c r="D111" s="25"/>
      <c r="E111" s="25"/>
      <c r="F111" s="95"/>
      <c r="G111" s="30"/>
      <c r="H111" s="31"/>
      <c r="I111" s="30"/>
      <c r="J111" s="30"/>
      <c r="K111" s="23"/>
      <c r="L111" s="24"/>
      <c r="M111" s="24"/>
      <c r="N111" s="27">
        <f t="shared" si="12"/>
        <v>0</v>
      </c>
      <c r="O111" s="157"/>
      <c r="P111" s="28">
        <f t="shared" si="13"/>
        <v>0</v>
      </c>
      <c r="Q111" s="30"/>
    </row>
    <row r="112" spans="1:19" ht="27.6" customHeight="1" x14ac:dyDescent="0.3">
      <c r="A112" s="22">
        <v>1</v>
      </c>
      <c r="B112" s="29" t="s">
        <v>348</v>
      </c>
      <c r="C112" s="23"/>
      <c r="D112" s="25"/>
      <c r="E112" s="25">
        <v>1</v>
      </c>
      <c r="F112" s="95" t="s">
        <v>174</v>
      </c>
      <c r="G112" s="30"/>
      <c r="H112" s="31" t="s">
        <v>94</v>
      </c>
      <c r="I112" s="30"/>
      <c r="J112" s="30"/>
      <c r="K112" s="23" t="s">
        <v>81</v>
      </c>
      <c r="L112" s="24"/>
      <c r="M112" s="77">
        <v>57872</v>
      </c>
      <c r="N112" s="27">
        <f t="shared" si="12"/>
        <v>57872</v>
      </c>
      <c r="O112" s="160">
        <v>0</v>
      </c>
      <c r="P112" s="28">
        <f t="shared" si="13"/>
        <v>0</v>
      </c>
      <c r="Q112" s="98">
        <f t="shared" ref="Q112" si="16">ROUND((M112+O112)*E112,2)</f>
        <v>57872</v>
      </c>
    </row>
    <row r="113" spans="1:17" ht="27.6" customHeight="1" x14ac:dyDescent="0.3">
      <c r="A113" s="22"/>
      <c r="B113" s="26"/>
      <c r="C113" s="23"/>
      <c r="D113" s="22"/>
      <c r="E113" s="30"/>
      <c r="F113" s="99"/>
      <c r="G113" s="30"/>
      <c r="H113" s="31"/>
      <c r="I113" s="30"/>
      <c r="J113" s="30"/>
      <c r="K113" s="24"/>
      <c r="L113" s="24"/>
      <c r="M113" s="24"/>
      <c r="N113" s="24"/>
      <c r="O113" s="157"/>
      <c r="P113" s="24"/>
      <c r="Q113" s="30"/>
    </row>
    <row r="115" spans="1:17" ht="27.6" customHeight="1" x14ac:dyDescent="0.3">
      <c r="M115" s="102" t="s">
        <v>349</v>
      </c>
      <c r="N115" s="102">
        <f>SUM(N7:N114)</f>
        <v>1686597.9700000004</v>
      </c>
      <c r="O115" s="162"/>
      <c r="P115" s="102">
        <f>SUM(P7:P114)</f>
        <v>7044329.6899999976</v>
      </c>
      <c r="Q115" s="102">
        <f>SUM(N115:P115)</f>
        <v>8730927.6599999983</v>
      </c>
    </row>
    <row r="116" spans="1:17" ht="27.6" customHeight="1" x14ac:dyDescent="0.3">
      <c r="M116" s="102"/>
      <c r="N116" s="102"/>
      <c r="O116" s="162"/>
      <c r="P116" s="102"/>
      <c r="Q116" s="102"/>
    </row>
    <row r="117" spans="1:17" ht="27.6" customHeight="1" x14ac:dyDescent="0.3">
      <c r="M117" s="102" t="s">
        <v>350</v>
      </c>
      <c r="N117" s="102">
        <f>'[1]硬件-报价明细'!$N$115</f>
        <v>1187731</v>
      </c>
      <c r="O117" s="162"/>
      <c r="P117" s="102">
        <f>'[1]硬件-报价明细'!$P$115</f>
        <v>6669628</v>
      </c>
      <c r="Q117" s="102">
        <f>SUM(N117:P117)</f>
        <v>7857359</v>
      </c>
    </row>
    <row r="119" spans="1:17" ht="27.6" customHeight="1" x14ac:dyDescent="0.3">
      <c r="M119" s="102" t="s">
        <v>351</v>
      </c>
      <c r="N119" s="102">
        <f>N115-N117</f>
        <v>498866.97000000044</v>
      </c>
      <c r="O119" s="162"/>
      <c r="P119" s="102">
        <f>P115-P117</f>
        <v>374701.68999999762</v>
      </c>
      <c r="Q119" s="102">
        <f>Q115-Q117</f>
        <v>873568.65999999829</v>
      </c>
    </row>
  </sheetData>
  <autoFilter ref="A1" xr:uid="{00000000-0009-0000-0000-000003000000}"/>
  <mergeCells count="5">
    <mergeCell ref="A1:F1"/>
    <mergeCell ref="B4:B6"/>
    <mergeCell ref="C4:C6"/>
    <mergeCell ref="D4:D6"/>
    <mergeCell ref="A4:A6"/>
  </mergeCells>
  <phoneticPr fontId="2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86"/>
  <sheetViews>
    <sheetView topLeftCell="A70" zoomScale="85" zoomScaleNormal="85" workbookViewId="0">
      <selection activeCell="D88" sqref="D88"/>
    </sheetView>
  </sheetViews>
  <sheetFormatPr defaultColWidth="10" defaultRowHeight="16.5" customHeight="1" x14ac:dyDescent="0.3"/>
  <cols>
    <col min="1" max="1" width="18.26953125" customWidth="1"/>
    <col min="2" max="2" width="17.36328125"/>
    <col min="3" max="3" width="16.453125" style="1" customWidth="1"/>
    <col min="4" max="4" width="32.81640625" style="1" customWidth="1"/>
    <col min="5" max="5" width="12.453125" style="1"/>
    <col min="6" max="6" width="29.453125" style="2" customWidth="1"/>
    <col min="7" max="7" width="6.54296875"/>
  </cols>
  <sheetData>
    <row r="1" spans="1:7" ht="16.5" customHeight="1" x14ac:dyDescent="0.3">
      <c r="A1" s="3" t="s">
        <v>352</v>
      </c>
      <c r="B1" s="3" t="s">
        <v>353</v>
      </c>
      <c r="C1" s="4" t="s">
        <v>2</v>
      </c>
      <c r="D1" s="4" t="s">
        <v>354</v>
      </c>
      <c r="E1" s="4" t="s">
        <v>64</v>
      </c>
      <c r="F1" s="4" t="s">
        <v>355</v>
      </c>
      <c r="G1" s="3"/>
    </row>
    <row r="2" spans="1:7" ht="16.5" customHeight="1" x14ac:dyDescent="0.3">
      <c r="A2" s="152" t="s">
        <v>356</v>
      </c>
      <c r="B2" s="152" t="s">
        <v>357</v>
      </c>
      <c r="C2" s="6">
        <v>1</v>
      </c>
      <c r="D2" s="6" t="s">
        <v>358</v>
      </c>
      <c r="E2" s="6" t="s">
        <v>359</v>
      </c>
      <c r="F2" s="7" t="s">
        <v>360</v>
      </c>
      <c r="G2" s="8"/>
    </row>
    <row r="3" spans="1:7" ht="41.25" customHeight="1" x14ac:dyDescent="0.3">
      <c r="A3" s="153"/>
      <c r="B3" s="153"/>
      <c r="C3" s="6">
        <v>2</v>
      </c>
      <c r="D3" s="6" t="s">
        <v>361</v>
      </c>
      <c r="E3" s="6" t="s">
        <v>362</v>
      </c>
      <c r="F3" s="7" t="s">
        <v>363</v>
      </c>
      <c r="G3" s="8"/>
    </row>
    <row r="4" spans="1:7" ht="16.5" customHeight="1" x14ac:dyDescent="0.3">
      <c r="A4" s="153"/>
      <c r="B4" s="153"/>
      <c r="C4" s="6">
        <v>3</v>
      </c>
      <c r="D4" s="6" t="s">
        <v>364</v>
      </c>
      <c r="E4" s="6" t="s">
        <v>365</v>
      </c>
      <c r="F4" s="7" t="s">
        <v>366</v>
      </c>
      <c r="G4" s="8"/>
    </row>
    <row r="5" spans="1:7" ht="27.75" customHeight="1" x14ac:dyDescent="0.3">
      <c r="A5" s="153"/>
      <c r="B5" s="153"/>
      <c r="C5" s="6">
        <v>4</v>
      </c>
      <c r="D5" s="6" t="s">
        <v>367</v>
      </c>
      <c r="E5" s="6" t="s">
        <v>365</v>
      </c>
      <c r="F5" s="7" t="s">
        <v>368</v>
      </c>
      <c r="G5" s="8"/>
    </row>
    <row r="6" spans="1:7" ht="16.5" customHeight="1" x14ac:dyDescent="0.3">
      <c r="A6" s="153"/>
      <c r="B6" s="153"/>
      <c r="C6" s="6">
        <v>5</v>
      </c>
      <c r="D6" s="6" t="s">
        <v>369</v>
      </c>
      <c r="E6" s="6" t="s">
        <v>370</v>
      </c>
      <c r="F6" s="7" t="s">
        <v>371</v>
      </c>
      <c r="G6" s="8"/>
    </row>
    <row r="7" spans="1:7" ht="16.5" customHeight="1" x14ac:dyDescent="0.3">
      <c r="A7" s="153"/>
      <c r="B7" s="153"/>
      <c r="C7" s="6">
        <v>6</v>
      </c>
      <c r="D7" s="6" t="s">
        <v>372</v>
      </c>
      <c r="E7" s="6" t="s">
        <v>373</v>
      </c>
      <c r="F7" s="7" t="s">
        <v>374</v>
      </c>
      <c r="G7" s="8"/>
    </row>
    <row r="8" spans="1:7" ht="27.75" customHeight="1" x14ac:dyDescent="0.3">
      <c r="A8" s="153"/>
      <c r="B8" s="153"/>
      <c r="C8" s="6">
        <v>7</v>
      </c>
      <c r="D8" s="6" t="s">
        <v>375</v>
      </c>
      <c r="E8" s="6" t="s">
        <v>373</v>
      </c>
      <c r="F8" s="7" t="s">
        <v>376</v>
      </c>
      <c r="G8" s="8"/>
    </row>
    <row r="9" spans="1:7" ht="16.5" customHeight="1" x14ac:dyDescent="0.3">
      <c r="A9" s="153"/>
      <c r="B9" s="153"/>
      <c r="C9" s="6">
        <v>8</v>
      </c>
      <c r="D9" s="6" t="s">
        <v>377</v>
      </c>
      <c r="E9" s="6" t="s">
        <v>378</v>
      </c>
      <c r="F9" s="7" t="s">
        <v>379</v>
      </c>
      <c r="G9" s="8"/>
    </row>
    <row r="10" spans="1:7" ht="16.5" customHeight="1" x14ac:dyDescent="0.3">
      <c r="A10" s="153"/>
      <c r="B10" s="153"/>
      <c r="C10" s="6">
        <v>9</v>
      </c>
      <c r="D10" s="6" t="s">
        <v>380</v>
      </c>
      <c r="E10" s="6" t="s">
        <v>381</v>
      </c>
      <c r="F10" s="7" t="s">
        <v>382</v>
      </c>
      <c r="G10" s="8"/>
    </row>
    <row r="11" spans="1:7" ht="27.75" customHeight="1" x14ac:dyDescent="0.3">
      <c r="A11" s="153"/>
      <c r="B11" s="153"/>
      <c r="C11" s="6">
        <v>10</v>
      </c>
      <c r="D11" s="6" t="s">
        <v>383</v>
      </c>
      <c r="E11" s="6" t="s">
        <v>384</v>
      </c>
      <c r="F11" s="7" t="s">
        <v>385</v>
      </c>
      <c r="G11" s="8"/>
    </row>
    <row r="12" spans="1:7" ht="27.75" customHeight="1" x14ac:dyDescent="0.3">
      <c r="A12" s="153"/>
      <c r="B12" s="153"/>
      <c r="C12" s="6">
        <v>11</v>
      </c>
      <c r="D12" s="6" t="s">
        <v>386</v>
      </c>
      <c r="E12" s="6" t="s">
        <v>387</v>
      </c>
      <c r="F12" s="7" t="s">
        <v>388</v>
      </c>
      <c r="G12" s="8"/>
    </row>
    <row r="13" spans="1:7" ht="41.25" customHeight="1" x14ac:dyDescent="0.3">
      <c r="A13" s="153"/>
      <c r="B13" s="153"/>
      <c r="C13" s="6">
        <v>12</v>
      </c>
      <c r="D13" s="6" t="s">
        <v>389</v>
      </c>
      <c r="E13" s="6" t="s">
        <v>390</v>
      </c>
      <c r="F13" s="7" t="s">
        <v>391</v>
      </c>
      <c r="G13" s="8"/>
    </row>
    <row r="14" spans="1:7" ht="27.75" customHeight="1" x14ac:dyDescent="0.3">
      <c r="A14" s="153"/>
      <c r="B14" s="153"/>
      <c r="C14" s="6">
        <v>13</v>
      </c>
      <c r="D14" s="6" t="s">
        <v>392</v>
      </c>
      <c r="E14" s="6" t="s">
        <v>393</v>
      </c>
      <c r="F14" s="7" t="s">
        <v>394</v>
      </c>
      <c r="G14" s="8"/>
    </row>
    <row r="15" spans="1:7" ht="16.5" customHeight="1" x14ac:dyDescent="0.3">
      <c r="A15" s="153"/>
      <c r="B15" s="153"/>
      <c r="C15" s="6">
        <v>14</v>
      </c>
      <c r="D15" s="6" t="s">
        <v>395</v>
      </c>
      <c r="E15" s="6" t="s">
        <v>396</v>
      </c>
      <c r="F15" s="7" t="s">
        <v>397</v>
      </c>
      <c r="G15" s="8"/>
    </row>
    <row r="16" spans="1:7" ht="16.5" customHeight="1" x14ac:dyDescent="0.3">
      <c r="A16" s="153"/>
      <c r="B16" s="154"/>
      <c r="C16" s="6">
        <v>15</v>
      </c>
      <c r="D16" s="6" t="s">
        <v>398</v>
      </c>
      <c r="E16" s="6" t="s">
        <v>399</v>
      </c>
      <c r="F16" s="7" t="s">
        <v>400</v>
      </c>
      <c r="G16" s="8"/>
    </row>
    <row r="17" spans="1:7" ht="16.5" customHeight="1" x14ac:dyDescent="0.3">
      <c r="A17" s="153"/>
      <c r="B17" s="152" t="s">
        <v>401</v>
      </c>
      <c r="C17" s="6">
        <v>16</v>
      </c>
      <c r="D17" s="6" t="s">
        <v>402</v>
      </c>
      <c r="E17" s="6" t="s">
        <v>403</v>
      </c>
      <c r="F17" s="7" t="s">
        <v>404</v>
      </c>
      <c r="G17" s="8"/>
    </row>
    <row r="18" spans="1:7" ht="16.5" customHeight="1" x14ac:dyDescent="0.3">
      <c r="A18" s="153"/>
      <c r="B18" s="154"/>
      <c r="C18" s="6">
        <v>17</v>
      </c>
      <c r="D18" s="6" t="s">
        <v>405</v>
      </c>
      <c r="E18" s="6" t="s">
        <v>406</v>
      </c>
      <c r="F18" s="7" t="s">
        <v>407</v>
      </c>
      <c r="G18" s="8"/>
    </row>
    <row r="19" spans="1:7" ht="16.5" customHeight="1" x14ac:dyDescent="0.3">
      <c r="A19" s="153"/>
      <c r="B19" s="152" t="s">
        <v>408</v>
      </c>
      <c r="C19" s="6">
        <v>18</v>
      </c>
      <c r="D19" s="6" t="s">
        <v>409</v>
      </c>
      <c r="E19" s="6" t="s">
        <v>410</v>
      </c>
      <c r="F19" s="7" t="s">
        <v>411</v>
      </c>
      <c r="G19" s="8"/>
    </row>
    <row r="20" spans="1:7" ht="16.5" customHeight="1" x14ac:dyDescent="0.3">
      <c r="A20" s="153"/>
      <c r="B20" s="154"/>
      <c r="C20" s="6">
        <v>19</v>
      </c>
      <c r="D20" s="6" t="s">
        <v>412</v>
      </c>
      <c r="E20" s="6" t="s">
        <v>413</v>
      </c>
      <c r="F20" s="7" t="s">
        <v>414</v>
      </c>
      <c r="G20" s="8"/>
    </row>
    <row r="21" spans="1:7" ht="16.5" customHeight="1" x14ac:dyDescent="0.3">
      <c r="A21" s="153"/>
      <c r="B21" s="8" t="s">
        <v>415</v>
      </c>
      <c r="C21" s="6"/>
      <c r="D21" s="6"/>
      <c r="E21" s="6"/>
      <c r="F21" s="7" t="s">
        <v>414</v>
      </c>
      <c r="G21" s="8"/>
    </row>
    <row r="22" spans="1:7" ht="16.5" customHeight="1" x14ac:dyDescent="0.3">
      <c r="A22" s="153"/>
      <c r="B22" s="152" t="s">
        <v>416</v>
      </c>
      <c r="C22" s="6">
        <v>20</v>
      </c>
      <c r="D22" s="6" t="s">
        <v>417</v>
      </c>
      <c r="E22" s="6"/>
      <c r="F22" s="7" t="s">
        <v>418</v>
      </c>
      <c r="G22" s="8"/>
    </row>
    <row r="23" spans="1:7" ht="16.5" customHeight="1" x14ac:dyDescent="0.3">
      <c r="A23" s="153"/>
      <c r="B23" s="153"/>
      <c r="C23" s="6">
        <v>21</v>
      </c>
      <c r="D23" s="6" t="s">
        <v>419</v>
      </c>
      <c r="E23" s="6" t="s">
        <v>420</v>
      </c>
      <c r="F23" s="7" t="s">
        <v>421</v>
      </c>
      <c r="G23" s="8"/>
    </row>
    <row r="24" spans="1:7" ht="16.5" customHeight="1" x14ac:dyDescent="0.3">
      <c r="A24" s="153"/>
      <c r="B24" s="154"/>
      <c r="C24" s="6">
        <v>22</v>
      </c>
      <c r="D24" s="6" t="s">
        <v>422</v>
      </c>
      <c r="E24" s="6"/>
      <c r="F24" s="7" t="s">
        <v>423</v>
      </c>
      <c r="G24" s="8"/>
    </row>
    <row r="25" spans="1:7" ht="16.5" customHeight="1" x14ac:dyDescent="0.3">
      <c r="A25" s="153"/>
      <c r="B25" s="152" t="s">
        <v>424</v>
      </c>
      <c r="C25" s="6">
        <v>23</v>
      </c>
      <c r="D25" s="6" t="s">
        <v>425</v>
      </c>
      <c r="E25" s="6" t="s">
        <v>396</v>
      </c>
      <c r="F25" s="7" t="s">
        <v>426</v>
      </c>
      <c r="G25" s="8"/>
    </row>
    <row r="26" spans="1:7" ht="27.75" customHeight="1" x14ac:dyDescent="0.3">
      <c r="A26" s="153"/>
      <c r="B26" s="154"/>
      <c r="C26" s="6">
        <v>24</v>
      </c>
      <c r="D26" s="6" t="s">
        <v>427</v>
      </c>
      <c r="E26" s="6" t="s">
        <v>428</v>
      </c>
      <c r="F26" s="7" t="s">
        <v>429</v>
      </c>
      <c r="G26" s="8"/>
    </row>
    <row r="27" spans="1:7" ht="27.75" customHeight="1" x14ac:dyDescent="0.3">
      <c r="A27" s="153"/>
      <c r="B27" s="8" t="s">
        <v>430</v>
      </c>
      <c r="C27" s="6"/>
      <c r="D27" s="6"/>
      <c r="E27" s="6"/>
      <c r="F27" s="7" t="s">
        <v>431</v>
      </c>
      <c r="G27" s="8"/>
    </row>
    <row r="28" spans="1:7" ht="27.75" customHeight="1" x14ac:dyDescent="0.3">
      <c r="A28" s="153"/>
      <c r="B28" s="152" t="s">
        <v>432</v>
      </c>
      <c r="C28" s="6">
        <v>25</v>
      </c>
      <c r="D28" s="6" t="s">
        <v>433</v>
      </c>
      <c r="E28" s="6"/>
      <c r="F28" s="7" t="s">
        <v>434</v>
      </c>
      <c r="G28" s="8"/>
    </row>
    <row r="29" spans="1:7" ht="27.75" customHeight="1" x14ac:dyDescent="0.3">
      <c r="A29" s="153"/>
      <c r="B29" s="153"/>
      <c r="C29" s="6">
        <v>26</v>
      </c>
      <c r="D29" s="6" t="s">
        <v>435</v>
      </c>
      <c r="E29" s="6"/>
      <c r="F29" s="7" t="s">
        <v>436</v>
      </c>
      <c r="G29" s="8"/>
    </row>
    <row r="30" spans="1:7" ht="16.5" customHeight="1" x14ac:dyDescent="0.3">
      <c r="A30" s="153"/>
      <c r="B30" s="153"/>
      <c r="C30" s="6">
        <v>27</v>
      </c>
      <c r="D30" s="6" t="s">
        <v>437</v>
      </c>
      <c r="E30" s="6"/>
      <c r="F30" s="7" t="s">
        <v>438</v>
      </c>
      <c r="G30" s="8"/>
    </row>
    <row r="31" spans="1:7" ht="16.5" customHeight="1" x14ac:dyDescent="0.3">
      <c r="A31" s="153"/>
      <c r="B31" s="153"/>
      <c r="C31" s="6"/>
      <c r="D31" s="6" t="s">
        <v>439</v>
      </c>
      <c r="E31" s="6"/>
      <c r="F31" s="7" t="s">
        <v>440</v>
      </c>
      <c r="G31" s="8"/>
    </row>
    <row r="32" spans="1:7" ht="16.5" customHeight="1" x14ac:dyDescent="0.3">
      <c r="A32" s="153"/>
      <c r="B32" s="153"/>
      <c r="C32" s="6"/>
      <c r="D32" s="6" t="s">
        <v>441</v>
      </c>
      <c r="E32" s="6"/>
      <c r="F32" s="7">
        <v>8</v>
      </c>
      <c r="G32" s="8"/>
    </row>
    <row r="33" spans="1:7" ht="16.5" customHeight="1" x14ac:dyDescent="0.3">
      <c r="A33" s="153"/>
      <c r="B33" s="153"/>
      <c r="C33" s="6"/>
      <c r="D33" s="6" t="s">
        <v>442</v>
      </c>
      <c r="E33" s="6"/>
      <c r="F33" s="7">
        <v>15</v>
      </c>
      <c r="G33" s="8"/>
    </row>
    <row r="34" spans="1:7" ht="16.5" customHeight="1" x14ac:dyDescent="0.3">
      <c r="A34" s="153"/>
      <c r="B34" s="153"/>
      <c r="C34" s="6"/>
      <c r="D34" s="6" t="s">
        <v>443</v>
      </c>
      <c r="E34" s="6"/>
      <c r="F34" s="7" t="s">
        <v>444</v>
      </c>
      <c r="G34" s="8"/>
    </row>
    <row r="35" spans="1:7" ht="16.5" customHeight="1" x14ac:dyDescent="0.3">
      <c r="A35" s="153"/>
      <c r="B35" s="154"/>
      <c r="C35" s="6"/>
      <c r="D35" s="6" t="s">
        <v>445</v>
      </c>
      <c r="E35" s="6"/>
      <c r="F35" s="7" t="s">
        <v>446</v>
      </c>
      <c r="G35" s="8"/>
    </row>
    <row r="36" spans="1:7" ht="27.75" customHeight="1" x14ac:dyDescent="0.3">
      <c r="A36" s="154"/>
      <c r="B36" s="8" t="s">
        <v>447</v>
      </c>
      <c r="C36" s="6">
        <v>28</v>
      </c>
      <c r="D36" s="6" t="s">
        <v>246</v>
      </c>
      <c r="E36" s="6"/>
      <c r="F36" s="7" t="s">
        <v>448</v>
      </c>
      <c r="G36" s="8"/>
    </row>
    <row r="37" spans="1:7" ht="16.5" customHeight="1" x14ac:dyDescent="0.3">
      <c r="A37" s="152" t="s">
        <v>16</v>
      </c>
      <c r="B37" s="152" t="s">
        <v>449</v>
      </c>
      <c r="C37" s="6">
        <v>29</v>
      </c>
      <c r="D37" s="6" t="s">
        <v>450</v>
      </c>
      <c r="E37" s="6"/>
      <c r="F37" s="7" t="s">
        <v>451</v>
      </c>
      <c r="G37" s="8"/>
    </row>
    <row r="38" spans="1:7" ht="27.75" customHeight="1" x14ac:dyDescent="0.3">
      <c r="A38" s="153"/>
      <c r="B38" s="153"/>
      <c r="C38" s="6">
        <v>30</v>
      </c>
      <c r="D38" s="6" t="s">
        <v>452</v>
      </c>
      <c r="E38" s="6"/>
      <c r="F38" s="7" t="s">
        <v>453</v>
      </c>
      <c r="G38" s="8"/>
    </row>
    <row r="39" spans="1:7" ht="27.75" customHeight="1" x14ac:dyDescent="0.3">
      <c r="A39" s="153"/>
      <c r="B39" s="153"/>
      <c r="C39" s="6">
        <v>31</v>
      </c>
      <c r="D39" s="6" t="s">
        <v>454</v>
      </c>
      <c r="E39" s="6"/>
      <c r="F39" s="7" t="s">
        <v>455</v>
      </c>
      <c r="G39" s="8"/>
    </row>
    <row r="40" spans="1:7" ht="16.5" customHeight="1" x14ac:dyDescent="0.3">
      <c r="A40" s="153"/>
      <c r="B40" s="152" t="s">
        <v>456</v>
      </c>
      <c r="C40" s="6">
        <v>32</v>
      </c>
      <c r="D40" s="6" t="s">
        <v>457</v>
      </c>
      <c r="E40" s="6"/>
      <c r="F40" s="7" t="s">
        <v>458</v>
      </c>
      <c r="G40" s="8"/>
    </row>
    <row r="41" spans="1:7" ht="16.5" customHeight="1" x14ac:dyDescent="0.3">
      <c r="A41" s="153"/>
      <c r="B41" s="153"/>
      <c r="C41" s="6">
        <v>33</v>
      </c>
      <c r="D41" s="6" t="s">
        <v>459</v>
      </c>
      <c r="E41" s="6"/>
      <c r="F41" s="7" t="s">
        <v>460</v>
      </c>
      <c r="G41" s="8"/>
    </row>
    <row r="42" spans="1:7" ht="16.5" customHeight="1" x14ac:dyDescent="0.3">
      <c r="A42" s="153"/>
      <c r="B42" s="154"/>
      <c r="C42" s="6">
        <v>34</v>
      </c>
      <c r="D42" s="6" t="s">
        <v>233</v>
      </c>
      <c r="E42" s="6"/>
      <c r="F42" s="7" t="s">
        <v>461</v>
      </c>
      <c r="G42" s="8"/>
    </row>
    <row r="43" spans="1:7" ht="16.5" customHeight="1" x14ac:dyDescent="0.3">
      <c r="A43" s="154"/>
      <c r="B43" s="8" t="s">
        <v>462</v>
      </c>
      <c r="C43" s="6">
        <v>35</v>
      </c>
      <c r="D43" s="6" t="s">
        <v>463</v>
      </c>
      <c r="E43" s="6"/>
      <c r="F43" s="7" t="s">
        <v>464</v>
      </c>
      <c r="G43" s="8"/>
    </row>
    <row r="44" spans="1:7" ht="16.5" customHeight="1" x14ac:dyDescent="0.3">
      <c r="A44" s="5"/>
      <c r="B44" s="8"/>
      <c r="C44" s="6"/>
      <c r="D44" s="6"/>
      <c r="E44" s="6"/>
      <c r="F44" s="7"/>
      <c r="G44" s="8"/>
    </row>
    <row r="45" spans="1:7" ht="16.5" customHeight="1" x14ac:dyDescent="0.3">
      <c r="A45" s="9" t="s">
        <v>465</v>
      </c>
      <c r="B45" s="9" t="s">
        <v>466</v>
      </c>
      <c r="C45" s="10" t="s">
        <v>467</v>
      </c>
      <c r="D45" s="10" t="s">
        <v>468</v>
      </c>
      <c r="E45" s="10"/>
      <c r="F45" s="11" t="s">
        <v>469</v>
      </c>
      <c r="G45" s="9" t="s">
        <v>470</v>
      </c>
    </row>
    <row r="46" spans="1:7" ht="27.75" customHeight="1" x14ac:dyDescent="0.3">
      <c r="A46" s="12" t="s">
        <v>471</v>
      </c>
      <c r="B46" s="12" t="s">
        <v>472</v>
      </c>
      <c r="C46" s="13" t="s">
        <v>473</v>
      </c>
      <c r="D46" s="13" t="s">
        <v>474</v>
      </c>
      <c r="E46" s="13"/>
      <c r="F46" s="14">
        <v>24</v>
      </c>
      <c r="G46" s="12" t="s">
        <v>475</v>
      </c>
    </row>
    <row r="47" spans="1:7" ht="27.75" customHeight="1" x14ac:dyDescent="0.3">
      <c r="A47" s="12" t="s">
        <v>471</v>
      </c>
      <c r="B47" s="12" t="s">
        <v>472</v>
      </c>
      <c r="C47" s="13" t="s">
        <v>476</v>
      </c>
      <c r="D47" s="13" t="s">
        <v>477</v>
      </c>
      <c r="E47" s="13"/>
      <c r="F47" s="14">
        <v>16</v>
      </c>
      <c r="G47" s="12" t="s">
        <v>475</v>
      </c>
    </row>
    <row r="48" spans="1:7" ht="27.75" customHeight="1" x14ac:dyDescent="0.3">
      <c r="A48" s="12" t="s">
        <v>471</v>
      </c>
      <c r="B48" s="12" t="s">
        <v>472</v>
      </c>
      <c r="C48" s="13" t="s">
        <v>478</v>
      </c>
      <c r="D48" s="13" t="s">
        <v>479</v>
      </c>
      <c r="E48" s="13"/>
      <c r="F48" s="14">
        <v>0</v>
      </c>
      <c r="G48" s="12" t="s">
        <v>480</v>
      </c>
    </row>
    <row r="49" spans="1:7" ht="27.75" customHeight="1" x14ac:dyDescent="0.3">
      <c r="A49" s="12" t="s">
        <v>471</v>
      </c>
      <c r="B49" s="12" t="s">
        <v>472</v>
      </c>
      <c r="C49" s="13" t="s">
        <v>481</v>
      </c>
      <c r="D49" s="13" t="s">
        <v>482</v>
      </c>
      <c r="E49" s="13"/>
      <c r="F49" s="14">
        <v>1</v>
      </c>
      <c r="G49" s="12" t="s">
        <v>480</v>
      </c>
    </row>
    <row r="50" spans="1:7" ht="27.75" customHeight="1" x14ac:dyDescent="0.3">
      <c r="A50" s="12" t="s">
        <v>471</v>
      </c>
      <c r="B50" s="12" t="s">
        <v>472</v>
      </c>
      <c r="C50" s="13" t="s">
        <v>483</v>
      </c>
      <c r="D50" s="13" t="s">
        <v>484</v>
      </c>
      <c r="E50" s="13"/>
      <c r="F50" s="14">
        <v>2</v>
      </c>
      <c r="G50" s="12" t="s">
        <v>480</v>
      </c>
    </row>
    <row r="51" spans="1:7" ht="27.75" customHeight="1" x14ac:dyDescent="0.3">
      <c r="A51" s="12" t="s">
        <v>471</v>
      </c>
      <c r="B51" s="12" t="s">
        <v>485</v>
      </c>
      <c r="C51" s="13" t="s">
        <v>486</v>
      </c>
      <c r="D51" s="13" t="s">
        <v>487</v>
      </c>
      <c r="E51" s="13"/>
      <c r="F51" s="14">
        <v>1</v>
      </c>
      <c r="G51" s="12" t="s">
        <v>480</v>
      </c>
    </row>
    <row r="52" spans="1:7" ht="27.75" customHeight="1" x14ac:dyDescent="0.3">
      <c r="A52" s="12" t="s">
        <v>471</v>
      </c>
      <c r="B52" s="12" t="s">
        <v>485</v>
      </c>
      <c r="C52" s="13" t="s">
        <v>488</v>
      </c>
      <c r="D52" s="13" t="s">
        <v>489</v>
      </c>
      <c r="E52" s="13"/>
      <c r="F52" s="14">
        <v>1</v>
      </c>
      <c r="G52" s="12" t="s">
        <v>480</v>
      </c>
    </row>
    <row r="53" spans="1:7" ht="27.75" customHeight="1" x14ac:dyDescent="0.3">
      <c r="A53" s="12" t="s">
        <v>471</v>
      </c>
      <c r="B53" s="12" t="s">
        <v>485</v>
      </c>
      <c r="C53" s="13" t="s">
        <v>490</v>
      </c>
      <c r="D53" s="13" t="s">
        <v>491</v>
      </c>
      <c r="E53" s="13"/>
      <c r="F53" s="14">
        <v>0</v>
      </c>
      <c r="G53" s="12" t="s">
        <v>475</v>
      </c>
    </row>
    <row r="54" spans="1:7" ht="27.75" customHeight="1" x14ac:dyDescent="0.3">
      <c r="A54" s="12" t="s">
        <v>471</v>
      </c>
      <c r="B54" s="12" t="s">
        <v>492</v>
      </c>
      <c r="C54" s="13" t="s">
        <v>493</v>
      </c>
      <c r="D54" s="13" t="s">
        <v>494</v>
      </c>
      <c r="E54" s="13"/>
      <c r="F54" s="14">
        <v>1</v>
      </c>
      <c r="G54" s="12" t="s">
        <v>475</v>
      </c>
    </row>
    <row r="55" spans="1:7" ht="27.75" customHeight="1" x14ac:dyDescent="0.3">
      <c r="A55" s="12" t="s">
        <v>471</v>
      </c>
      <c r="B55" s="12" t="s">
        <v>492</v>
      </c>
      <c r="C55" s="13" t="s">
        <v>495</v>
      </c>
      <c r="D55" s="13" t="s">
        <v>496</v>
      </c>
      <c r="E55" s="13"/>
      <c r="F55" s="14">
        <v>0</v>
      </c>
      <c r="G55" s="12" t="s">
        <v>475</v>
      </c>
    </row>
    <row r="56" spans="1:7" ht="16.5" customHeight="1" x14ac:dyDescent="0.3">
      <c r="A56" s="12" t="s">
        <v>471</v>
      </c>
      <c r="B56" s="12" t="s">
        <v>497</v>
      </c>
      <c r="C56" s="13" t="s">
        <v>498</v>
      </c>
      <c r="D56" s="13" t="s">
        <v>499</v>
      </c>
      <c r="E56" s="13"/>
      <c r="F56" s="14" t="s">
        <v>413</v>
      </c>
      <c r="G56" s="12" t="s">
        <v>480</v>
      </c>
    </row>
    <row r="57" spans="1:7" ht="41.25" customHeight="1" x14ac:dyDescent="0.3">
      <c r="A57" s="12" t="s">
        <v>471</v>
      </c>
      <c r="B57" s="12" t="s">
        <v>497</v>
      </c>
      <c r="C57" s="13" t="s">
        <v>500</v>
      </c>
      <c r="D57" s="13" t="s">
        <v>501</v>
      </c>
      <c r="E57" s="13"/>
      <c r="F57" s="14">
        <v>4</v>
      </c>
      <c r="G57" s="12" t="s">
        <v>475</v>
      </c>
    </row>
    <row r="58" spans="1:7" ht="41.25" customHeight="1" x14ac:dyDescent="0.3">
      <c r="A58" s="12" t="s">
        <v>471</v>
      </c>
      <c r="B58" s="12" t="s">
        <v>497</v>
      </c>
      <c r="C58" s="13" t="s">
        <v>502</v>
      </c>
      <c r="D58" s="13" t="s">
        <v>501</v>
      </c>
      <c r="E58" s="13"/>
      <c r="F58" s="14">
        <v>3</v>
      </c>
      <c r="G58" s="12" t="s">
        <v>475</v>
      </c>
    </row>
    <row r="59" spans="1:7" ht="41.25" customHeight="1" x14ac:dyDescent="0.3">
      <c r="A59" s="12" t="s">
        <v>471</v>
      </c>
      <c r="B59" s="12" t="s">
        <v>497</v>
      </c>
      <c r="C59" s="13" t="s">
        <v>503</v>
      </c>
      <c r="D59" s="13" t="s">
        <v>504</v>
      </c>
      <c r="E59" s="13"/>
      <c r="F59" s="14">
        <v>0</v>
      </c>
      <c r="G59" s="12" t="s">
        <v>480</v>
      </c>
    </row>
    <row r="60" spans="1:7" ht="41.25" customHeight="1" x14ac:dyDescent="0.3">
      <c r="A60" s="12" t="s">
        <v>471</v>
      </c>
      <c r="B60" s="12" t="s">
        <v>505</v>
      </c>
      <c r="C60" s="13" t="s">
        <v>506</v>
      </c>
      <c r="D60" s="13" t="s">
        <v>507</v>
      </c>
      <c r="E60" s="13"/>
      <c r="F60" s="14">
        <v>2</v>
      </c>
      <c r="G60" s="12" t="s">
        <v>475</v>
      </c>
    </row>
    <row r="61" spans="1:7" ht="16.5" customHeight="1" x14ac:dyDescent="0.3">
      <c r="A61" s="12" t="s">
        <v>471</v>
      </c>
      <c r="B61" s="12" t="s">
        <v>508</v>
      </c>
      <c r="C61" s="13" t="s">
        <v>509</v>
      </c>
      <c r="D61" s="13" t="s">
        <v>510</v>
      </c>
      <c r="E61" s="13"/>
      <c r="F61" s="14">
        <v>0</v>
      </c>
      <c r="G61" s="12" t="s">
        <v>480</v>
      </c>
    </row>
    <row r="62" spans="1:7" ht="27.75" customHeight="1" x14ac:dyDescent="0.3">
      <c r="A62" s="12" t="s">
        <v>471</v>
      </c>
      <c r="B62" s="12" t="s">
        <v>511</v>
      </c>
      <c r="C62" s="13" t="s">
        <v>512</v>
      </c>
      <c r="D62" s="13" t="s">
        <v>513</v>
      </c>
      <c r="E62" s="13"/>
      <c r="F62" s="14">
        <v>0</v>
      </c>
      <c r="G62" s="12" t="s">
        <v>480</v>
      </c>
    </row>
    <row r="63" spans="1:7" ht="27.75" customHeight="1" x14ac:dyDescent="0.3">
      <c r="A63" s="12" t="s">
        <v>471</v>
      </c>
      <c r="B63" s="12" t="s">
        <v>485</v>
      </c>
      <c r="C63" s="13" t="s">
        <v>514</v>
      </c>
      <c r="D63" s="13" t="s">
        <v>515</v>
      </c>
      <c r="E63" s="13"/>
      <c r="F63" s="14">
        <v>0</v>
      </c>
      <c r="G63" s="12" t="s">
        <v>480</v>
      </c>
    </row>
    <row r="64" spans="1:7" ht="27.75" customHeight="1" x14ac:dyDescent="0.3">
      <c r="A64" s="12" t="s">
        <v>471</v>
      </c>
      <c r="B64" s="12" t="s">
        <v>516</v>
      </c>
      <c r="C64" s="13" t="s">
        <v>517</v>
      </c>
      <c r="D64" s="13" t="s">
        <v>518</v>
      </c>
      <c r="E64" s="13"/>
      <c r="F64" s="14">
        <v>34</v>
      </c>
      <c r="G64" s="12" t="s">
        <v>480</v>
      </c>
    </row>
    <row r="65" spans="1:7" ht="27.75" customHeight="1" x14ac:dyDescent="0.3">
      <c r="A65" s="12" t="s">
        <v>471</v>
      </c>
      <c r="B65" s="12" t="s">
        <v>516</v>
      </c>
      <c r="C65" s="13" t="s">
        <v>517</v>
      </c>
      <c r="D65" s="13" t="s">
        <v>519</v>
      </c>
      <c r="E65" s="13"/>
      <c r="F65" s="14">
        <v>26</v>
      </c>
      <c r="G65" s="12" t="s">
        <v>480</v>
      </c>
    </row>
    <row r="66" spans="1:7" ht="16.5" customHeight="1" x14ac:dyDescent="0.3">
      <c r="A66" s="12" t="s">
        <v>471</v>
      </c>
      <c r="B66" s="12" t="s">
        <v>520</v>
      </c>
      <c r="C66" s="13" t="s">
        <v>521</v>
      </c>
      <c r="D66" s="13" t="s">
        <v>522</v>
      </c>
      <c r="E66" s="13"/>
      <c r="F66" s="14">
        <v>1</v>
      </c>
      <c r="G66" s="12" t="s">
        <v>480</v>
      </c>
    </row>
    <row r="67" spans="1:7" ht="16.5" customHeight="1" x14ac:dyDescent="0.3">
      <c r="A67" s="12" t="s">
        <v>471</v>
      </c>
      <c r="B67" s="12" t="s">
        <v>520</v>
      </c>
      <c r="C67" s="13" t="s">
        <v>523</v>
      </c>
      <c r="D67" s="13" t="s">
        <v>524</v>
      </c>
      <c r="E67" s="13"/>
      <c r="F67" s="14">
        <v>1</v>
      </c>
      <c r="G67" s="12" t="s">
        <v>480</v>
      </c>
    </row>
    <row r="68" spans="1:7" ht="16.5" customHeight="1" x14ac:dyDescent="0.3">
      <c r="A68" s="12" t="s">
        <v>471</v>
      </c>
      <c r="B68" s="12" t="s">
        <v>520</v>
      </c>
      <c r="C68" s="13" t="s">
        <v>525</v>
      </c>
      <c r="D68" s="13" t="s">
        <v>526</v>
      </c>
      <c r="E68" s="13"/>
      <c r="F68" s="14">
        <v>3</v>
      </c>
      <c r="G68" s="12" t="s">
        <v>480</v>
      </c>
    </row>
    <row r="69" spans="1:7" ht="16.5" customHeight="1" x14ac:dyDescent="0.3">
      <c r="A69" s="12" t="s">
        <v>471</v>
      </c>
      <c r="B69" s="12" t="s">
        <v>520</v>
      </c>
      <c r="C69" s="13" t="s">
        <v>527</v>
      </c>
      <c r="D69" s="13" t="s">
        <v>528</v>
      </c>
      <c r="E69" s="13"/>
      <c r="F69" s="14">
        <v>3</v>
      </c>
      <c r="G69" s="12" t="s">
        <v>480</v>
      </c>
    </row>
    <row r="70" spans="1:7" ht="16.5" customHeight="1" x14ac:dyDescent="0.3">
      <c r="A70" s="12" t="s">
        <v>471</v>
      </c>
      <c r="B70" s="12" t="s">
        <v>520</v>
      </c>
      <c r="C70" s="13" t="s">
        <v>529</v>
      </c>
      <c r="D70" s="13" t="s">
        <v>491</v>
      </c>
      <c r="E70" s="13"/>
      <c r="F70" s="14">
        <v>3</v>
      </c>
      <c r="G70" s="12" t="s">
        <v>475</v>
      </c>
    </row>
    <row r="71" spans="1:7" ht="41.25" customHeight="1" x14ac:dyDescent="0.3">
      <c r="A71" s="12" t="s">
        <v>471</v>
      </c>
      <c r="B71" s="12" t="s">
        <v>530</v>
      </c>
      <c r="C71" s="13" t="s">
        <v>531</v>
      </c>
      <c r="D71" s="13" t="s">
        <v>532</v>
      </c>
      <c r="E71" s="13"/>
      <c r="F71" s="14">
        <v>311</v>
      </c>
      <c r="G71" s="12" t="s">
        <v>475</v>
      </c>
    </row>
    <row r="72" spans="1:7" ht="16.5" customHeight="1" x14ac:dyDescent="0.3">
      <c r="A72" s="8"/>
      <c r="B72" s="8"/>
      <c r="C72" s="6"/>
      <c r="D72" s="6"/>
      <c r="E72" s="6"/>
      <c r="F72" s="7"/>
      <c r="G72" s="8"/>
    </row>
    <row r="73" spans="1:7" ht="16.5" customHeight="1" x14ac:dyDescent="0.3">
      <c r="A73" s="15" t="s">
        <v>465</v>
      </c>
      <c r="B73" s="15" t="s">
        <v>466</v>
      </c>
      <c r="C73" s="16" t="s">
        <v>467</v>
      </c>
      <c r="D73" s="16" t="s">
        <v>468</v>
      </c>
      <c r="E73" s="16"/>
      <c r="F73" s="16" t="s">
        <v>469</v>
      </c>
      <c r="G73" s="15" t="s">
        <v>470</v>
      </c>
    </row>
    <row r="74" spans="1:7" ht="16.5" customHeight="1" x14ac:dyDescent="0.3">
      <c r="A74" s="17" t="s">
        <v>533</v>
      </c>
      <c r="B74" s="17" t="s">
        <v>531</v>
      </c>
      <c r="C74" s="18" t="s">
        <v>534</v>
      </c>
      <c r="D74" s="18" t="s">
        <v>535</v>
      </c>
      <c r="E74" s="18"/>
      <c r="F74" s="19">
        <v>311</v>
      </c>
      <c r="G74" s="17" t="s">
        <v>536</v>
      </c>
    </row>
    <row r="75" spans="1:7" ht="16.5" customHeight="1" x14ac:dyDescent="0.3">
      <c r="A75" s="17" t="s">
        <v>449</v>
      </c>
      <c r="B75" s="17" t="s">
        <v>537</v>
      </c>
      <c r="C75" s="18" t="s">
        <v>534</v>
      </c>
      <c r="D75" s="18" t="s">
        <v>538</v>
      </c>
      <c r="E75" s="18"/>
      <c r="F75" s="19">
        <v>92</v>
      </c>
      <c r="G75" s="17" t="s">
        <v>480</v>
      </c>
    </row>
    <row r="76" spans="1:7" ht="16.5" customHeight="1" x14ac:dyDescent="0.3">
      <c r="A76" s="17" t="s">
        <v>539</v>
      </c>
      <c r="B76" s="17" t="s">
        <v>540</v>
      </c>
      <c r="C76" s="18" t="s">
        <v>534</v>
      </c>
      <c r="D76" s="18" t="s">
        <v>541</v>
      </c>
      <c r="E76" s="18"/>
      <c r="F76" s="19">
        <v>0</v>
      </c>
      <c r="G76" s="17" t="s">
        <v>475</v>
      </c>
    </row>
    <row r="77" spans="1:7" ht="16.5" customHeight="1" x14ac:dyDescent="0.3">
      <c r="A77" s="17" t="s">
        <v>542</v>
      </c>
      <c r="B77" s="17" t="s">
        <v>543</v>
      </c>
      <c r="C77" s="18" t="s">
        <v>534</v>
      </c>
      <c r="D77" s="18" t="s">
        <v>435</v>
      </c>
      <c r="E77" s="18"/>
      <c r="F77" s="19">
        <v>150</v>
      </c>
      <c r="G77" s="17" t="s">
        <v>536</v>
      </c>
    </row>
    <row r="78" spans="1:7" ht="16.5" customHeight="1" x14ac:dyDescent="0.3">
      <c r="A78" s="17" t="s">
        <v>544</v>
      </c>
      <c r="B78" s="17" t="s">
        <v>545</v>
      </c>
      <c r="C78" s="18" t="s">
        <v>546</v>
      </c>
      <c r="D78" s="18" t="s">
        <v>547</v>
      </c>
      <c r="E78" s="18"/>
      <c r="F78" s="19">
        <v>7</v>
      </c>
      <c r="G78" s="17" t="s">
        <v>475</v>
      </c>
    </row>
    <row r="79" spans="1:7" ht="16.5" customHeight="1" x14ac:dyDescent="0.3">
      <c r="A79" s="17"/>
      <c r="B79" s="17" t="s">
        <v>548</v>
      </c>
      <c r="C79" s="18" t="s">
        <v>549</v>
      </c>
      <c r="D79" s="18" t="s">
        <v>550</v>
      </c>
      <c r="E79" s="18"/>
      <c r="F79" s="19">
        <v>6</v>
      </c>
      <c r="G79" s="17" t="s">
        <v>475</v>
      </c>
    </row>
    <row r="80" spans="1:7" ht="16.5" customHeight="1" x14ac:dyDescent="0.3">
      <c r="A80" s="17" t="s">
        <v>551</v>
      </c>
      <c r="B80" s="17" t="s">
        <v>545</v>
      </c>
      <c r="C80" s="18" t="s">
        <v>546</v>
      </c>
      <c r="D80" s="18" t="s">
        <v>551</v>
      </c>
      <c r="E80" s="18"/>
      <c r="F80" s="19">
        <v>28</v>
      </c>
      <c r="G80" s="17" t="s">
        <v>475</v>
      </c>
    </row>
    <row r="81" spans="1:7" ht="16.5" customHeight="1" x14ac:dyDescent="0.3">
      <c r="A81" s="17"/>
      <c r="B81" s="17" t="s">
        <v>548</v>
      </c>
      <c r="C81" s="18" t="s">
        <v>549</v>
      </c>
      <c r="D81" s="18" t="s">
        <v>552</v>
      </c>
      <c r="E81" s="18"/>
      <c r="F81" s="19">
        <v>28</v>
      </c>
      <c r="G81" s="17" t="s">
        <v>475</v>
      </c>
    </row>
    <row r="82" spans="1:7" ht="16.5" customHeight="1" x14ac:dyDescent="0.3">
      <c r="A82" s="17" t="s">
        <v>372</v>
      </c>
      <c r="B82" s="17" t="s">
        <v>545</v>
      </c>
      <c r="C82" s="18" t="s">
        <v>546</v>
      </c>
      <c r="D82" s="18" t="s">
        <v>553</v>
      </c>
      <c r="E82" s="18"/>
      <c r="F82" s="19">
        <v>9</v>
      </c>
      <c r="G82" s="17" t="s">
        <v>475</v>
      </c>
    </row>
    <row r="83" spans="1:7" ht="16.5" customHeight="1" x14ac:dyDescent="0.3">
      <c r="A83" s="17" t="s">
        <v>375</v>
      </c>
      <c r="B83" s="17" t="s">
        <v>545</v>
      </c>
      <c r="C83" s="18" t="s">
        <v>546</v>
      </c>
      <c r="D83" s="18" t="s">
        <v>554</v>
      </c>
      <c r="E83" s="18"/>
      <c r="F83" s="19">
        <v>28</v>
      </c>
      <c r="G83" s="17" t="s">
        <v>475</v>
      </c>
    </row>
    <row r="84" spans="1:7" ht="16.5" customHeight="1" x14ac:dyDescent="0.3">
      <c r="A84" s="17" t="s">
        <v>377</v>
      </c>
      <c r="B84" s="17" t="s">
        <v>457</v>
      </c>
      <c r="C84" s="18" t="s">
        <v>555</v>
      </c>
      <c r="D84" s="18" t="s">
        <v>556</v>
      </c>
      <c r="E84" s="18"/>
      <c r="F84" s="19">
        <v>30</v>
      </c>
      <c r="G84" s="17" t="s">
        <v>475</v>
      </c>
    </row>
    <row r="85" spans="1:7" ht="16.5" customHeight="1" x14ac:dyDescent="0.3">
      <c r="A85" s="17" t="s">
        <v>380</v>
      </c>
      <c r="B85" s="17" t="s">
        <v>557</v>
      </c>
      <c r="C85" s="18" t="s">
        <v>558</v>
      </c>
      <c r="D85" s="18" t="s">
        <v>556</v>
      </c>
      <c r="E85" s="18"/>
      <c r="F85" s="19">
        <v>200</v>
      </c>
      <c r="G85" s="17" t="s">
        <v>475</v>
      </c>
    </row>
    <row r="86" spans="1:7" ht="16.5" customHeight="1" x14ac:dyDescent="0.3">
      <c r="A86" s="17" t="s">
        <v>559</v>
      </c>
      <c r="B86" s="17" t="s">
        <v>560</v>
      </c>
      <c r="C86" s="18" t="s">
        <v>561</v>
      </c>
      <c r="D86" s="18" t="s">
        <v>562</v>
      </c>
      <c r="E86" s="18"/>
      <c r="F86" s="19">
        <v>13</v>
      </c>
      <c r="G86" s="17" t="s">
        <v>475</v>
      </c>
    </row>
  </sheetData>
  <mergeCells count="10">
    <mergeCell ref="A2:A36"/>
    <mergeCell ref="A37:A43"/>
    <mergeCell ref="B2:B16"/>
    <mergeCell ref="B17:B18"/>
    <mergeCell ref="B19:B20"/>
    <mergeCell ref="B22:B24"/>
    <mergeCell ref="B25:B26"/>
    <mergeCell ref="B28:B35"/>
    <mergeCell ref="B37:B39"/>
    <mergeCell ref="B40:B42"/>
  </mergeCells>
  <phoneticPr fontId="2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总价汇总表</vt:lpstr>
      <vt:lpstr>硬件-报价汇总表</vt:lpstr>
      <vt:lpstr>硬件-报价说明</vt:lpstr>
      <vt:lpstr>硬件-报价明细</vt:lpstr>
      <vt:lpstr>附录五硬件场景需求表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Administrator</cp:lastModifiedBy>
  <dcterms:created xsi:type="dcterms:W3CDTF">2006-09-16T00:00:00Z</dcterms:created>
  <dcterms:modified xsi:type="dcterms:W3CDTF">2026-09-08T03:39:31Z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AF0ABBD3FB3C44528AE483A3A5504FF9_12</vt:lpwstr>
  </property>
  <property fmtid="{D5CDD505-2E9C-101B-9397-08002B2CF9AE}" pid="3" name="KSOProductBuildVer">
    <vt:lpwstr>2052-12.1.0.28505</vt:lpwstr>
  </property>
  <property fmtid="{D5CDD505-2E9C-101B-9397-08002B2CF9AE}" pid="4" name="CalculationRule">
    <vt:i4>0</vt:i4>
  </property>
</Properties>
</file>