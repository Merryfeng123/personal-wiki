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与图例" sheetId="1" state="visible" r:id="rId3"/>
    <sheet name="进度看板" sheetId="2" state="visible" r:id="rId4"/>
    <sheet name="决策层" sheetId="3" state="visible" r:id="rId5"/>
    <sheet name="物流供应链部" sheetId="4" state="visible" r:id="rId6"/>
    <sheet name="生产计划PMC" sheetId="5" state="visible" r:id="rId7"/>
    <sheet name="仓储收发货" sheetId="6" state="visible" r:id="rId8"/>
    <sheet name="IT数字化" sheetId="7" state="visible" r:id="rId9"/>
    <sheet name="智慧园区IOC" sheetId="8" state="visible" r:id="rId10"/>
    <sheet name="安全EHS保卫" sheetId="9" state="visible" r:id="rId11"/>
    <sheet name="园区行政物业" sheetId="10" state="visible" r:id="rId12"/>
    <sheet name="采购财务" sheetId="11" state="visible" r:id="rId13"/>
    <sheet name="现场与承运商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<sst xmlns="http://schemas.openxmlformats.org/spreadsheetml/2006/main" count="398" uniqueCount="191">
  <si>
    <r>
      <rPr>
        <b val="true"/>
        <sz val="15"/>
        <color rgb="FF0B3B5C"/>
        <rFont val="Noto Sans CJK SC"/>
        <family val="2"/>
      </rPr>
      <t xml:space="preserve">阳光电源园区智慧物流 </t>
    </r>
    <r>
      <rPr>
        <b val="true"/>
        <sz val="15"/>
        <color rgb="FF0B3B5C"/>
        <rFont val="微软雅黑"/>
        <family val="0"/>
        <charset val="1"/>
      </rPr>
      <t xml:space="preserve">· </t>
    </r>
    <r>
      <rPr>
        <b val="true"/>
        <sz val="15"/>
        <color rgb="FF0B3B5C"/>
        <rFont val="Noto Sans CJK SC"/>
        <family val="2"/>
      </rPr>
      <t xml:space="preserve">分部门调研问题清单</t>
    </r>
  </si>
  <si>
    <t xml:space="preserve">使用说明</t>
  </si>
  <si>
    <r>
      <rPr>
        <sz val="10"/>
        <color rgb="FF2C2C2A"/>
        <rFont val="微软雅黑"/>
        <family val="0"/>
        <charset val="1"/>
      </rPr>
      <t xml:space="preserve">1. </t>
    </r>
    <r>
      <rPr>
        <sz val="10"/>
        <color rgb="FF2C2C2A"/>
        <rFont val="Noto Sans CJK SC"/>
        <family val="2"/>
      </rPr>
      <t xml:space="preserve">每个部门单独一个工作表（见下方标签），可分别打印或发给对应部门访谈填写。</t>
    </r>
  </si>
  <si>
    <r>
      <rPr>
        <sz val="10"/>
        <color rgb="FF2C2C2A"/>
        <rFont val="微软雅黑"/>
        <family val="0"/>
        <charset val="1"/>
      </rPr>
      <t xml:space="preserve">2. </t>
    </r>
    <r>
      <rPr>
        <sz val="10"/>
        <color rgb="FF2C2C2A"/>
        <rFont val="Noto Sans CJK SC"/>
        <family val="2"/>
      </rPr>
      <t xml:space="preserve">黄色列为填写栏：受访人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联系人、回答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现状记录、状态、跟进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备注。</t>
    </r>
  </si>
  <si>
    <r>
      <rPr>
        <sz val="10"/>
        <color rgb="FF2C2C2A"/>
        <rFont val="微软雅黑"/>
        <family val="0"/>
        <charset val="1"/>
      </rPr>
      <t xml:space="preserve">3. </t>
    </r>
    <r>
      <rPr>
        <sz val="10"/>
        <color rgb="FF2C2C2A"/>
        <rFont val="Noto Sans CJK SC"/>
        <family val="2"/>
      </rPr>
      <t xml:space="preserve">「优先级」和「状态」为下拉选择；优先级已按建议预填，可按贵司实际调整。</t>
    </r>
  </si>
  <si>
    <r>
      <rPr>
        <sz val="10"/>
        <color rgb="FF2C2C2A"/>
        <rFont val="微软雅黑"/>
        <family val="0"/>
        <charset val="1"/>
      </rPr>
      <t xml:space="preserve">4. </t>
    </r>
    <r>
      <rPr>
        <sz val="10"/>
        <color rgb="FF2C2C2A"/>
        <rFont val="Noto Sans CJK SC"/>
        <family val="2"/>
      </rPr>
      <t xml:space="preserve">「进度看板」工作表会根据各表「状态」列自动统计各部门完成率，无需手工汇总。</t>
    </r>
  </si>
  <si>
    <t xml:space="preserve">优先级定义</t>
  </si>
  <si>
    <t xml:space="preserve">高</t>
  </si>
  <si>
    <t xml:space="preserve">决定项目范围、造价或能否落地的关键问题，应最先问清。</t>
  </si>
  <si>
    <t xml:space="preserve">中</t>
  </si>
  <si>
    <t xml:space="preserve">影响方案设计与功能细节的重要问题。</t>
  </si>
  <si>
    <t xml:space="preserve">低</t>
  </si>
  <si>
    <t xml:space="preserve">锦上添花或后续阶段再细化的问题。</t>
  </si>
  <si>
    <t xml:space="preserve">填写示例（此行仅为格式示范，正式填写见各部门工作表）</t>
  </si>
  <si>
    <t xml:space="preserve">优先级</t>
  </si>
  <si>
    <t xml:space="preserve">调研问题</t>
  </si>
  <si>
    <r>
      <rPr>
        <b val="true"/>
        <sz val="9"/>
        <color rgb="FFFFFFFF"/>
        <rFont val="Noto Sans CJK SC"/>
        <family val="2"/>
      </rPr>
      <t xml:space="preserve">目的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影响</t>
    </r>
  </si>
  <si>
    <r>
      <rPr>
        <b val="true"/>
        <sz val="9"/>
        <color rgb="FFFFFFFF"/>
        <rFont val="Noto Sans CJK SC"/>
        <family val="2"/>
      </rPr>
      <t xml:space="preserve">受访人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联系人</t>
    </r>
  </si>
  <si>
    <r>
      <rPr>
        <b val="true"/>
        <sz val="9"/>
        <color rgb="FFFFFFFF"/>
        <rFont val="Noto Sans CJK SC"/>
        <family val="2"/>
      </rPr>
      <t xml:space="preserve">回答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现状记录</t>
    </r>
  </si>
  <si>
    <t xml:space="preserve">状态</t>
  </si>
  <si>
    <r>
      <rPr>
        <b val="true"/>
        <sz val="9"/>
        <color rgb="FFFFFFFF"/>
        <rFont val="Noto Sans CJK SC"/>
        <family val="2"/>
      </rPr>
      <t xml:space="preserve">跟进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备注</t>
    </r>
  </si>
  <si>
    <t xml:space="preserve">现在如何调度、排队、分配月台？用什么工具？</t>
  </si>
  <si>
    <t xml:space="preserve">现状基线与痛点</t>
  </si>
  <si>
    <t xml:space="preserve">张经理（物流部）</t>
  </si>
  <si>
    <r>
      <rPr>
        <sz val="10"/>
        <color rgb="FF2C2C2A"/>
        <rFont val="Noto Sans CJK SC"/>
        <family val="2"/>
      </rPr>
      <t xml:space="preserve">目前靠门卫电话通知 </t>
    </r>
    <r>
      <rPr>
        <sz val="10"/>
        <color rgb="FF2C2C2A"/>
        <rFont val="微软雅黑"/>
        <family val="0"/>
        <charset val="1"/>
      </rPr>
      <t xml:space="preserve">+ </t>
    </r>
    <r>
      <rPr>
        <sz val="10"/>
        <color rgb="FF2C2C2A"/>
        <rFont val="Noto Sans CJK SC"/>
        <family val="2"/>
      </rPr>
      <t xml:space="preserve">微信群，高峰全靠人工协调</t>
    </r>
  </si>
  <si>
    <t xml:space="preserve">进行中</t>
  </si>
  <si>
    <t xml:space="preserve">需索取近一个月车流台账</t>
  </si>
  <si>
    <t xml:space="preserve">★ 无论对接哪个部门，都应优先问清的关键先决问题</t>
  </si>
  <si>
    <r>
      <rPr>
        <sz val="10"/>
        <color rgb="FF2C2C2A"/>
        <rFont val="微软雅黑"/>
        <family val="0"/>
        <charset val="1"/>
      </rPr>
      <t xml:space="preserve">· IOC </t>
    </r>
    <r>
      <rPr>
        <sz val="10"/>
        <color rgb="FF2C2C2A"/>
        <rFont val="Noto Sans CJK SC"/>
        <family val="2"/>
      </rPr>
      <t xml:space="preserve">平台是哪家生态、数据接入规范是什么？</t>
    </r>
  </si>
  <si>
    <r>
      <rPr>
        <sz val="10"/>
        <color rgb="FF2C2C2A"/>
        <rFont val="微软雅黑"/>
        <family val="0"/>
        <charset val="1"/>
      </rPr>
      <t xml:space="preserve">· ERP </t>
    </r>
    <r>
      <rPr>
        <sz val="10"/>
        <color rgb="FF2C2C2A"/>
        <rFont val="Noto Sans CJK SC"/>
        <family val="2"/>
      </rPr>
      <t xml:space="preserve">是否为 </t>
    </r>
    <r>
      <rPr>
        <sz val="10"/>
        <color rgb="FF2C2C2A"/>
        <rFont val="微软雅黑"/>
        <family val="0"/>
        <charset val="1"/>
      </rPr>
      <t xml:space="preserve">SAP</t>
    </r>
    <r>
      <rPr>
        <sz val="10"/>
        <color rgb="FF2C2C2A"/>
        <rFont val="Noto Sans CJK SC"/>
        <family val="2"/>
      </rPr>
      <t xml:space="preserve">？是否已上 </t>
    </r>
    <r>
      <rPr>
        <sz val="10"/>
        <color rgb="FF2C2C2A"/>
        <rFont val="微软雅黑"/>
        <family val="0"/>
        <charset val="1"/>
      </rPr>
      <t xml:space="preserve">WMS / MES</t>
    </r>
    <r>
      <rPr>
        <sz val="10"/>
        <color rgb="FF2C2C2A"/>
        <rFont val="Noto Sans CJK SC"/>
        <family val="2"/>
      </rPr>
      <t xml:space="preserve">？</t>
    </r>
  </si>
  <si>
    <r>
      <rPr>
        <sz val="10"/>
        <color rgb="FF2C2C2A"/>
        <rFont val="微软雅黑"/>
        <family val="0"/>
        <charset val="1"/>
      </rPr>
      <t xml:space="preserve">· </t>
    </r>
    <r>
      <rPr>
        <sz val="10"/>
        <color rgb="FF2C2C2A"/>
        <rFont val="Noto Sans CJK SC"/>
        <family val="2"/>
      </rPr>
      <t xml:space="preserve">三园高峰车流曲线与货物类型（是否含危化）？</t>
    </r>
  </si>
  <si>
    <r>
      <rPr>
        <sz val="10"/>
        <color rgb="FF2C2C2A"/>
        <rFont val="微软雅黑"/>
        <family val="0"/>
        <charset val="1"/>
      </rPr>
      <t xml:space="preserve">· </t>
    </r>
    <r>
      <rPr>
        <sz val="10"/>
        <color rgb="FF2C2C2A"/>
        <rFont val="Noto Sans CJK SC"/>
        <family val="2"/>
      </rPr>
      <t xml:space="preserve">现有硬件（摄像头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道闸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地磅）与网络（</t>
    </r>
    <r>
      <rPr>
        <sz val="10"/>
        <color rgb="FF2C2C2A"/>
        <rFont val="微软雅黑"/>
        <family val="0"/>
        <charset val="1"/>
      </rPr>
      <t xml:space="preserve">5G / WiFi / </t>
    </r>
    <r>
      <rPr>
        <sz val="10"/>
        <color rgb="FF2C2C2A"/>
        <rFont val="Noto Sans CJK SC"/>
        <family val="2"/>
      </rPr>
      <t xml:space="preserve">专网）存量？</t>
    </r>
  </si>
  <si>
    <r>
      <rPr>
        <sz val="10"/>
        <color rgb="FF2C2C2A"/>
        <rFont val="微软雅黑"/>
        <family val="0"/>
        <charset val="1"/>
      </rPr>
      <t xml:space="preserve">· </t>
    </r>
    <r>
      <rPr>
        <sz val="10"/>
        <color rgb="FF2C2C2A"/>
        <rFont val="Noto Sans CJK SC"/>
        <family val="2"/>
      </rPr>
      <t xml:space="preserve">信息安全与部署要求（等保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私有化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内外网隔离）？</t>
    </r>
  </si>
  <si>
    <r>
      <rPr>
        <sz val="10"/>
        <color rgb="FF2C2C2A"/>
        <rFont val="微软雅黑"/>
        <family val="0"/>
        <charset val="1"/>
      </rPr>
      <t xml:space="preserve">· </t>
    </r>
    <r>
      <rPr>
        <sz val="10"/>
        <color rgb="FF2C2C2A"/>
        <rFont val="Noto Sans CJK SC"/>
        <family val="2"/>
      </rPr>
      <t xml:space="preserve">预算区间、分期节奏与期望上线时间？</t>
    </r>
  </si>
  <si>
    <t xml:space="preserve">调研进度看板（自动统计）</t>
  </si>
  <si>
    <t xml:space="preserve">各部门「状态」列填为「已完成」后，完成率自动更新。</t>
  </si>
  <si>
    <t xml:space="preserve">部门</t>
  </si>
  <si>
    <t xml:space="preserve">问题总数</t>
  </si>
  <si>
    <t xml:space="preserve">已完成</t>
  </si>
  <si>
    <t xml:space="preserve">完成率</t>
  </si>
  <si>
    <t xml:space="preserve">高优先级数</t>
  </si>
  <si>
    <t xml:space="preserve">待办（未完成）</t>
  </si>
  <si>
    <r>
      <rPr>
        <b val="true"/>
        <sz val="10"/>
        <color rgb="FF0B3B5C"/>
        <rFont val="Noto Sans CJK SC"/>
        <family val="2"/>
      </rPr>
      <t xml:space="preserve">决策层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项目发起人</t>
    </r>
  </si>
  <si>
    <r>
      <rPr>
        <b val="true"/>
        <sz val="10"/>
        <color rgb="FF0B3B5C"/>
        <rFont val="Noto Sans CJK SC"/>
        <family val="2"/>
      </rPr>
      <t xml:space="preserve">物流部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供应链管理部</t>
    </r>
  </si>
  <si>
    <t xml:space="preserve">生产计划</t>
  </si>
  <si>
    <r>
      <rPr>
        <b val="true"/>
        <sz val="10"/>
        <color rgb="FF0B3B5C"/>
        <rFont val="Noto Sans CJK SC"/>
        <family val="2"/>
      </rPr>
      <t xml:space="preserve">仓储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收发货管理部</t>
    </r>
  </si>
  <si>
    <r>
      <rPr>
        <b val="true"/>
        <sz val="10"/>
        <color rgb="FF0B3B5C"/>
        <rFont val="微软雅黑"/>
        <family val="0"/>
        <charset val="1"/>
      </rPr>
      <t xml:space="preserve">IT / </t>
    </r>
    <r>
      <rPr>
        <b val="true"/>
        <sz val="10"/>
        <color rgb="FF0B3B5C"/>
        <rFont val="Noto Sans CJK SC"/>
        <family val="2"/>
      </rPr>
      <t xml:space="preserve">数字化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信息化部</t>
    </r>
  </si>
  <si>
    <r>
      <rPr>
        <b val="true"/>
        <sz val="10"/>
        <color rgb="FF0B3B5C"/>
        <rFont val="Noto Sans CJK SC"/>
        <family val="2"/>
      </rPr>
      <t xml:space="preserve">智慧园区 </t>
    </r>
    <r>
      <rPr>
        <b val="true"/>
        <sz val="10"/>
        <color rgb="FF0B3B5C"/>
        <rFont val="微软雅黑"/>
        <family val="0"/>
        <charset val="1"/>
      </rPr>
      <t xml:space="preserve">/ IOC </t>
    </r>
    <r>
      <rPr>
        <b val="true"/>
        <sz val="10"/>
        <color rgb="FF0B3B5C"/>
        <rFont val="Noto Sans CJK SC"/>
        <family val="2"/>
      </rPr>
      <t xml:space="preserve">运营团队</t>
    </r>
  </si>
  <si>
    <r>
      <rPr>
        <b val="true"/>
        <sz val="10"/>
        <color rgb="FF0B3B5C"/>
        <rFont val="Noto Sans CJK SC"/>
        <family val="2"/>
      </rPr>
      <t xml:space="preserve">安全 </t>
    </r>
    <r>
      <rPr>
        <b val="true"/>
        <sz val="10"/>
        <color rgb="FF0B3B5C"/>
        <rFont val="微软雅黑"/>
        <family val="0"/>
        <charset val="1"/>
      </rPr>
      <t xml:space="preserve">/ EHS / </t>
    </r>
    <r>
      <rPr>
        <b val="true"/>
        <sz val="10"/>
        <color rgb="FF0B3B5C"/>
        <rFont val="Noto Sans CJK SC"/>
        <family val="2"/>
      </rPr>
      <t xml:space="preserve">保卫部</t>
    </r>
  </si>
  <si>
    <r>
      <rPr>
        <b val="true"/>
        <sz val="10"/>
        <color rgb="FF0B3B5C"/>
        <rFont val="Noto Sans CJK SC"/>
        <family val="2"/>
      </rPr>
      <t xml:space="preserve">园区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行政后勤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物业</t>
    </r>
  </si>
  <si>
    <r>
      <rPr>
        <b val="true"/>
        <sz val="10"/>
        <color rgb="FF0B3B5C"/>
        <rFont val="Noto Sans CJK SC"/>
        <family val="2"/>
      </rPr>
      <t xml:space="preserve">采购 </t>
    </r>
    <r>
      <rPr>
        <b val="true"/>
        <sz val="10"/>
        <color rgb="FF0B3B5C"/>
        <rFont val="微软雅黑"/>
        <family val="0"/>
        <charset val="1"/>
      </rPr>
      <t xml:space="preserve">/ </t>
    </r>
    <r>
      <rPr>
        <b val="true"/>
        <sz val="10"/>
        <color rgb="FF0B3B5C"/>
        <rFont val="Noto Sans CJK SC"/>
        <family val="2"/>
      </rPr>
      <t xml:space="preserve">财务</t>
    </r>
  </si>
  <si>
    <r>
      <rPr>
        <b val="true"/>
        <sz val="10"/>
        <color rgb="FF0B3B5C"/>
        <rFont val="Noto Sans CJK SC"/>
        <family val="2"/>
      </rPr>
      <t xml:space="preserve">一线现场 </t>
    </r>
    <r>
      <rPr>
        <b val="true"/>
        <sz val="10"/>
        <color rgb="FF0B3B5C"/>
        <rFont val="微软雅黑"/>
        <family val="0"/>
        <charset val="1"/>
      </rPr>
      <t xml:space="preserve">+ </t>
    </r>
    <r>
      <rPr>
        <b val="true"/>
        <sz val="10"/>
        <color rgb="FF0B3B5C"/>
        <rFont val="Noto Sans CJK SC"/>
        <family val="2"/>
      </rPr>
      <t xml:space="preserve">承运商</t>
    </r>
  </si>
  <si>
    <t xml:space="preserve">合计</t>
  </si>
  <si>
    <r>
      <rPr>
        <b val="true"/>
        <sz val="13"/>
        <color rgb="FF0B3B5C"/>
        <rFont val="Noto Sans CJK SC"/>
        <family val="2"/>
      </rPr>
      <t xml:space="preserve">决策层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项目发起人（</t>
    </r>
    <r>
      <rPr>
        <b val="true"/>
        <sz val="13"/>
        <color rgb="FF0B3B5C"/>
        <rFont val="微软雅黑"/>
        <family val="0"/>
        <charset val="1"/>
      </rPr>
      <t xml:space="preserve">Sponsor</t>
    </r>
    <r>
      <rPr>
        <b val="true"/>
        <sz val="13"/>
        <color rgb="FF0B3B5C"/>
        <rFont val="Noto Sans CJK SC"/>
        <family val="2"/>
      </rPr>
      <t xml:space="preserve">）</t>
    </r>
  </si>
  <si>
    <r>
      <rPr>
        <sz val="9"/>
        <color rgb="FF5F5E5A"/>
        <rFont val="Noto Sans CJK SC"/>
        <family val="2"/>
      </rPr>
      <t xml:space="preserve">黄色列为填写栏；优先级 </t>
    </r>
    <r>
      <rPr>
        <sz val="9"/>
        <color rgb="FF5F5E5A"/>
        <rFont val="微软雅黑"/>
        <family val="0"/>
        <charset val="1"/>
      </rPr>
      <t xml:space="preserve">/ </t>
    </r>
    <r>
      <rPr>
        <sz val="9"/>
        <color rgb="FF5F5E5A"/>
        <rFont val="Noto Sans CJK SC"/>
        <family val="2"/>
      </rPr>
      <t xml:space="preserve">状态为下拉选择。填写后「进度看板」自动统计完成率。</t>
    </r>
  </si>
  <si>
    <t xml:space="preserve">序号</t>
  </si>
  <si>
    <r>
      <rPr>
        <b val="true"/>
        <sz val="10"/>
        <color rgb="FFFFFFFF"/>
        <rFont val="Noto Sans CJK SC"/>
        <family val="2"/>
      </rPr>
      <t xml:space="preserve">目的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影响</t>
    </r>
  </si>
  <si>
    <r>
      <rPr>
        <b val="true"/>
        <sz val="10"/>
        <color rgb="FFFFFFFF"/>
        <rFont val="Noto Sans CJK SC"/>
        <family val="2"/>
      </rPr>
      <t xml:space="preserve">受访人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联系人</t>
    </r>
  </si>
  <si>
    <r>
      <rPr>
        <b val="true"/>
        <sz val="10"/>
        <color rgb="FFFFFFFF"/>
        <rFont val="Noto Sans CJK SC"/>
        <family val="2"/>
      </rPr>
      <t xml:space="preserve">回答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现状记录</t>
    </r>
  </si>
  <si>
    <r>
      <rPr>
        <b val="true"/>
        <sz val="10"/>
        <color rgb="FFFFFFFF"/>
        <rFont val="Noto Sans CJK SC"/>
        <family val="2"/>
      </rPr>
      <t xml:space="preserve">跟进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备注</t>
    </r>
  </si>
  <si>
    <t xml:space="preserve">本项目最想解决的前三个痛点是什么？</t>
  </si>
  <si>
    <t xml:space="preserve">明确核心目标与范围</t>
  </si>
  <si>
    <t xml:space="preserve">未开始</t>
  </si>
  <si>
    <r>
      <rPr>
        <sz val="10"/>
        <color rgb="FF2C2C2A"/>
        <rFont val="Noto Sans CJK SC"/>
        <family val="2"/>
      </rPr>
      <t xml:space="preserve">成功的量化标准是什么（如缩短在园时长 </t>
    </r>
    <r>
      <rPr>
        <sz val="10"/>
        <color rgb="FF2C2C2A"/>
        <rFont val="微软雅黑"/>
        <family val="0"/>
        <charset val="1"/>
      </rPr>
      <t xml:space="preserve">X%</t>
    </r>
    <r>
      <rPr>
        <sz val="10"/>
        <color rgb="FF2C2C2A"/>
        <rFont val="Noto Sans CJK SC"/>
        <family val="2"/>
      </rPr>
      <t xml:space="preserve">、可视度达到什么程度）？</t>
    </r>
  </si>
  <si>
    <t xml:space="preserve">定义验收指标</t>
  </si>
  <si>
    <t xml:space="preserve">范围边界：仅园区内，还是含出厂在途？三园同步还是先试点？</t>
  </si>
  <si>
    <t xml:space="preserve">直接决定方案范围与造价</t>
  </si>
  <si>
    <t xml:space="preserve">预算区间与分期投资节奏？</t>
  </si>
  <si>
    <t xml:space="preserve">决定方案档次与选型</t>
  </si>
  <si>
    <t xml:space="preserve">期望上线时间与关键里程碑？</t>
  </si>
  <si>
    <t xml:space="preserve">项目排期</t>
  </si>
  <si>
    <r>
      <rPr>
        <sz val="10"/>
        <color rgb="FF2C2C2A"/>
        <rFont val="Noto Sans CJK SC"/>
        <family val="2"/>
      </rPr>
      <t xml:space="preserve">业务 </t>
    </r>
    <r>
      <rPr>
        <sz val="10"/>
        <color rgb="FF2C2C2A"/>
        <rFont val="微软雅黑"/>
        <family val="0"/>
        <charset val="1"/>
      </rPr>
      <t xml:space="preserve">Owner </t>
    </r>
    <r>
      <rPr>
        <sz val="10"/>
        <color rgb="FF2C2C2A"/>
        <rFont val="Noto Sans CJK SC"/>
        <family val="2"/>
      </rPr>
      <t xml:space="preserve">与决策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验收机制、项目组织如何设置？</t>
    </r>
  </si>
  <si>
    <t xml:space="preserve">明确责任与推进机制</t>
  </si>
  <si>
    <r>
      <rPr>
        <sz val="10"/>
        <color rgb="FF2C2C2A"/>
        <rFont val="Noto Sans CJK SC"/>
        <family val="2"/>
      </rPr>
      <t xml:space="preserve">对国产 </t>
    </r>
    <r>
      <rPr>
        <sz val="10"/>
        <color rgb="FF2C2C2A"/>
        <rFont val="微软雅黑"/>
        <family val="0"/>
        <charset val="1"/>
      </rPr>
      <t xml:space="preserve">vs </t>
    </r>
    <r>
      <rPr>
        <sz val="10"/>
        <color rgb="FF2C2C2A"/>
        <rFont val="Noto Sans CJK SC"/>
        <family val="2"/>
      </rPr>
      <t xml:space="preserve">原生（</t>
    </r>
    <r>
      <rPr>
        <sz val="10"/>
        <color rgb="FF2C2C2A"/>
        <rFont val="微软雅黑"/>
        <family val="0"/>
        <charset val="1"/>
      </rPr>
      <t xml:space="preserve">SAP</t>
    </r>
    <r>
      <rPr>
        <sz val="10"/>
        <color rgb="FF2C2C2A"/>
        <rFont val="Noto Sans CJK SC"/>
        <family val="2"/>
      </rPr>
      <t xml:space="preserve">）路线、私有化 </t>
    </r>
    <r>
      <rPr>
        <sz val="10"/>
        <color rgb="FF2C2C2A"/>
        <rFont val="微软雅黑"/>
        <family val="0"/>
        <charset val="1"/>
      </rPr>
      <t xml:space="preserve">vs </t>
    </r>
    <r>
      <rPr>
        <sz val="10"/>
        <color rgb="FF2C2C2A"/>
        <rFont val="Noto Sans CJK SC"/>
        <family val="2"/>
      </rPr>
      <t xml:space="preserve">云是否有倾向？</t>
    </r>
  </si>
  <si>
    <t xml:space="preserve">选型方向</t>
  </si>
  <si>
    <t xml:space="preserve">是否有对标企业或期望参考的案例？</t>
  </si>
  <si>
    <t xml:space="preserve">参考借鉴</t>
  </si>
  <si>
    <r>
      <rPr>
        <b val="true"/>
        <sz val="13"/>
        <color rgb="FF0B3B5C"/>
        <rFont val="Noto Sans CJK SC"/>
        <family val="2"/>
      </rPr>
      <t xml:space="preserve">物流部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供应链管理部（核心业务方）</t>
    </r>
  </si>
  <si>
    <r>
      <rPr>
        <sz val="10"/>
        <color rgb="FF2C2C2A"/>
        <rFont val="Noto Sans CJK SC"/>
        <family val="2"/>
      </rPr>
      <t xml:space="preserve">每天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每园的车流时间分布与峰谷曲线，高峰几点、并发多少？</t>
    </r>
  </si>
  <si>
    <t xml:space="preserve">预约削峰与产能设计的关键输入</t>
  </si>
  <si>
    <r>
      <rPr>
        <sz val="10"/>
        <color rgb="FF2C2C2A"/>
        <rFont val="Noto Sans CJK SC"/>
        <family val="2"/>
      </rPr>
      <t xml:space="preserve">货车类型（重卡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厢车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新能源）与货物类别，是否含危化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超限？</t>
    </r>
  </si>
  <si>
    <t xml:space="preserve">影响定位分级与安全管控</t>
  </si>
  <si>
    <r>
      <rPr>
        <sz val="10"/>
        <color rgb="FF2C2C2A"/>
        <rFont val="Noto Sans CJK SC"/>
        <family val="2"/>
      </rPr>
      <t xml:space="preserve">现在如何调度、排队、分配月台？用什么工具（电话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微信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纸单 </t>
    </r>
    <r>
      <rPr>
        <sz val="10"/>
        <color rgb="FF2C2C2A"/>
        <rFont val="微软雅黑"/>
        <family val="0"/>
        <charset val="1"/>
      </rPr>
      <t xml:space="preserve">/ Excel</t>
    </r>
    <r>
      <rPr>
        <sz val="10"/>
        <color rgb="FF2C2C2A"/>
        <rFont val="Noto Sans CJK SC"/>
        <family val="2"/>
      </rPr>
      <t xml:space="preserve">）？</t>
    </r>
  </si>
  <si>
    <r>
      <rPr>
        <sz val="10"/>
        <color rgb="FF2C2C2A"/>
        <rFont val="Noto Sans CJK SC"/>
        <family val="2"/>
      </rPr>
      <t xml:space="preserve">最需要监控的时效环节与 </t>
    </r>
    <r>
      <rPr>
        <sz val="10"/>
        <color rgb="FF2C2C2A"/>
        <rFont val="微软雅黑"/>
        <family val="0"/>
        <charset val="1"/>
      </rPr>
      <t xml:space="preserve">KPI </t>
    </r>
    <r>
      <rPr>
        <sz val="10"/>
        <color rgb="FF2C2C2A"/>
        <rFont val="Noto Sans CJK SC"/>
        <family val="2"/>
      </rPr>
      <t xml:space="preserve">口径（在园时长从哪算到哪）？</t>
    </r>
  </si>
  <si>
    <r>
      <rPr>
        <sz val="10"/>
        <color rgb="FF5F5E5A"/>
        <rFont val="Noto Sans CJK SC"/>
        <family val="2"/>
      </rPr>
      <t xml:space="preserve">时效引擎与 </t>
    </r>
    <r>
      <rPr>
        <sz val="10"/>
        <color rgb="FF5F5E5A"/>
        <rFont val="微软雅黑"/>
        <family val="0"/>
        <charset val="1"/>
      </rPr>
      <t xml:space="preserve">KPI </t>
    </r>
    <r>
      <rPr>
        <sz val="10"/>
        <color rgb="FF5F5E5A"/>
        <rFont val="Noto Sans CJK SC"/>
        <family val="2"/>
      </rPr>
      <t xml:space="preserve">定义</t>
    </r>
  </si>
  <si>
    <t xml:space="preserve">承运商数量、能否要求司机用小程序预约、履约与考核现状？</t>
  </si>
  <si>
    <t xml:space="preserve">预约落地可行性</t>
  </si>
  <si>
    <t xml:space="preserve">现有排队等待、拥堵的典型场景与发生频次？</t>
  </si>
  <si>
    <t xml:space="preserve">量化痛点</t>
  </si>
  <si>
    <t xml:space="preserve">是否有跨园调拨？三园货量与流向差异？</t>
  </si>
  <si>
    <t xml:space="preserve">多园协同设计</t>
  </si>
  <si>
    <r>
      <rPr>
        <sz val="10"/>
        <color rgb="FF2C2C2A"/>
        <rFont val="Noto Sans CJK SC"/>
        <family val="2"/>
      </rPr>
      <t xml:space="preserve">现有报表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台账样式，希望保留哪些口径？</t>
    </r>
  </si>
  <si>
    <t xml:space="preserve">平滑迁移</t>
  </si>
  <si>
    <r>
      <rPr>
        <b val="true"/>
        <sz val="13"/>
        <color rgb="FF0B3B5C"/>
        <rFont val="Noto Sans CJK SC"/>
        <family val="2"/>
      </rPr>
      <t xml:space="preserve">生产计划（</t>
    </r>
    <r>
      <rPr>
        <b val="true"/>
        <sz val="13"/>
        <color rgb="FF0B3B5C"/>
        <rFont val="微软雅黑"/>
        <family val="0"/>
        <charset val="1"/>
      </rPr>
      <t xml:space="preserve">PMC</t>
    </r>
    <r>
      <rPr>
        <b val="true"/>
        <sz val="13"/>
        <color rgb="FF0B3B5C"/>
        <rFont val="Noto Sans CJK SC"/>
        <family val="2"/>
      </rPr>
      <t xml:space="preserve">）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制造部</t>
    </r>
  </si>
  <si>
    <r>
      <rPr>
        <sz val="10"/>
        <color rgb="FF2C2C2A"/>
        <rFont val="Noto Sans CJK SC"/>
        <family val="2"/>
      </rPr>
      <t xml:space="preserve">到货与生产节拍如何联动？是否有齐套 </t>
    </r>
    <r>
      <rPr>
        <sz val="10"/>
        <color rgb="FF2C2C2A"/>
        <rFont val="微软雅黑"/>
        <family val="0"/>
        <charset val="1"/>
      </rPr>
      <t xml:space="preserve">/ JIT / </t>
    </r>
    <r>
      <rPr>
        <sz val="10"/>
        <color rgb="FF2C2C2A"/>
        <rFont val="Noto Sans CJK SC"/>
        <family val="2"/>
      </rPr>
      <t xml:space="preserve">线边库补料要求？</t>
    </r>
  </si>
  <si>
    <t xml:space="preserve">预约与生产协同</t>
  </si>
  <si>
    <r>
      <rPr>
        <sz val="10"/>
        <color rgb="FF2C2C2A"/>
        <rFont val="Noto Sans CJK SC"/>
        <family val="2"/>
      </rPr>
      <t xml:space="preserve">是否有 </t>
    </r>
    <r>
      <rPr>
        <sz val="10"/>
        <color rgb="FF2C2C2A"/>
        <rFont val="微软雅黑"/>
        <family val="0"/>
        <charset val="1"/>
      </rPr>
      <t xml:space="preserve">MES / APS</t>
    </r>
    <r>
      <rPr>
        <sz val="10"/>
        <color rgb="FF2C2C2A"/>
        <rFont val="Noto Sans CJK SC"/>
        <family val="2"/>
      </rPr>
      <t xml:space="preserve">？能否提供到货计划用于反向排预约？</t>
    </r>
  </si>
  <si>
    <t xml:space="preserve">集成与智能预约数据源</t>
  </si>
  <si>
    <r>
      <rPr>
        <sz val="10"/>
        <color rgb="FF2C2C2A"/>
        <rFont val="Noto Sans CJK SC"/>
        <family val="2"/>
      </rPr>
      <t xml:space="preserve">装卸优先级规则（哪些物料需插单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绿色通道）？</t>
    </r>
  </si>
  <si>
    <t xml:space="preserve">叫号与调度策略</t>
  </si>
  <si>
    <r>
      <rPr>
        <sz val="10"/>
        <color rgb="FF2C2C2A"/>
        <rFont val="Noto Sans CJK SC"/>
        <family val="2"/>
      </rPr>
      <t xml:space="preserve">生产异常（缺料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停线）时对物流的应急要求？</t>
    </r>
  </si>
  <si>
    <t xml:space="preserve">应急调度</t>
  </si>
  <si>
    <t xml:space="preserve">计划变更频率与提前期？</t>
  </si>
  <si>
    <t xml:space="preserve">预约配额动态调整</t>
  </si>
  <si>
    <r>
      <rPr>
        <b val="true"/>
        <sz val="13"/>
        <color rgb="FF0B3B5C"/>
        <rFont val="Noto Sans CJK SC"/>
        <family val="2"/>
      </rPr>
      <t xml:space="preserve">仓储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收发货管理部</t>
    </r>
  </si>
  <si>
    <r>
      <rPr>
        <sz val="10"/>
        <color rgb="FF2C2C2A"/>
        <rFont val="Noto Sans CJK SC"/>
        <family val="2"/>
      </rPr>
      <t xml:space="preserve">每园月台数量、位置，可否指定车型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货类，当前利用率？</t>
    </r>
  </si>
  <si>
    <t xml:space="preserve">月台调度核心数据</t>
  </si>
  <si>
    <t xml:space="preserve">装卸流程与平均时长、瓶颈在哪？</t>
  </si>
  <si>
    <t xml:space="preserve">时效与瓶颈分析</t>
  </si>
  <si>
    <r>
      <rPr>
        <sz val="10"/>
        <color rgb="FF2C2C2A"/>
        <rFont val="Noto Sans CJK SC"/>
        <family val="2"/>
      </rPr>
      <t xml:space="preserve">是否已上 </t>
    </r>
    <r>
      <rPr>
        <sz val="10"/>
        <color rgb="FF2C2C2A"/>
        <rFont val="微软雅黑"/>
        <family val="0"/>
        <charset val="1"/>
      </rPr>
      <t xml:space="preserve">WMS</t>
    </r>
    <r>
      <rPr>
        <sz val="10"/>
        <color rgb="FF2C2C2A"/>
        <rFont val="Noto Sans CJK SC"/>
        <family val="2"/>
      </rPr>
      <t xml:space="preserve">？装卸任务是否需与库存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收货单联动、接口方式？</t>
    </r>
  </si>
  <si>
    <t xml:space="preserve">集成范围</t>
  </si>
  <si>
    <r>
      <rPr>
        <sz val="10"/>
        <color rgb="FF2C2C2A"/>
        <rFont val="Noto Sans CJK SC"/>
        <family val="2"/>
      </rPr>
      <t xml:space="preserve">叉车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装卸班组如何调度、人力班次如何安排？</t>
    </r>
  </si>
  <si>
    <t xml:space="preserve">资源协同</t>
  </si>
  <si>
    <r>
      <rPr>
        <sz val="10"/>
        <color rgb="FF2C2C2A"/>
        <rFont val="Noto Sans CJK SC"/>
        <family val="2"/>
      </rPr>
      <t xml:space="preserve">收发货单据流程与凭证要求（签收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拍照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过磅单）？</t>
    </r>
  </si>
  <si>
    <t xml:space="preserve">流程数字化</t>
  </si>
  <si>
    <r>
      <rPr>
        <sz val="10"/>
        <color rgb="FF2C2C2A"/>
        <rFont val="Noto Sans CJK SC"/>
        <family val="2"/>
      </rPr>
      <t xml:space="preserve">退货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逆向、异常收货如何处理？</t>
    </r>
  </si>
  <si>
    <t xml:space="preserve">边界场景</t>
  </si>
  <si>
    <r>
      <rPr>
        <b val="true"/>
        <sz val="13"/>
        <color rgb="FF0B3B5C"/>
        <rFont val="微软雅黑"/>
        <family val="0"/>
        <charset val="1"/>
      </rPr>
      <t xml:space="preserve">IT / </t>
    </r>
    <r>
      <rPr>
        <b val="true"/>
        <sz val="13"/>
        <color rgb="FF0B3B5C"/>
        <rFont val="Noto Sans CJK SC"/>
        <family val="2"/>
      </rPr>
      <t xml:space="preserve">数字化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信息化部（集成关键方）</t>
    </r>
  </si>
  <si>
    <r>
      <rPr>
        <sz val="10"/>
        <color rgb="FF2C2C2A"/>
        <rFont val="微软雅黑"/>
        <family val="0"/>
        <charset val="1"/>
      </rPr>
      <t xml:space="preserve">ERP </t>
    </r>
    <r>
      <rPr>
        <sz val="10"/>
        <color rgb="FF2C2C2A"/>
        <rFont val="Noto Sans CJK SC"/>
        <family val="2"/>
      </rPr>
      <t xml:space="preserve">是否为 </t>
    </r>
    <r>
      <rPr>
        <sz val="10"/>
        <color rgb="FF2C2C2A"/>
        <rFont val="微软雅黑"/>
        <family val="0"/>
        <charset val="1"/>
      </rPr>
      <t xml:space="preserve">SAP</t>
    </r>
    <r>
      <rPr>
        <sz val="10"/>
        <color rgb="FF2C2C2A"/>
        <rFont val="Noto Sans CJK SC"/>
        <family val="2"/>
      </rPr>
      <t xml:space="preserve">、版本？</t>
    </r>
    <r>
      <rPr>
        <sz val="10"/>
        <color rgb="FF2C2C2A"/>
        <rFont val="微软雅黑"/>
        <family val="0"/>
        <charset val="1"/>
      </rPr>
      <t xml:space="preserve">WMS / MES </t>
    </r>
    <r>
      <rPr>
        <sz val="10"/>
        <color rgb="FF2C2C2A"/>
        <rFont val="Noto Sans CJK SC"/>
        <family val="2"/>
      </rPr>
      <t xml:space="preserve">是什么系统？</t>
    </r>
  </si>
  <si>
    <t xml:space="preserve">决定集成路线</t>
  </si>
  <si>
    <r>
      <rPr>
        <sz val="10"/>
        <color rgb="FF2C2C2A"/>
        <rFont val="Noto Sans CJK SC"/>
        <family val="2"/>
      </rPr>
      <t xml:space="preserve">各系统可提供的接口类型（</t>
    </r>
    <r>
      <rPr>
        <sz val="10"/>
        <color rgb="FF2C2C2A"/>
        <rFont val="微软雅黑"/>
        <family val="0"/>
        <charset val="1"/>
      </rPr>
      <t xml:space="preserve">API / </t>
    </r>
    <r>
      <rPr>
        <sz val="10"/>
        <color rgb="FF2C2C2A"/>
        <rFont val="Noto Sans CJK SC"/>
        <family val="2"/>
      </rPr>
      <t xml:space="preserve">中间件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数据库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文件）？</t>
    </r>
  </si>
  <si>
    <t xml:space="preserve">集成方式</t>
  </si>
  <si>
    <r>
      <rPr>
        <sz val="10"/>
        <color rgb="FF2C2C2A"/>
        <rFont val="微软雅黑"/>
        <family val="0"/>
        <charset val="1"/>
      </rPr>
      <t xml:space="preserve">IOC </t>
    </r>
    <r>
      <rPr>
        <sz val="10"/>
        <color rgb="FF2C2C2A"/>
        <rFont val="Noto Sans CJK SC"/>
        <family val="2"/>
      </rPr>
      <t xml:space="preserve">平台是哪家（华为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阿里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新华三等）、数据接入协议与规范（</t>
    </r>
    <r>
      <rPr>
        <sz val="10"/>
        <color rgb="FF2C2C2A"/>
        <rFont val="微软雅黑"/>
        <family val="0"/>
        <charset val="1"/>
      </rPr>
      <t xml:space="preserve">MQTT / Kafka / API </t>
    </r>
    <r>
      <rPr>
        <sz val="10"/>
        <color rgb="FF2C2C2A"/>
        <rFont val="Noto Sans CJK SC"/>
        <family val="2"/>
      </rPr>
      <t xml:space="preserve">主题格式）？</t>
    </r>
  </si>
  <si>
    <r>
      <rPr>
        <sz val="10"/>
        <color rgb="FF5F5E5A"/>
        <rFont val="微软雅黑"/>
        <family val="0"/>
        <charset val="1"/>
      </rPr>
      <t xml:space="preserve">IOC </t>
    </r>
    <r>
      <rPr>
        <sz val="10"/>
        <color rgb="FF5F5E5A"/>
        <rFont val="Noto Sans CJK SC"/>
        <family val="2"/>
      </rPr>
      <t xml:space="preserve">对接关键</t>
    </r>
  </si>
  <si>
    <r>
      <rPr>
        <sz val="10"/>
        <color rgb="FF2C2C2A"/>
        <rFont val="Noto Sans CJK SC"/>
        <family val="2"/>
      </rPr>
      <t xml:space="preserve">部署要求：私有化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云、等保合规、内外网隔离策略？</t>
    </r>
  </si>
  <si>
    <t xml:space="preserve">部署与合规</t>
  </si>
  <si>
    <r>
      <rPr>
        <sz val="10"/>
        <color rgb="FF2C2C2A"/>
        <rFont val="Noto Sans CJK SC"/>
        <family val="2"/>
      </rPr>
      <t xml:space="preserve">园区网络现状：</t>
    </r>
    <r>
      <rPr>
        <sz val="10"/>
        <color rgb="FF2C2C2A"/>
        <rFont val="微软雅黑"/>
        <family val="0"/>
        <charset val="1"/>
      </rPr>
      <t xml:space="preserve">5G / </t>
    </r>
    <r>
      <rPr>
        <sz val="10"/>
        <color rgb="FF2C2C2A"/>
        <rFont val="Noto Sans CJK SC"/>
        <family val="2"/>
      </rPr>
      <t xml:space="preserve">工业 </t>
    </r>
    <r>
      <rPr>
        <sz val="10"/>
        <color rgb="FF2C2C2A"/>
        <rFont val="微软雅黑"/>
        <family val="0"/>
        <charset val="1"/>
      </rPr>
      <t xml:space="preserve">WiFi / </t>
    </r>
    <r>
      <rPr>
        <sz val="10"/>
        <color rgb="FF2C2C2A"/>
        <rFont val="Noto Sans CJK SC"/>
        <family val="2"/>
      </rPr>
      <t xml:space="preserve">物联网专网覆盖，室外与厂房内信号如何？</t>
    </r>
  </si>
  <si>
    <t xml:space="preserve">感知层与网络设计</t>
  </si>
  <si>
    <r>
      <rPr>
        <sz val="10"/>
        <color rgb="FF2C2C2A"/>
        <rFont val="Noto Sans CJK SC"/>
        <family val="2"/>
      </rPr>
      <t xml:space="preserve">主数据（车辆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承运商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月台编码）由谁维护、如何同步？</t>
    </r>
  </si>
  <si>
    <t xml:space="preserve">数据一致性</t>
  </si>
  <si>
    <r>
      <rPr>
        <sz val="10"/>
        <color rgb="FF2C2C2A"/>
        <rFont val="Noto Sans CJK SC"/>
        <family val="2"/>
      </rPr>
      <t xml:space="preserve">账号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权限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单点登录、接口安全与运维要求？</t>
    </r>
  </si>
  <si>
    <t xml:space="preserve">安全与运维</t>
  </si>
  <si>
    <r>
      <rPr>
        <sz val="10"/>
        <color rgb="FF2C2C2A"/>
        <rFont val="Noto Sans CJK SC"/>
        <family val="2"/>
      </rPr>
      <t xml:space="preserve">现有数据中台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集成平台（</t>
    </r>
    <r>
      <rPr>
        <sz val="10"/>
        <color rgb="FF2C2C2A"/>
        <rFont val="微软雅黑"/>
        <family val="0"/>
        <charset val="1"/>
      </rPr>
      <t xml:space="preserve">ESB / iPaaS</t>
    </r>
    <r>
      <rPr>
        <sz val="10"/>
        <color rgb="FF2C2C2A"/>
        <rFont val="Noto Sans CJK SC"/>
        <family val="2"/>
      </rPr>
      <t xml:space="preserve">）可复用吗？</t>
    </r>
  </si>
  <si>
    <t xml:space="preserve">降低集成成本</t>
  </si>
  <si>
    <t xml:space="preserve">数据留存周期、备份与灾备要求？</t>
  </si>
  <si>
    <t xml:space="preserve">非功能需求</t>
  </si>
  <si>
    <r>
      <rPr>
        <b val="true"/>
        <sz val="13"/>
        <color rgb="FF0B3B5C"/>
        <rFont val="Noto Sans CJK SC"/>
        <family val="2"/>
      </rPr>
      <t xml:space="preserve">智慧园区 </t>
    </r>
    <r>
      <rPr>
        <b val="true"/>
        <sz val="13"/>
        <color rgb="FF0B3B5C"/>
        <rFont val="微软雅黑"/>
        <family val="0"/>
        <charset val="1"/>
      </rPr>
      <t xml:space="preserve">/ IOC </t>
    </r>
    <r>
      <rPr>
        <b val="true"/>
        <sz val="13"/>
        <color rgb="FF0B3B5C"/>
        <rFont val="Noto Sans CJK SC"/>
        <family val="2"/>
      </rPr>
      <t xml:space="preserve">运营团队</t>
    </r>
  </si>
  <si>
    <r>
      <rPr>
        <sz val="10"/>
        <color rgb="FF2C2C2A"/>
        <rFont val="微软雅黑"/>
        <family val="0"/>
        <charset val="1"/>
      </rPr>
      <t xml:space="preserve">IOC </t>
    </r>
    <r>
      <rPr>
        <sz val="10"/>
        <color rgb="FF2C2C2A"/>
        <rFont val="Noto Sans CJK SC"/>
        <family val="2"/>
      </rPr>
      <t xml:space="preserve">大屏现有哪些主题？希望物流以什么形态呈现（一张图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看板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告警）？</t>
    </r>
  </si>
  <si>
    <t xml:space="preserve">可视化设计</t>
  </si>
  <si>
    <t xml:space="preserve">接入是推数据还是页面嵌入？刷新频率与数据留存要求？</t>
  </si>
  <si>
    <t xml:space="preserve">对接方式</t>
  </si>
  <si>
    <r>
      <rPr>
        <sz val="10"/>
        <color rgb="FF2C2C2A"/>
        <rFont val="Noto Sans CJK SC"/>
        <family val="2"/>
      </rPr>
      <t xml:space="preserve">是否已有其他子系统（安防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能耗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停车）可复用感知与联动？</t>
    </r>
  </si>
  <si>
    <t xml:space="preserve">复用与联动</t>
  </si>
  <si>
    <r>
      <rPr>
        <sz val="10"/>
        <color rgb="FF2C2C2A"/>
        <rFont val="Noto Sans CJK SC"/>
        <family val="2"/>
      </rPr>
      <t xml:space="preserve">大屏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指挥中心的使用场景与角色（值班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领导巡检）？</t>
    </r>
  </si>
  <si>
    <t xml:space="preserve">呈现优先级</t>
  </si>
  <si>
    <r>
      <rPr>
        <sz val="10"/>
        <color rgb="FF2C2C2A"/>
        <rFont val="Noto Sans CJK SC"/>
        <family val="2"/>
      </rPr>
      <t xml:space="preserve">是否需要移动端 </t>
    </r>
    <r>
      <rPr>
        <sz val="10"/>
        <color rgb="FF2C2C2A"/>
        <rFont val="微软雅黑"/>
        <family val="0"/>
        <charset val="1"/>
      </rPr>
      <t xml:space="preserve">/ APP </t>
    </r>
    <r>
      <rPr>
        <sz val="10"/>
        <color rgb="FF2C2C2A"/>
        <rFont val="Noto Sans CJK SC"/>
        <family val="2"/>
      </rPr>
      <t xml:space="preserve">查看？</t>
    </r>
  </si>
  <si>
    <t xml:space="preserve">交付形态</t>
  </si>
  <si>
    <r>
      <rPr>
        <b val="true"/>
        <sz val="13"/>
        <color rgb="FF0B3B5C"/>
        <rFont val="Noto Sans CJK SC"/>
        <family val="2"/>
      </rPr>
      <t xml:space="preserve">安全 </t>
    </r>
    <r>
      <rPr>
        <b val="true"/>
        <sz val="13"/>
        <color rgb="FF0B3B5C"/>
        <rFont val="微软雅黑"/>
        <family val="0"/>
        <charset val="1"/>
      </rPr>
      <t xml:space="preserve">/ EHS / </t>
    </r>
    <r>
      <rPr>
        <b val="true"/>
        <sz val="13"/>
        <color rgb="FF0B3B5C"/>
        <rFont val="Noto Sans CJK SC"/>
        <family val="2"/>
      </rPr>
      <t xml:space="preserve">保卫部</t>
    </r>
  </si>
  <si>
    <r>
      <rPr>
        <sz val="10"/>
        <color rgb="FF2C2C2A"/>
        <rFont val="Noto Sans CJK SC"/>
        <family val="2"/>
      </rPr>
      <t xml:space="preserve">大门准入与身份核验现有规则？是否已有道闸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门禁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车牌识别设备？</t>
    </r>
  </si>
  <si>
    <t xml:space="preserve">准入方案与硬件复用</t>
  </si>
  <si>
    <r>
      <rPr>
        <sz val="10"/>
        <color rgb="FF2C2C2A"/>
        <rFont val="Noto Sans CJK SC"/>
        <family val="2"/>
      </rPr>
      <t xml:space="preserve">危化区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装卸区的安全管控与电子围栏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防撞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人员定位要求？</t>
    </r>
  </si>
  <si>
    <t xml:space="preserve">定位分级与安全</t>
  </si>
  <si>
    <r>
      <rPr>
        <sz val="10"/>
        <color rgb="FF2C2C2A"/>
        <rFont val="Noto Sans CJK SC"/>
        <family val="2"/>
      </rPr>
      <t xml:space="preserve">是否需与消防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应急联动（报警触发疏散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车位释放）？</t>
    </r>
  </si>
  <si>
    <t xml:space="preserve">联动机制</t>
  </si>
  <si>
    <r>
      <rPr>
        <sz val="10"/>
        <color rgb="FF2C2C2A"/>
        <rFont val="Noto Sans CJK SC"/>
        <family val="2"/>
      </rPr>
      <t xml:space="preserve">外来车辆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人员的登记与权限管控流程？</t>
    </r>
  </si>
  <si>
    <t xml:space="preserve">准入流程</t>
  </si>
  <si>
    <t xml:space="preserve">安全事故历史与重点防控区域？</t>
  </si>
  <si>
    <t xml:space="preserve">风险识别</t>
  </si>
  <si>
    <r>
      <rPr>
        <b val="true"/>
        <sz val="13"/>
        <color rgb="FF0B3B5C"/>
        <rFont val="Noto Sans CJK SC"/>
        <family val="2"/>
      </rPr>
      <t xml:space="preserve">园区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行政后勤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物业</t>
    </r>
  </si>
  <si>
    <r>
      <rPr>
        <sz val="10"/>
        <color rgb="FF2C2C2A"/>
        <rFont val="Noto Sans CJK SC"/>
        <family val="2"/>
      </rPr>
      <t xml:space="preserve">园区道路、蓄车场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等候区、停车与地磅的现状与容量？</t>
    </r>
  </si>
  <si>
    <t xml:space="preserve">蓄车与叫号设计</t>
  </si>
  <si>
    <t xml:space="preserve">现有摄像头点位、道闸、地磅的品牌型号（判断能否复用）？</t>
  </si>
  <si>
    <t xml:space="preserve">硬件复用评估</t>
  </si>
  <si>
    <r>
      <rPr>
        <sz val="10"/>
        <color rgb="FF2C2C2A"/>
        <rFont val="Noto Sans CJK SC"/>
        <family val="2"/>
      </rPr>
      <t xml:space="preserve">施工布线可行性、供电、机房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弱电间条件？</t>
    </r>
  </si>
  <si>
    <t xml:space="preserve">实施可行性</t>
  </si>
  <si>
    <t xml:space="preserve">物业配合与作业窗口、安装施工的时间限制？</t>
  </si>
  <si>
    <t xml:space="preserve">实施排期</t>
  </si>
  <si>
    <r>
      <rPr>
        <sz val="10"/>
        <color rgb="FF2C2C2A"/>
        <rFont val="Noto Sans CJK SC"/>
        <family val="2"/>
      </rPr>
      <t xml:space="preserve">园区平面图 </t>
    </r>
    <r>
      <rPr>
        <sz val="10"/>
        <color rgb="FF2C2C2A"/>
        <rFont val="微软雅黑"/>
        <family val="0"/>
        <charset val="1"/>
      </rPr>
      <t xml:space="preserve">/ CAD</t>
    </r>
    <r>
      <rPr>
        <sz val="10"/>
        <color rgb="FF2C2C2A"/>
        <rFont val="Noto Sans CJK SC"/>
        <family val="2"/>
      </rPr>
      <t xml:space="preserve">、点位图能否提供？</t>
    </r>
  </si>
  <si>
    <t xml:space="preserve">设计输入</t>
  </si>
  <si>
    <r>
      <rPr>
        <b val="true"/>
        <sz val="13"/>
        <color rgb="FF0B3B5C"/>
        <rFont val="Noto Sans CJK SC"/>
        <family val="2"/>
      </rPr>
      <t xml:space="preserve">采购 </t>
    </r>
    <r>
      <rPr>
        <b val="true"/>
        <sz val="13"/>
        <color rgb="FF0B3B5C"/>
        <rFont val="微软雅黑"/>
        <family val="0"/>
        <charset val="1"/>
      </rPr>
      <t xml:space="preserve">/ </t>
    </r>
    <r>
      <rPr>
        <b val="true"/>
        <sz val="13"/>
        <color rgb="FF0B3B5C"/>
        <rFont val="Noto Sans CJK SC"/>
        <family val="2"/>
      </rPr>
      <t xml:space="preserve">财务</t>
    </r>
  </si>
  <si>
    <r>
      <rPr>
        <sz val="10"/>
        <color rgb="FF2C2C2A"/>
        <rFont val="Noto Sans CJK SC"/>
        <family val="2"/>
      </rPr>
      <t xml:space="preserve">采购模式（整体集成商 </t>
    </r>
    <r>
      <rPr>
        <sz val="10"/>
        <color rgb="FF2C2C2A"/>
        <rFont val="微软雅黑"/>
        <family val="0"/>
        <charset val="1"/>
      </rPr>
      <t xml:space="preserve">vs </t>
    </r>
    <r>
      <rPr>
        <sz val="10"/>
        <color rgb="FF2C2C2A"/>
        <rFont val="Noto Sans CJK SC"/>
        <family val="2"/>
      </rPr>
      <t xml:space="preserve">分包）、招投标流程与合规要求？</t>
    </r>
  </si>
  <si>
    <t xml:space="preserve">采购路径</t>
  </si>
  <si>
    <t xml:space="preserve">预算科目、分期投资节奏？</t>
  </si>
  <si>
    <t xml:space="preserve">资金安排</t>
  </si>
  <si>
    <r>
      <rPr>
        <sz val="10"/>
        <color rgb="FF2C2C2A"/>
        <rFont val="Noto Sans CJK SC"/>
        <family val="2"/>
      </rPr>
      <t xml:space="preserve">投资回报衡量口径（</t>
    </r>
    <r>
      <rPr>
        <sz val="10"/>
        <color rgb="FF2C2C2A"/>
        <rFont val="微软雅黑"/>
        <family val="0"/>
        <charset val="1"/>
      </rPr>
      <t xml:space="preserve">ROI / </t>
    </r>
    <r>
      <rPr>
        <sz val="10"/>
        <color rgb="FF2C2C2A"/>
        <rFont val="Noto Sans CJK SC"/>
        <family val="2"/>
      </rPr>
      <t xml:space="preserve">降本指标）？</t>
    </r>
  </si>
  <si>
    <t xml:space="preserve">立项支撑</t>
  </si>
  <si>
    <r>
      <rPr>
        <sz val="10"/>
        <color rgb="FF2C2C2A"/>
        <rFont val="Noto Sans CJK SC"/>
        <family val="2"/>
      </rPr>
      <t xml:space="preserve">若涉及外部 </t>
    </r>
    <r>
      <rPr>
        <sz val="10"/>
        <color rgb="FF2C2C2A"/>
        <rFont val="微软雅黑"/>
        <family val="0"/>
        <charset val="1"/>
      </rPr>
      <t xml:space="preserve">TMS</t>
    </r>
    <r>
      <rPr>
        <sz val="10"/>
        <color rgb="FF2C2C2A"/>
        <rFont val="Noto Sans CJK SC"/>
        <family val="2"/>
      </rPr>
      <t xml:space="preserve">：运费结算规则与承运商合同现状？</t>
    </r>
  </si>
  <si>
    <t xml:space="preserve">结算范围</t>
  </si>
  <si>
    <r>
      <rPr>
        <sz val="10"/>
        <color rgb="FF2C2C2A"/>
        <rFont val="Noto Sans CJK SC"/>
        <family val="2"/>
      </rPr>
      <t xml:space="preserve">供应商准入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合格供应商库要求？</t>
    </r>
  </si>
  <si>
    <t xml:space="preserve">采购合规</t>
  </si>
  <si>
    <r>
      <rPr>
        <b val="true"/>
        <sz val="13"/>
        <color rgb="FF0B3B5C"/>
        <rFont val="Noto Sans CJK SC"/>
        <family val="2"/>
      </rPr>
      <t xml:space="preserve">一线现场 </t>
    </r>
    <r>
      <rPr>
        <b val="true"/>
        <sz val="13"/>
        <color rgb="FF0B3B5C"/>
        <rFont val="微软雅黑"/>
        <family val="0"/>
        <charset val="1"/>
      </rPr>
      <t xml:space="preserve">+ </t>
    </r>
    <r>
      <rPr>
        <b val="true"/>
        <sz val="13"/>
        <color rgb="FF0B3B5C"/>
        <rFont val="Noto Sans CJK SC"/>
        <family val="2"/>
      </rPr>
      <t xml:space="preserve">承运商（最真实的一线视角）</t>
    </r>
  </si>
  <si>
    <r>
      <rPr>
        <sz val="10"/>
        <color rgb="FF2C2C2A"/>
        <rFont val="Noto Sans CJK SC"/>
        <family val="2"/>
      </rPr>
      <t xml:space="preserve">现场调度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门卫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装卸班组：实际操作卡在哪、最耗时环节、最想要什么？</t>
    </r>
  </si>
  <si>
    <t xml:space="preserve">真实痛点</t>
  </si>
  <si>
    <r>
      <rPr>
        <sz val="10"/>
        <color rgb="FF2C2C2A"/>
        <rFont val="Noto Sans CJK SC"/>
        <family val="2"/>
      </rPr>
      <t xml:space="preserve">司机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承运商能否接受线上预约？晚点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爽约如何处理？</t>
    </r>
  </si>
  <si>
    <t xml:space="preserve">预约落地</t>
  </si>
  <si>
    <t xml:space="preserve">司机对绿色通道、紧急插单的诉求？</t>
  </si>
  <si>
    <t xml:space="preserve">策略设计</t>
  </si>
  <si>
    <r>
      <rPr>
        <sz val="10"/>
        <color rgb="FF2C2C2A"/>
        <rFont val="Noto Sans CJK SC"/>
        <family val="2"/>
      </rPr>
      <t xml:space="preserve">现场信息传递方式（对讲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微信 </t>
    </r>
    <r>
      <rPr>
        <sz val="10"/>
        <color rgb="FF2C2C2A"/>
        <rFont val="微软雅黑"/>
        <family val="0"/>
        <charset val="1"/>
      </rPr>
      <t xml:space="preserve">/ </t>
    </r>
    <r>
      <rPr>
        <sz val="10"/>
        <color rgb="FF2C2C2A"/>
        <rFont val="Noto Sans CJK SC"/>
        <family val="2"/>
      </rPr>
      <t xml:space="preserve">喊话）与交接痛点？</t>
    </r>
  </si>
  <si>
    <t xml:space="preserve">现状</t>
  </si>
  <si>
    <t xml:space="preserve">一线人员的信息化接受度与培训需求？</t>
  </si>
  <si>
    <t xml:space="preserve">变革管理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</si>
</sst>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3B5C"/>
      <name val="Noto Sans CJK SC"/>
      <family val="2"/>
    </font>
    <font>
      <b val="true"/>
      <sz val="15"/>
      <color rgb="FF0B3B5C"/>
      <name val="微软雅黑"/>
      <family val="0"/>
      <charset val="1"/>
    </font>
    <font>
      <b val="true"/>
      <sz val="12"/>
      <color rgb="FF178A7A"/>
      <name val="Noto Sans CJK SC"/>
      <family val="2"/>
    </font>
    <font>
      <sz val="10"/>
      <color rgb="FF2C2C2A"/>
      <name val="微软雅黑"/>
      <family val="0"/>
      <charset val="1"/>
    </font>
    <font>
      <sz val="10"/>
      <color rgb="FF2C2C2A"/>
      <name val="Noto Sans CJK SC"/>
      <family val="2"/>
    </font>
    <font>
      <b val="true"/>
      <sz val="10"/>
      <color rgb="FFB23A3A"/>
      <name val="Noto Sans CJK SC"/>
      <family val="2"/>
    </font>
    <font>
      <b val="true"/>
      <sz val="10"/>
      <color rgb="FFC8801F"/>
      <name val="Noto Sans CJK SC"/>
      <family val="2"/>
    </font>
    <font>
      <b val="true"/>
      <sz val="10"/>
      <color rgb="FF5F5E5A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微软雅黑"/>
      <family val="0"/>
      <charset val="1"/>
    </font>
    <font>
      <b val="true"/>
      <sz val="12"/>
      <color rgb="FF0B3B5C"/>
      <name val="Noto Sans CJK SC"/>
      <family val="2"/>
    </font>
    <font>
      <sz val="9"/>
      <color rgb="FF5F5E5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B3B5C"/>
      <name val="Noto Sans CJK SC"/>
      <family val="2"/>
    </font>
    <font>
      <b val="true"/>
      <sz val="10"/>
      <color rgb="FF0B3B5C"/>
      <name val="微软雅黑"/>
      <family val="0"/>
      <charset val="1"/>
    </font>
    <font>
      <b val="true"/>
      <sz val="10"/>
      <color rgb="FF178A7A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3"/>
      <color rgb="FF0B3B5C"/>
      <name val="Noto Sans CJK SC"/>
      <family val="2"/>
    </font>
    <font>
      <b val="true"/>
      <sz val="13"/>
      <color rgb="FF0B3B5C"/>
      <name val="微软雅黑"/>
      <family val="0"/>
      <charset val="1"/>
    </font>
    <font>
      <sz val="9"/>
      <color rgb="FF5F5E5A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sz val="10"/>
      <color rgb="FF5F5E5A"/>
      <name val="Noto Sans CJK SC"/>
      <family val="2"/>
    </font>
    <font>
      <sz val="10"/>
      <color rgb="FF5F5E5A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B5C"/>
        <bgColor rgb="FF2C2C2A"/>
      </patternFill>
    </fill>
    <fill>
      <patternFill patternType="solid">
        <fgColor rgb="FFFFF6CC"/>
        <bgColor rgb="FFF7EEDD"/>
      </patternFill>
    </fill>
    <fill>
      <patternFill patternType="solid">
        <fgColor rgb="FFF7EEDD"/>
        <bgColor rgb="FFFFF6CC"/>
      </patternFill>
    </fill>
    <fill>
      <patternFill patternType="solid">
        <fgColor rgb="FF178A7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D2D8"/>
      </left>
      <right style="thin">
        <color rgb="FFC7D2D8"/>
      </right>
      <top style="thin">
        <color rgb="FFC7D2D8"/>
      </top>
      <bottom style="thin">
        <color rgb="FFC7D2D8"/>
      </bottom>
      <diagonal/>
    </border>
    <border diagonalUp="false" diagonalDown="false">
      <left style="thin">
        <color rgb="FFC7D2D8"/>
      </left>
      <right/>
      <top style="thin">
        <color rgb="FFC7D2D8"/>
      </top>
      <bottom style="thin">
        <color rgb="FFC7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8A7A"/>
      <rgbColor rgb="FFC0C0C0"/>
      <rgbColor rgb="FF808080"/>
      <rgbColor rgb="FF9999FF"/>
      <rgbColor rgb="FFB23A3A"/>
      <rgbColor rgb="FFFFF6CC"/>
      <rgbColor rgb="FFCCFFFF"/>
      <rgbColor rgb="FF660066"/>
      <rgbColor rgb="FFFF8080"/>
      <rgbColor rgb="FF0066CC"/>
      <rgbColor rgb="FFC7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E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801F"/>
      <rgbColor rgb="FFFF6600"/>
      <rgbColor rgb="FF5F5E5A"/>
      <rgbColor rgb="FF969696"/>
      <rgbColor rgb="FF0B3B5C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3" t="s">
        <v>4</v>
      </c>
      <c r="B5" s="3"/>
      <c r="C5" s="3"/>
      <c r="D5" s="3"/>
      <c r="E5" s="3"/>
      <c r="F5" s="3"/>
    </row>
    <row r="6" customFormat="false" ht="19.5" hidden="false" customHeight="true" outlineLevel="0" collapsed="false">
      <c r="A6" s="3" t="s">
        <v>5</v>
      </c>
      <c r="B6" s="3"/>
      <c r="C6" s="3"/>
      <c r="D6" s="3"/>
      <c r="E6" s="3"/>
      <c r="F6" s="3"/>
    </row>
    <row r="7" customFormat="false" ht="21.75" hidden="false" customHeight="true" outlineLevel="0" collapsed="false">
      <c r="A7" s="2" t="s">
        <v>6</v>
      </c>
      <c r="B7" s="2"/>
      <c r="C7" s="2"/>
      <c r="D7" s="2"/>
      <c r="E7" s="2"/>
      <c r="F7" s="2"/>
    </row>
    <row r="8" customFormat="false" ht="19.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</row>
    <row r="9" customFormat="false" ht="19.5" hidden="false" customHeight="true" outlineLevel="0" collapsed="false">
      <c r="A9" s="6" t="s">
        <v>9</v>
      </c>
      <c r="B9" s="5" t="s">
        <v>10</v>
      </c>
      <c r="C9" s="5"/>
      <c r="D9" s="5"/>
      <c r="E9" s="5"/>
      <c r="F9" s="5"/>
    </row>
    <row r="10" customFormat="false" ht="19.5" hidden="false" customHeight="true" outlineLevel="0" collapsed="false">
      <c r="A10" s="7" t="s">
        <v>11</v>
      </c>
      <c r="B10" s="5" t="s">
        <v>12</v>
      </c>
      <c r="C10" s="5"/>
      <c r="D10" s="5"/>
      <c r="E10" s="5"/>
      <c r="F10" s="5"/>
    </row>
    <row r="12" customFormat="false" ht="21.75" hidden="false" customHeight="true" outlineLevel="0" collapsed="false">
      <c r="A12" s="2" t="s">
        <v>13</v>
      </c>
      <c r="B12" s="2"/>
      <c r="C12" s="2"/>
      <c r="D12" s="2"/>
      <c r="E12" s="2"/>
      <c r="F12" s="2"/>
    </row>
    <row r="13" customFormat="false" ht="30" hidden="false" customHeight="true" outlineLevel="0" collapsed="false">
      <c r="A13" s="8" t="s">
        <v>14</v>
      </c>
      <c r="B13" s="8" t="s">
        <v>15</v>
      </c>
      <c r="C13" s="8" t="s">
        <v>16</v>
      </c>
      <c r="D13" s="8" t="s">
        <v>17</v>
      </c>
      <c r="E13" s="8" t="s">
        <v>18</v>
      </c>
      <c r="F13" s="8" t="s">
        <v>19</v>
      </c>
      <c r="G13" s="8" t="s">
        <v>20</v>
      </c>
    </row>
    <row r="14" customFormat="false" ht="30" hidden="false" customHeight="true" outlineLevel="0" collapsed="false">
      <c r="A14" s="4" t="s">
        <v>7</v>
      </c>
      <c r="B14" s="9" t="s">
        <v>21</v>
      </c>
      <c r="C14" s="9" t="s">
        <v>22</v>
      </c>
      <c r="D14" s="10" t="s">
        <v>23</v>
      </c>
      <c r="E14" s="10" t="s">
        <v>24</v>
      </c>
      <c r="F14" s="10" t="s">
        <v>25</v>
      </c>
      <c r="G14" s="10" t="s">
        <v>26</v>
      </c>
    </row>
    <row r="16" customFormat="false" ht="24" hidden="false" customHeight="true" outlineLevel="0" collapsed="false">
      <c r="A16" s="11" t="s">
        <v>27</v>
      </c>
      <c r="B16" s="11"/>
      <c r="C16" s="11"/>
      <c r="D16" s="11"/>
      <c r="E16" s="11"/>
      <c r="F16" s="11"/>
    </row>
    <row r="17" customFormat="false" ht="18.75" hidden="false" customHeight="true" outlineLevel="0" collapsed="false">
      <c r="A17" s="3" t="s">
        <v>28</v>
      </c>
      <c r="B17" s="3"/>
      <c r="C17" s="3"/>
      <c r="D17" s="3"/>
      <c r="E17" s="3"/>
      <c r="F17" s="3"/>
    </row>
    <row r="18" customFormat="false" ht="18.75" hidden="false" customHeight="true" outlineLevel="0" collapsed="false">
      <c r="A18" s="3" t="s">
        <v>29</v>
      </c>
      <c r="B18" s="3"/>
      <c r="C18" s="3"/>
      <c r="D18" s="3"/>
      <c r="E18" s="3"/>
      <c r="F18" s="3"/>
    </row>
    <row r="19" customFormat="false" ht="18.75" hidden="false" customHeight="true" outlineLevel="0" collapsed="false">
      <c r="A19" s="3" t="s">
        <v>30</v>
      </c>
      <c r="B19" s="3"/>
      <c r="C19" s="3"/>
      <c r="D19" s="3"/>
      <c r="E19" s="3"/>
      <c r="F19" s="3"/>
    </row>
    <row r="20" customFormat="false" ht="18.75" hidden="false" customHeight="true" outlineLevel="0" collapsed="false">
      <c r="A20" s="3" t="s">
        <v>31</v>
      </c>
      <c r="B20" s="3"/>
      <c r="C20" s="3"/>
      <c r="D20" s="3"/>
      <c r="E20" s="3"/>
      <c r="F20" s="3"/>
    </row>
    <row r="21" customFormat="false" ht="18.75" hidden="false" customHeight="true" outlineLevel="0" collapsed="false">
      <c r="A21" s="3" t="s">
        <v>32</v>
      </c>
      <c r="B21" s="3"/>
      <c r="C21" s="3"/>
      <c r="D21" s="3"/>
      <c r="E21" s="3"/>
      <c r="F21" s="3"/>
    </row>
    <row r="22" customFormat="false" ht="18.75" hidden="false" customHeight="true" outlineLevel="0" collapsed="false">
      <c r="A22" s="3" t="s">
        <v>33</v>
      </c>
      <c r="B22" s="3"/>
      <c r="C22" s="3"/>
      <c r="D22" s="3"/>
      <c r="E22" s="3"/>
      <c r="F22" s="3"/>
    </row>
  </sheetData>
  <mergeCells count="18">
    <mergeCell ref="A1:F1"/>
    <mergeCell ref="A2:F2"/>
    <mergeCell ref="A3:F3"/>
    <mergeCell ref="A4:F4"/>
    <mergeCell ref="A5:F5"/>
    <mergeCell ref="A6:F6"/>
    <mergeCell ref="A7:F7"/>
    <mergeCell ref="B8:F8"/>
    <mergeCell ref="B9:F9"/>
    <mergeCell ref="B10:F10"/>
    <mergeCell ref="A12:F12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34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2" t="s">
        <v>35</v>
      </c>
      <c r="B2" s="12"/>
      <c r="C2" s="12"/>
      <c r="D2" s="12"/>
      <c r="E2" s="12"/>
      <c r="F2" s="12"/>
    </row>
    <row r="3" customFormat="false" ht="25.5" hidden="false" customHeight="true" outlineLevel="0" collapsed="false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</row>
    <row r="4" customFormat="false" ht="21.75" hidden="false" customHeight="true" outlineLevel="0" collapsed="false">
      <c r="A4" s="14" t="s">
        <v>42</v>
      </c>
      <c r="B4" s="15" t="n">
        <f aca="false">COUNTA(决策层!C4:C200)</f>
        <v>8</v>
      </c>
      <c r="C4" s="15" t="n">
        <f aca="false">COUNTIF(决策层!G4:G200,"已完成")</f>
        <v>0</v>
      </c>
      <c r="D4" s="16" t="n">
        <f aca="false">IFERROR(C4/B4,0)</f>
        <v>0</v>
      </c>
      <c r="E4" s="15" t="n">
        <f aca="false">COUNTIF(决策层!B4:B200,"高")</f>
        <v>5</v>
      </c>
      <c r="F4" s="15" t="n">
        <f aca="false">B4-C4</f>
        <v>8</v>
      </c>
    </row>
    <row r="5" customFormat="false" ht="21.75" hidden="false" customHeight="true" outlineLevel="0" collapsed="false">
      <c r="A5" s="14" t="s">
        <v>43</v>
      </c>
      <c r="B5" s="15" t="n">
        <f aca="false">COUNTA(物流供应链部!C4:C200)</f>
        <v>8</v>
      </c>
      <c r="C5" s="15" t="n">
        <f aca="false">COUNTIF(物流供应链部!G4:G200,"已完成")</f>
        <v>0</v>
      </c>
      <c r="D5" s="16" t="n">
        <f aca="false">IFERROR(C5/B5,0)</f>
        <v>0</v>
      </c>
      <c r="E5" s="15" t="n">
        <f aca="false">COUNTIF(物流供应链部!B4:B200,"高")</f>
        <v>4</v>
      </c>
      <c r="F5" s="15" t="n">
        <f aca="false">B5-C5</f>
        <v>8</v>
      </c>
    </row>
    <row r="6" customFormat="false" ht="21.75" hidden="false" customHeight="true" outlineLevel="0" collapsed="false">
      <c r="A6" s="14" t="s">
        <v>44</v>
      </c>
      <c r="B6" s="15" t="n">
        <f aca="false">COUNTA(生产计划PMC!C4:C200)</f>
        <v>5</v>
      </c>
      <c r="C6" s="15" t="n">
        <f aca="false">COUNTIF(生产计划PMC!G4:G200,"已完成")</f>
        <v>0</v>
      </c>
      <c r="D6" s="16" t="n">
        <f aca="false">IFERROR(C6/B6,0)</f>
        <v>0</v>
      </c>
      <c r="E6" s="15" t="n">
        <f aca="false">COUNTIF(生产计划PMC!B4:B200,"高")</f>
        <v>2</v>
      </c>
      <c r="F6" s="15" t="n">
        <f aca="false">B6-C6</f>
        <v>5</v>
      </c>
    </row>
    <row r="7" customFormat="false" ht="21.75" hidden="false" customHeight="true" outlineLevel="0" collapsed="false">
      <c r="A7" s="14" t="s">
        <v>45</v>
      </c>
      <c r="B7" s="15" t="n">
        <f aca="false">COUNTA(仓储收发货!C4:C200)</f>
        <v>6</v>
      </c>
      <c r="C7" s="15" t="n">
        <f aca="false">COUNTIF(仓储收发货!G4:G200,"已完成")</f>
        <v>0</v>
      </c>
      <c r="D7" s="16" t="n">
        <f aca="false">IFERROR(C7/B7,0)</f>
        <v>0</v>
      </c>
      <c r="E7" s="15" t="n">
        <f aca="false">COUNTIF(仓储收发货!B4:B200,"高")</f>
        <v>3</v>
      </c>
      <c r="F7" s="15" t="n">
        <f aca="false">B7-C7</f>
        <v>6</v>
      </c>
    </row>
    <row r="8" customFormat="false" ht="21.75" hidden="false" customHeight="true" outlineLevel="0" collapsed="false">
      <c r="A8" s="17" t="s">
        <v>46</v>
      </c>
      <c r="B8" s="15" t="n">
        <f aca="false">COUNTA(IT数字化!C4:C200)</f>
        <v>9</v>
      </c>
      <c r="C8" s="15" t="n">
        <f aca="false">COUNTIF(IT数字化!G4:G200,"已完成")</f>
        <v>0</v>
      </c>
      <c r="D8" s="16" t="n">
        <f aca="false">IFERROR(C8/B8,0)</f>
        <v>0</v>
      </c>
      <c r="E8" s="15" t="n">
        <f aca="false">COUNTIF(IT数字化!B4:B200,"高")</f>
        <v>5</v>
      </c>
      <c r="F8" s="15" t="n">
        <f aca="false">B8-C8</f>
        <v>9</v>
      </c>
    </row>
    <row r="9" customFormat="false" ht="21.75" hidden="false" customHeight="true" outlineLevel="0" collapsed="false">
      <c r="A9" s="14" t="s">
        <v>47</v>
      </c>
      <c r="B9" s="15" t="n">
        <f aca="false">COUNTA(智慧园区IOC!C4:C200)</f>
        <v>5</v>
      </c>
      <c r="C9" s="15" t="n">
        <f aca="false">COUNTIF(智慧园区IOC!G4:G200,"已完成")</f>
        <v>0</v>
      </c>
      <c r="D9" s="16" t="n">
        <f aca="false">IFERROR(C9/B9,0)</f>
        <v>0</v>
      </c>
      <c r="E9" s="15" t="n">
        <f aca="false">COUNTIF(智慧园区IOC!B4:B200,"高")</f>
        <v>2</v>
      </c>
      <c r="F9" s="15" t="n">
        <f aca="false">B9-C9</f>
        <v>5</v>
      </c>
    </row>
    <row r="10" customFormat="false" ht="21.75" hidden="false" customHeight="true" outlineLevel="0" collapsed="false">
      <c r="A10" s="14" t="s">
        <v>48</v>
      </c>
      <c r="B10" s="15" t="n">
        <f aca="false">COUNTA(安全EHS保卫!C4:C200)</f>
        <v>5</v>
      </c>
      <c r="C10" s="15" t="n">
        <f aca="false">COUNTIF(安全EHS保卫!G4:G200,"已完成")</f>
        <v>0</v>
      </c>
      <c r="D10" s="16" t="n">
        <f aca="false">IFERROR(C10/B10,0)</f>
        <v>0</v>
      </c>
      <c r="E10" s="15" t="n">
        <f aca="false">COUNTIF(安全EHS保卫!B4:B200,"高")</f>
        <v>2</v>
      </c>
      <c r="F10" s="15" t="n">
        <f aca="false">B10-C10</f>
        <v>5</v>
      </c>
    </row>
    <row r="11" customFormat="false" ht="21.75" hidden="false" customHeight="true" outlineLevel="0" collapsed="false">
      <c r="A11" s="14" t="s">
        <v>49</v>
      </c>
      <c r="B11" s="15" t="n">
        <f aca="false">COUNTA(园区行政物业!C4:C200)</f>
        <v>5</v>
      </c>
      <c r="C11" s="15" t="n">
        <f aca="false">COUNTIF(园区行政物业!G4:G200,"已完成")</f>
        <v>0</v>
      </c>
      <c r="D11" s="16" t="n">
        <f aca="false">IFERROR(C11/B11,0)</f>
        <v>0</v>
      </c>
      <c r="E11" s="15" t="n">
        <f aca="false">COUNTIF(园区行政物业!B4:B200,"高")</f>
        <v>2</v>
      </c>
      <c r="F11" s="15" t="n">
        <f aca="false">B11-C11</f>
        <v>5</v>
      </c>
    </row>
    <row r="12" customFormat="false" ht="21.75" hidden="false" customHeight="true" outlineLevel="0" collapsed="false">
      <c r="A12" s="14" t="s">
        <v>50</v>
      </c>
      <c r="B12" s="15" t="n">
        <f aca="false">COUNTA(采购财务!C4:C200)</f>
        <v>5</v>
      </c>
      <c r="C12" s="15" t="n">
        <f aca="false">COUNTIF(采购财务!G4:G200,"已完成")</f>
        <v>0</v>
      </c>
      <c r="D12" s="16" t="n">
        <f aca="false">IFERROR(C12/B12,0)</f>
        <v>0</v>
      </c>
      <c r="E12" s="15" t="n">
        <f aca="false">COUNTIF(采购财务!B4:B200,"高")</f>
        <v>1</v>
      </c>
      <c r="F12" s="15" t="n">
        <f aca="false">B12-C12</f>
        <v>5</v>
      </c>
    </row>
    <row r="13" customFormat="false" ht="21.75" hidden="false" customHeight="true" outlineLevel="0" collapsed="false">
      <c r="A13" s="14" t="s">
        <v>51</v>
      </c>
      <c r="B13" s="15" t="n">
        <f aca="false">COUNTA(现场与承运商!C4:C200)</f>
        <v>5</v>
      </c>
      <c r="C13" s="15" t="n">
        <f aca="false">COUNTIF(现场与承运商!G4:G200,"已完成")</f>
        <v>0</v>
      </c>
      <c r="D13" s="16" t="n">
        <f aca="false">IFERROR(C13/B13,0)</f>
        <v>0</v>
      </c>
      <c r="E13" s="15" t="n">
        <f aca="false">COUNTIF(现场与承运商!B4:B200,"高")</f>
        <v>2</v>
      </c>
      <c r="F13" s="15" t="n">
        <f aca="false">B13-C13</f>
        <v>5</v>
      </c>
    </row>
    <row r="14" customFormat="false" ht="25.5" hidden="false" customHeight="true" outlineLevel="0" collapsed="false">
      <c r="A14" s="18" t="s">
        <v>52</v>
      </c>
      <c r="B14" s="19" t="n">
        <f aca="false">SUM(B4:B13)</f>
        <v>61</v>
      </c>
      <c r="C14" s="19" t="n">
        <f aca="false">SUM(C4:C13)</f>
        <v>0</v>
      </c>
      <c r="D14" s="20" t="n">
        <f aca="false">IFERROR(C14/B14,0)</f>
        <v>0</v>
      </c>
      <c r="E14" s="19" t="n">
        <f aca="false">SUM(E4:E13)</f>
        <v>28</v>
      </c>
      <c r="F14" s="19" t="n">
        <f aca="false">SUM(F4:F13)</f>
        <v>61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53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60</v>
      </c>
      <c r="D4" s="23" t="s">
        <v>61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63</v>
      </c>
      <c r="D5" s="23" t="s">
        <v>64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4" t="s">
        <v>7</v>
      </c>
      <c r="C6" s="9" t="s">
        <v>65</v>
      </c>
      <c r="D6" s="23" t="s">
        <v>66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4" t="s">
        <v>7</v>
      </c>
      <c r="C7" s="9" t="s">
        <v>67</v>
      </c>
      <c r="D7" s="23" t="s">
        <v>68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4" t="s">
        <v>7</v>
      </c>
      <c r="C8" s="9" t="s">
        <v>69</v>
      </c>
      <c r="D8" s="23" t="s">
        <v>70</v>
      </c>
      <c r="E8" s="10"/>
      <c r="F8" s="10"/>
      <c r="G8" s="24" t="s">
        <v>62</v>
      </c>
      <c r="H8" s="10"/>
    </row>
    <row r="9" customFormat="false" ht="39.75" hidden="false" customHeight="true" outlineLevel="0" collapsed="false">
      <c r="A9" s="15" t="n">
        <v>6</v>
      </c>
      <c r="B9" s="6" t="s">
        <v>9</v>
      </c>
      <c r="C9" s="9" t="s">
        <v>71</v>
      </c>
      <c r="D9" s="23" t="s">
        <v>72</v>
      </c>
      <c r="E9" s="10"/>
      <c r="F9" s="10"/>
      <c r="G9" s="24" t="s">
        <v>62</v>
      </c>
      <c r="H9" s="10"/>
    </row>
    <row r="10" customFormat="false" ht="39.75" hidden="false" customHeight="true" outlineLevel="0" collapsed="false">
      <c r="A10" s="15" t="n">
        <v>7</v>
      </c>
      <c r="B10" s="6" t="s">
        <v>9</v>
      </c>
      <c r="C10" s="9" t="s">
        <v>73</v>
      </c>
      <c r="D10" s="23" t="s">
        <v>74</v>
      </c>
      <c r="E10" s="10"/>
      <c r="F10" s="10"/>
      <c r="G10" s="24" t="s">
        <v>62</v>
      </c>
      <c r="H10" s="10"/>
    </row>
    <row r="11" customFormat="false" ht="39.75" hidden="false" customHeight="true" outlineLevel="0" collapsed="false">
      <c r="A11" s="15" t="n">
        <v>8</v>
      </c>
      <c r="B11" s="7" t="s">
        <v>11</v>
      </c>
      <c r="C11" s="9" t="s">
        <v>75</v>
      </c>
      <c r="D11" s="23" t="s">
        <v>76</v>
      </c>
      <c r="E11" s="10"/>
      <c r="F11" s="10"/>
      <c r="G11" s="24" t="s">
        <v>62</v>
      </c>
      <c r="H11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11" type="list">
      <formula1>"高,中,低"</formula1>
      <formula2>0</formula2>
    </dataValidation>
    <dataValidation allowBlank="true" errorStyle="stop" operator="between" showDropDown="false" showErrorMessage="false" showInputMessage="false" sqref="G4:G11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77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78</v>
      </c>
      <c r="D4" s="23" t="s">
        <v>79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80</v>
      </c>
      <c r="D5" s="23" t="s">
        <v>81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4" t="s">
        <v>7</v>
      </c>
      <c r="C6" s="9" t="s">
        <v>82</v>
      </c>
      <c r="D6" s="23" t="s">
        <v>22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4" t="s">
        <v>7</v>
      </c>
      <c r="C7" s="9" t="s">
        <v>83</v>
      </c>
      <c r="D7" s="23" t="s">
        <v>84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6" t="s">
        <v>9</v>
      </c>
      <c r="C8" s="9" t="s">
        <v>85</v>
      </c>
      <c r="D8" s="23" t="s">
        <v>86</v>
      </c>
      <c r="E8" s="10"/>
      <c r="F8" s="10"/>
      <c r="G8" s="24" t="s">
        <v>62</v>
      </c>
      <c r="H8" s="10"/>
    </row>
    <row r="9" customFormat="false" ht="39.75" hidden="false" customHeight="true" outlineLevel="0" collapsed="false">
      <c r="A9" s="15" t="n">
        <v>6</v>
      </c>
      <c r="B9" s="6" t="s">
        <v>9</v>
      </c>
      <c r="C9" s="9" t="s">
        <v>87</v>
      </c>
      <c r="D9" s="23" t="s">
        <v>88</v>
      </c>
      <c r="E9" s="10"/>
      <c r="F9" s="10"/>
      <c r="G9" s="24" t="s">
        <v>62</v>
      </c>
      <c r="H9" s="10"/>
    </row>
    <row r="10" customFormat="false" ht="39.75" hidden="false" customHeight="true" outlineLevel="0" collapsed="false">
      <c r="A10" s="15" t="n">
        <v>7</v>
      </c>
      <c r="B10" s="6" t="s">
        <v>9</v>
      </c>
      <c r="C10" s="9" t="s">
        <v>89</v>
      </c>
      <c r="D10" s="23" t="s">
        <v>90</v>
      </c>
      <c r="E10" s="10"/>
      <c r="F10" s="10"/>
      <c r="G10" s="24" t="s">
        <v>62</v>
      </c>
      <c r="H10" s="10"/>
    </row>
    <row r="11" customFormat="false" ht="39.75" hidden="false" customHeight="true" outlineLevel="0" collapsed="false">
      <c r="A11" s="15" t="n">
        <v>8</v>
      </c>
      <c r="B11" s="7" t="s">
        <v>11</v>
      </c>
      <c r="C11" s="9" t="s">
        <v>91</v>
      </c>
      <c r="D11" s="23" t="s">
        <v>92</v>
      </c>
      <c r="E11" s="10"/>
      <c r="F11" s="10"/>
      <c r="G11" s="24" t="s">
        <v>62</v>
      </c>
      <c r="H11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11" type="list">
      <formula1>"高,中,低"</formula1>
      <formula2>0</formula2>
    </dataValidation>
    <dataValidation allowBlank="true" errorStyle="stop" operator="between" showDropDown="false" showErrorMessage="false" showInputMessage="false" sqref="G4:G11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93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94</v>
      </c>
      <c r="D4" s="23" t="s">
        <v>95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96</v>
      </c>
      <c r="D5" s="23" t="s">
        <v>97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98</v>
      </c>
      <c r="D6" s="23" t="s">
        <v>99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100</v>
      </c>
      <c r="D7" s="23" t="s">
        <v>101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102</v>
      </c>
      <c r="D8" s="23" t="s">
        <v>103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104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105</v>
      </c>
      <c r="D4" s="23" t="s">
        <v>106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107</v>
      </c>
      <c r="D5" s="23" t="s">
        <v>108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4" t="s">
        <v>7</v>
      </c>
      <c r="C6" s="9" t="s">
        <v>109</v>
      </c>
      <c r="D6" s="23" t="s">
        <v>110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111</v>
      </c>
      <c r="D7" s="23" t="s">
        <v>112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6" t="s">
        <v>9</v>
      </c>
      <c r="C8" s="9" t="s">
        <v>113</v>
      </c>
      <c r="D8" s="23" t="s">
        <v>114</v>
      </c>
      <c r="E8" s="10"/>
      <c r="F8" s="10"/>
      <c r="G8" s="24" t="s">
        <v>62</v>
      </c>
      <c r="H8" s="10"/>
    </row>
    <row r="9" customFormat="false" ht="39.75" hidden="false" customHeight="true" outlineLevel="0" collapsed="false">
      <c r="A9" s="15" t="n">
        <v>6</v>
      </c>
      <c r="B9" s="7" t="s">
        <v>11</v>
      </c>
      <c r="C9" s="9" t="s">
        <v>115</v>
      </c>
      <c r="D9" s="23" t="s">
        <v>116</v>
      </c>
      <c r="E9" s="10"/>
      <c r="F9" s="10"/>
      <c r="G9" s="24" t="s">
        <v>62</v>
      </c>
      <c r="H9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9" type="list">
      <formula1>"高,中,低"</formula1>
      <formula2>0</formula2>
    </dataValidation>
    <dataValidation allowBlank="true" errorStyle="stop" operator="between" showDropDown="false" showErrorMessage="false" showInputMessage="false" sqref="G4:G9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5" t="s">
        <v>117</v>
      </c>
      <c r="B1" s="25"/>
      <c r="C1" s="25"/>
      <c r="D1" s="25"/>
      <c r="E1" s="25"/>
      <c r="F1" s="25"/>
      <c r="G1" s="25"/>
      <c r="H1" s="25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26" t="s">
        <v>118</v>
      </c>
      <c r="D4" s="23" t="s">
        <v>119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120</v>
      </c>
      <c r="D5" s="23" t="s">
        <v>121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4" t="s">
        <v>7</v>
      </c>
      <c r="C6" s="26" t="s">
        <v>122</v>
      </c>
      <c r="D6" s="27" t="s">
        <v>123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4" t="s">
        <v>7</v>
      </c>
      <c r="C7" s="9" t="s">
        <v>124</v>
      </c>
      <c r="D7" s="23" t="s">
        <v>125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4" t="s">
        <v>7</v>
      </c>
      <c r="C8" s="9" t="s">
        <v>126</v>
      </c>
      <c r="D8" s="23" t="s">
        <v>127</v>
      </c>
      <c r="E8" s="10"/>
      <c r="F8" s="10"/>
      <c r="G8" s="24" t="s">
        <v>62</v>
      </c>
      <c r="H8" s="10"/>
    </row>
    <row r="9" customFormat="false" ht="39.75" hidden="false" customHeight="true" outlineLevel="0" collapsed="false">
      <c r="A9" s="15" t="n">
        <v>6</v>
      </c>
      <c r="B9" s="6" t="s">
        <v>9</v>
      </c>
      <c r="C9" s="9" t="s">
        <v>128</v>
      </c>
      <c r="D9" s="23" t="s">
        <v>129</v>
      </c>
      <c r="E9" s="10"/>
      <c r="F9" s="10"/>
      <c r="G9" s="24" t="s">
        <v>62</v>
      </c>
      <c r="H9" s="10"/>
    </row>
    <row r="10" customFormat="false" ht="39.75" hidden="false" customHeight="true" outlineLevel="0" collapsed="false">
      <c r="A10" s="15" t="n">
        <v>7</v>
      </c>
      <c r="B10" s="6" t="s">
        <v>9</v>
      </c>
      <c r="C10" s="9" t="s">
        <v>130</v>
      </c>
      <c r="D10" s="23" t="s">
        <v>131</v>
      </c>
      <c r="E10" s="10"/>
      <c r="F10" s="10"/>
      <c r="G10" s="24" t="s">
        <v>62</v>
      </c>
      <c r="H10" s="10"/>
    </row>
    <row r="11" customFormat="false" ht="39.75" hidden="false" customHeight="true" outlineLevel="0" collapsed="false">
      <c r="A11" s="15" t="n">
        <v>8</v>
      </c>
      <c r="B11" s="6" t="s">
        <v>9</v>
      </c>
      <c r="C11" s="9" t="s">
        <v>132</v>
      </c>
      <c r="D11" s="23" t="s">
        <v>133</v>
      </c>
      <c r="E11" s="10"/>
      <c r="F11" s="10"/>
      <c r="G11" s="24" t="s">
        <v>62</v>
      </c>
      <c r="H11" s="10"/>
    </row>
    <row r="12" customFormat="false" ht="39.75" hidden="false" customHeight="true" outlineLevel="0" collapsed="false">
      <c r="A12" s="15" t="n">
        <v>9</v>
      </c>
      <c r="B12" s="7" t="s">
        <v>11</v>
      </c>
      <c r="C12" s="9" t="s">
        <v>134</v>
      </c>
      <c r="D12" s="23" t="s">
        <v>135</v>
      </c>
      <c r="E12" s="10"/>
      <c r="F12" s="10"/>
      <c r="G12" s="24" t="s">
        <v>62</v>
      </c>
      <c r="H12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12" type="list">
      <formula1>"高,中,低"</formula1>
      <formula2>0</formula2>
    </dataValidation>
    <dataValidation allowBlank="true" errorStyle="stop" operator="between" showDropDown="false" showErrorMessage="false" showInputMessage="false" sqref="G4:G12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136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26" t="s">
        <v>137</v>
      </c>
      <c r="D4" s="23" t="s">
        <v>138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139</v>
      </c>
      <c r="D5" s="23" t="s">
        <v>140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141</v>
      </c>
      <c r="D6" s="23" t="s">
        <v>142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143</v>
      </c>
      <c r="D7" s="23" t="s">
        <v>144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145</v>
      </c>
      <c r="D8" s="23" t="s">
        <v>146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147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148</v>
      </c>
      <c r="D4" s="23" t="s">
        <v>149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150</v>
      </c>
      <c r="D5" s="23" t="s">
        <v>151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152</v>
      </c>
      <c r="D6" s="23" t="s">
        <v>153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154</v>
      </c>
      <c r="D7" s="23" t="s">
        <v>155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156</v>
      </c>
      <c r="D8" s="23" t="s">
        <v>157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158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159</v>
      </c>
      <c r="D4" s="23" t="s">
        <v>160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161</v>
      </c>
      <c r="D5" s="23" t="s">
        <v>162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163</v>
      </c>
      <c r="D6" s="23" t="s">
        <v>164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165</v>
      </c>
      <c r="D7" s="23" t="s">
        <v>166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167</v>
      </c>
      <c r="D8" s="23" t="s">
        <v>168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169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170</v>
      </c>
      <c r="D4" s="23" t="s">
        <v>171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6" t="s">
        <v>9</v>
      </c>
      <c r="C5" s="9" t="s">
        <v>172</v>
      </c>
      <c r="D5" s="23" t="s">
        <v>173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174</v>
      </c>
      <c r="D6" s="23" t="s">
        <v>175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176</v>
      </c>
      <c r="D7" s="23" t="s">
        <v>177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178</v>
      </c>
      <c r="D8" s="23" t="s">
        <v>179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21" t="s">
        <v>180</v>
      </c>
      <c r="B1" s="21"/>
      <c r="C1" s="21"/>
      <c r="D1" s="21"/>
      <c r="E1" s="21"/>
      <c r="F1" s="21"/>
      <c r="G1" s="21"/>
      <c r="H1" s="21"/>
    </row>
    <row r="2" customFormat="false" ht="19.5" hidden="false" customHeight="true" outlineLevel="0" collapsed="false">
      <c r="A2" s="22" t="s">
        <v>54</v>
      </c>
      <c r="B2" s="22"/>
      <c r="C2" s="22"/>
      <c r="D2" s="22"/>
      <c r="E2" s="22"/>
      <c r="F2" s="22"/>
      <c r="G2" s="22"/>
      <c r="H2" s="22"/>
    </row>
    <row r="3" customFormat="false" ht="25.5" hidden="false" customHeight="true" outlineLevel="0" collapsed="false">
      <c r="A3" s="13" t="s">
        <v>55</v>
      </c>
      <c r="B3" s="13" t="s">
        <v>14</v>
      </c>
      <c r="C3" s="13" t="s">
        <v>15</v>
      </c>
      <c r="D3" s="13" t="s">
        <v>56</v>
      </c>
      <c r="E3" s="13" t="s">
        <v>57</v>
      </c>
      <c r="F3" s="13" t="s">
        <v>58</v>
      </c>
      <c r="G3" s="13" t="s">
        <v>19</v>
      </c>
      <c r="H3" s="13" t="s">
        <v>59</v>
      </c>
    </row>
    <row r="4" customFormat="false" ht="39.75" hidden="false" customHeight="true" outlineLevel="0" collapsed="false">
      <c r="A4" s="15" t="n">
        <v>1</v>
      </c>
      <c r="B4" s="4" t="s">
        <v>7</v>
      </c>
      <c r="C4" s="9" t="s">
        <v>181</v>
      </c>
      <c r="D4" s="23" t="s">
        <v>182</v>
      </c>
      <c r="E4" s="10"/>
      <c r="F4" s="10"/>
      <c r="G4" s="24" t="s">
        <v>62</v>
      </c>
      <c r="H4" s="10"/>
    </row>
    <row r="5" customFormat="false" ht="39.75" hidden="false" customHeight="true" outlineLevel="0" collapsed="false">
      <c r="A5" s="15" t="n">
        <v>2</v>
      </c>
      <c r="B5" s="4" t="s">
        <v>7</v>
      </c>
      <c r="C5" s="9" t="s">
        <v>183</v>
      </c>
      <c r="D5" s="23" t="s">
        <v>184</v>
      </c>
      <c r="E5" s="10"/>
      <c r="F5" s="10"/>
      <c r="G5" s="24" t="s">
        <v>62</v>
      </c>
      <c r="H5" s="10"/>
    </row>
    <row r="6" customFormat="false" ht="39.75" hidden="false" customHeight="true" outlineLevel="0" collapsed="false">
      <c r="A6" s="15" t="n">
        <v>3</v>
      </c>
      <c r="B6" s="6" t="s">
        <v>9</v>
      </c>
      <c r="C6" s="9" t="s">
        <v>185</v>
      </c>
      <c r="D6" s="23" t="s">
        <v>186</v>
      </c>
      <c r="E6" s="10"/>
      <c r="F6" s="10"/>
      <c r="G6" s="24" t="s">
        <v>62</v>
      </c>
      <c r="H6" s="10"/>
    </row>
    <row r="7" customFormat="false" ht="39.75" hidden="false" customHeight="true" outlineLevel="0" collapsed="false">
      <c r="A7" s="15" t="n">
        <v>4</v>
      </c>
      <c r="B7" s="6" t="s">
        <v>9</v>
      </c>
      <c r="C7" s="9" t="s">
        <v>187</v>
      </c>
      <c r="D7" s="23" t="s">
        <v>188</v>
      </c>
      <c r="E7" s="10"/>
      <c r="F7" s="10"/>
      <c r="G7" s="24" t="s">
        <v>62</v>
      </c>
      <c r="H7" s="10"/>
    </row>
    <row r="8" customFormat="false" ht="39.75" hidden="false" customHeight="true" outlineLevel="0" collapsed="false">
      <c r="A8" s="15" t="n">
        <v>5</v>
      </c>
      <c r="B8" s="7" t="s">
        <v>11</v>
      </c>
      <c r="C8" s="9" t="s">
        <v>189</v>
      </c>
      <c r="D8" s="23" t="s">
        <v>190</v>
      </c>
      <c r="E8" s="10"/>
      <c r="F8" s="10"/>
      <c r="G8" s="24" t="s">
        <v>62</v>
      </c>
      <c r="H8" s="10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8" type="list">
      <formula1>"高,中,低"</formula1>
      <formula2>0</formula2>
    </dataValidation>
    <dataValidation allowBlank="true" errorStyle="stop" operator="between" showDropDown="false" showErrorMessage="false" showInputMessage="false" sqref="G4:G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2026-08-06T06:19:40Z</dcterms:created>
  <dc:creator>openpyxl</dc:creator>
  <dc:description/>
  <dc:language>en-US</dc:language>
  <cp:lastModifiedBy/>
  <dcterms:modified xsi:type="dcterms:W3CDTF">2026-08-06T06:19:40Z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