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windows\Desktop\"/>
    </mc:Choice>
  </mc:AlternateContent>
  <bookViews>
    <workbookView windowWidth="18600" windowHeight="8175"/>
  </bookViews>
  <sheets>
    <sheet name="总表" sheetId="2" r:id="rId1"/>
    <sheet name="1#、3#、8#、15#五方对讲系统" sheetId="3" r:id="rId2"/>
    <sheet name="1#数据中心BA系统" sheetId="4" r:id="rId3"/>
    <sheet name="1#数据中心安防门禁系统" sheetId="5" r:id="rId4"/>
    <sheet name="1#数据中心综合布线系统" sheetId="6" r:id="rId5"/>
    <sheet name="3#数据中心BA系统" sheetId="7" r:id="rId6"/>
    <sheet name="3#数据中心安防门禁系统" sheetId="8" r:id="rId7"/>
    <sheet name="3#数据中心综合布线系统" sheetId="9" r:id="rId8"/>
    <sheet name="8#、15#非管区入侵报警系统" sheetId="10" r:id="rId9"/>
    <sheet name="8#、15#非管区时钟同步系统" sheetId="11" r:id="rId10"/>
    <sheet name="8#、15#非管区视频监控系统" sheetId="12" r:id="rId11"/>
    <sheet name="8#、15#非管区巡更系统" sheetId="13" r:id="rId12"/>
    <sheet name="8#、15#非管区一卡通系统" sheetId="14" r:id="rId13"/>
    <sheet name="8#、15#非管区园区智能化管理平台系统" sheetId="15" r:id="rId14"/>
    <sheet name="8#、15#非管区综合布线系统" sheetId="16" r:id="rId15"/>
    <sheet name="8#、15#非管区BA系统" sheetId="17" r:id="rId16"/>
    <sheet name="8#、15#非管区多媒体系统" sheetId="18" r:id="rId17"/>
    <sheet name="8#、15#非管区信息发布系统" sheetId="19" r:id="rId18"/>
    <sheet name="8#楼ECC非管区灯光控制工程" sheetId="20" r:id="rId19"/>
    <sheet name="8#楼ECC非管区电动窗帘控制工程" sheetId="21" r:id="rId20"/>
    <sheet name="15#楼生产综合楼灯光控制工程" sheetId="22" r:id="rId21"/>
    <sheet name="15#楼生产楼电动窗帘控制工程" sheetId="23" r:id="rId22"/>
    <sheet name="15#楼生产综合楼值班室、机房、工具间" sheetId="24" r:id="rId23"/>
  </sheets>
  <definedNames>
    <definedName name="_xlnm._FilterDatabase" localSheetId="0" hidden="1">总表!$A$2:$C$25</definedName>
    <definedName name="_xlnm._FilterDatabase" localSheetId="15" hidden="1">'8#、15#非管区BA系统'!$A$4:$N$124</definedName>
    <definedName name="_xlnm._FilterDatabase" localSheetId="16" hidden="1">'8#、15#非管区多媒体系统'!$A$4:$N$509</definedName>
    <definedName name="_xlnm._FilterDatabase" localSheetId="17" hidden="1">'8#、15#非管区信息发布系统'!$A$4:$N$45</definedName>
    <definedName name="_xlnm._FilterDatabase" localSheetId="19" hidden="1">'8#楼ECC非管区电动窗帘控制工程'!$A$4:$N$23</definedName>
    <definedName name="_xlnm._FilterDatabase" localSheetId="22" hidden="1">'15#楼生产综合楼值班室、机房、工具间'!$A$4:$N$151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<sst xmlns="http://schemas.openxmlformats.org/spreadsheetml/2006/main" count="5138" uniqueCount="1993">
  <si>
    <t>总表</t>
  </si>
  <si>
    <t>序号</t>
  </si>
  <si>
    <t>项目</t>
  </si>
  <si>
    <t>金额（元）</t>
  </si>
  <si>
    <t>1#、3#、8#、15#数据中心非管控区五方对讲</t>
  </si>
  <si>
    <t>1#楼数据中心—柴发区域自控及弱电工程-BA系统</t>
  </si>
  <si>
    <t>1#楼数据中心—柴发区域自控及弱电工程-安防门禁系统</t>
  </si>
  <si>
    <t>1#楼数据中心—柴发区域自控及弱电工程-综合布线系统</t>
  </si>
  <si>
    <t>3#楼数据中心—柴发区域自控及弱电工程-BA系统</t>
  </si>
  <si>
    <t>3#楼数据中心—柴发区域自控及弱电工程-安防门禁系统</t>
  </si>
  <si>
    <t>3#楼数据中心—柴发区域自控及弱电工程-综合布线系统</t>
  </si>
  <si>
    <t>8#、15#、及门卫数据中心非管控区-入侵报警系统工程</t>
  </si>
  <si>
    <t>8#、15#、及门卫数据中心非管控区-时钟同步系统工程</t>
  </si>
  <si>
    <t>8#、15#、及门卫数据中心非管控区-视频监控系统工程</t>
  </si>
  <si>
    <t>8#、15#、及门卫数据中心非管控区-巡更系统工程</t>
  </si>
  <si>
    <t>8#、15#、及门卫数据中心非管控区-一卡通系统工程</t>
  </si>
  <si>
    <t>8#、15#、及门卫数据中心非管控区园区智能化管理平台系统工程</t>
  </si>
  <si>
    <t>8#、15#、及门卫数据中心非管控区-综合布线系统工程</t>
  </si>
  <si>
    <t>8#、15#数据中心非管控区-BA系统工程</t>
  </si>
  <si>
    <t>8#、15#数据中心非管控区-多媒体会议系统工程</t>
  </si>
  <si>
    <t>8#、15#数据中心非管控区-信息发布系统工程</t>
  </si>
  <si>
    <t>8#楼ECC非管控区-灯光控制工程</t>
  </si>
  <si>
    <t>8#楼ECC非管控区-电动窗帘控制工程</t>
  </si>
  <si>
    <t>15#楼生产综合楼-灯光控制工程</t>
  </si>
  <si>
    <t>15#楼生产综合楼-电动窗帘控制工程</t>
  </si>
  <si>
    <t>15#生产综合楼-值班室、机房、工具间</t>
  </si>
  <si>
    <t>总计</t>
  </si>
  <si>
    <t>分部分项工程和单价措施项目清单与计价表</t>
  </si>
  <si>
    <t>工程名称：1#、3#、8#、15#数据中心非管控区五方对讲</t>
  </si>
  <si>
    <t>标段：兴业银行贵安新区数据中心项目（一期）室内装修及机电配套工程</t>
  </si>
  <si>
    <t>第  1  页  共  1  页</t>
  </si>
  <si>
    <t>项目编码</t>
  </si>
  <si>
    <t>项目名称</t>
  </si>
  <si>
    <t>项目特征描述</t>
  </si>
  <si>
    <t>计量单位</t>
  </si>
  <si>
    <t>工程量</t>
  </si>
  <si>
    <t>主材/设备费</t>
  </si>
  <si>
    <t>辅材</t>
  </si>
  <si>
    <t>机械措施</t>
  </si>
  <si>
    <t>人工</t>
  </si>
  <si>
    <t>管理费</t>
  </si>
  <si>
    <t>利润</t>
  </si>
  <si>
    <t>税金</t>
  </si>
  <si>
    <t>总价</t>
  </si>
  <si>
    <t>030411004092</t>
  </si>
  <si>
    <t>配线</t>
  </si>
  <si>
    <t>1.名称:五方对讲线缆
2.型号:RYYSP-6*1.0
3.其它:满足完成此项工作所需要的全部工作内容，包括设计图纸、技术规范书、答疑、招标文件、现行规范、图集、验收等全部要求</t>
  </si>
  <si>
    <t>m</t>
  </si>
  <si>
    <t>030411004093</t>
  </si>
  <si>
    <t>1.名称:五方对讲线缆
2.型号:RYYSP-2*1.5
3.其它:满足完成此项工作所需要的全部工作内容，包括设计图纸、技术规范书、答疑、招标文件、现行规范、图集、验收等全部要求</t>
  </si>
  <si>
    <t>本页小计</t>
  </si>
  <si>
    <t>工程名称：1#楼数据中心—柴发区域自控及弱电工程-BA系统</t>
  </si>
  <si>
    <t>080901001003</t>
  </si>
  <si>
    <t>交换机</t>
  </si>
  <si>
    <t>1.名称：接入交换机
2.参数： 支持交流或直流供电,支持冗余电源;
  ≥48个千兆以太网电接口;
  ≥4端口千兆以太网光接口;
  工作环境温度-5℃~45℃;
  工作环境相对湿度(非凝露) 5%~95%;
  电源接口:支持双电源供电;
配10G上行光模块
3.其他:满足完成此项工作所需要的全部工作内容，包括设计图纸、技术规范书、答疑、招标文件、现行规范、图集、验收等全部要求</t>
  </si>
  <si>
    <t>台</t>
  </si>
  <si>
    <t>030503003005</t>
  </si>
  <si>
    <t>DDC控制器</t>
  </si>
  <si>
    <t>1.名称：DDC控制箱（含控制器等）
2.其他:满足完成此项工作所需要的全部工作内容，包括设计图纸、技术规范书、答疑、招标文件、现行规范、图集、验收等全部要求</t>
  </si>
  <si>
    <t>030503010002</t>
  </si>
  <si>
    <t>建筑设备自控化系统试运行</t>
  </si>
  <si>
    <t>1.名称:建筑设备自控化系统试运行
2.其他:满足完成此项工作所需要的全部工作内容，包括设计图纸、技术规范书、答疑、招标文件、现行规范、图集、验收等全部要求</t>
  </si>
  <si>
    <t>系统</t>
  </si>
  <si>
    <t>031301017003</t>
  </si>
  <si>
    <t>脚手架搭拆</t>
  </si>
  <si>
    <t>1.脚手架费
2.按项包干
3.其它:满足完成此项工作所需要的全部工作内容，包括设计图纸、技术规范书、答疑、招标文件、现行规范、图集、验收等全部要求</t>
  </si>
  <si>
    <t>项</t>
  </si>
  <si>
    <t>030503003001</t>
  </si>
  <si>
    <t>控制器</t>
  </si>
  <si>
    <t>1.名称：D1-1门禁控制器（配套安防箱）
2.参数：详见设计图纸及技术规范书
3.其他:满足完成此项工作所需要的全部工作内容，包括设计图纸、技术规范书、答疑、招标文件、现行规范、图集、验收等全部要求</t>
  </si>
  <si>
    <t>030503003002</t>
  </si>
  <si>
    <t>1.名称：D1-2门禁控制器（配套安防箱）
2.参数：详见设计图纸及技术规范书
3.其他:满足完成此项工作所需要的全部工作内容，包括设计图纸、技术规范书、答疑、招标文件、现行规范、图集、验收等全部要求</t>
  </si>
  <si>
    <t>030503003003</t>
  </si>
  <si>
    <t>1.名称：D2-2门禁控制器（配套安防箱）
2.参数：详见设计图纸及技术规范书
3.其他:满足完成此项工作所需要的全部工作内容，包括设计图纸、技术规范书、答疑、招标文件、现行规范、图集、验收等全部要求</t>
  </si>
  <si>
    <t>030503003004</t>
  </si>
  <si>
    <t>1.名称：D3-2门禁控制器（配套安防箱）
2.参数：详见设计图纸及技术规范书
3.其他:满足完成此项工作所需要的全部工作内容，包括设计图纸、技术规范书、答疑、招标文件、现行规范、图集、验收等全部要求</t>
  </si>
  <si>
    <t>030507006001</t>
  </si>
  <si>
    <t>出入口控制设备</t>
  </si>
  <si>
    <t>1.名称：门禁读卡器
2.参数：详见设计图纸及技术规范书
3.其他:满足完成此项工作所需要的全部工作内容，包括设计图纸、技术规范书、答疑、招标文件、现行规范、图集、验收等全部要求</t>
  </si>
  <si>
    <t>030507006002</t>
  </si>
  <si>
    <t>1.名称：出门按钮
2.参数：详见设计图纸及技术规范书
3.其他:满足完成此项工作所需要的全部工作内容，包括设计图纸、技术规范书、答疑、招标文件、现行规范、图集、验收等全部要求</t>
  </si>
  <si>
    <t>030507006003</t>
  </si>
  <si>
    <t>1.名称：电控锁
2.参数：详见设计图纸及技术规范书
3.其他:满足完成此项工作所需要的全部工作内容，包括设计图纸、技术规范书、答疑、招标文件、现行规范、图集、验收等全部要求</t>
  </si>
  <si>
    <t>030507006004</t>
  </si>
  <si>
    <t>1.名称：门磁开关
2.参数：详见设计图纸及技术规范书
3.其他:满足完成此项工作所需要的全部工作内容，包括设计图纸、技术规范书、答疑、招标文件、现行规范、图集、验收等全部要求</t>
  </si>
  <si>
    <t>030507006005</t>
  </si>
  <si>
    <t>1.名称：玻璃破碎应急按钮
2.参数：详见设计图纸及技术规范书
3.其他:满足完成此项工作所需要的全部工作内容，包括设计图纸、技术规范书、答疑、招标文件、现行规范、图集、验收等全部要求</t>
  </si>
  <si>
    <t>030507005001</t>
  </si>
  <si>
    <t>出入口目标识别设备</t>
  </si>
  <si>
    <t>1.名称：人脸识别机
2.参数：详见设计图纸及技术规范书
3.其他:满足完成此项工作所需要的全部工作内容，包括设计图纸、技术规范书、答疑、招标文件、现行规范、图集、验收等全部要求</t>
  </si>
  <si>
    <t>030411006001</t>
  </si>
  <si>
    <t>接线盒</t>
  </si>
  <si>
    <t>1.名称:接线盒
2.参数：详见设计图纸及技术规范书
3.其他:满足完成此项工作所需要的全部工作内容，包括设计图纸、技术规范书、答疑、招标文件、现行规范、图集、验收等全部要求</t>
  </si>
  <si>
    <t>个</t>
  </si>
  <si>
    <t>030411001002</t>
  </si>
  <si>
    <t>配管</t>
  </si>
  <si>
    <t>1.名称:紧定式镀锌钢导管
2.材质:JDG25
3.敷设方式:综合考虑
4.其他:满足完成此项工作所需要的全部工作内容，满足设计图纸、技术规范书、答疑、招标文件、现行规范、图集、验收等全部要求</t>
  </si>
  <si>
    <t>030411001003</t>
  </si>
  <si>
    <t>1.名称:紧定式镀锌钢导管
2.材质:JGD20
3.敷设方式:综合考虑
4.其他:满足完成此项工作所需要的全部工作内容，满足设计图纸、技术规范书、答疑、招标文件、现行规范、图集、验收等全部要求</t>
  </si>
  <si>
    <t>030413002002</t>
  </si>
  <si>
    <t>凿（压)槽</t>
  </si>
  <si>
    <t>1.名称:二次结构凿槽
2.规格:DN32以内
3.类型:砼、砌筑结构
4.含填补恢复
5.满足完成此项工作所需要的全部工作内容，满足设计图纸、技术规范书、答疑、招标文件、现行规范、图集、验收等全部要求</t>
  </si>
  <si>
    <t>030413001003</t>
  </si>
  <si>
    <t>管道支架/综合支架</t>
  </si>
  <si>
    <t>1.名称:管道支架制作安装
2.材质：热镀锌
3.其它：满足完成此项工作所需要的全部工作内容，满足设计图纸、技术规范书、答疑、招标文件、现行规范、图集、验收等全部要求</t>
  </si>
  <si>
    <t>kg</t>
  </si>
  <si>
    <t>030502007002</t>
  </si>
  <si>
    <t>光缆</t>
  </si>
  <si>
    <t>1.名称:光缆
2.规格:12芯单模光纤
3.敷设方式:桥架内敷设
4.其他:满足完成此项工作所需要的全部工作内容，满足设计图纸、技术规范书、答疑、招标文件、现行规范、图集、验收等全部要求</t>
  </si>
  <si>
    <t>030502005002</t>
  </si>
  <si>
    <t>双绞线缆</t>
  </si>
  <si>
    <t>1.名称:六类八芯非屏蔽对绞线
2.规格:LSZH-UTP-Cat6-4x2x0.5
3.其他:满足完成此项工作所需要的全部工作内容，满足设计图纸、技术规范书、答疑、招标文件、现行规范、图集、验收等全部要求</t>
  </si>
  <si>
    <t>030411004001</t>
  </si>
  <si>
    <t>1.名称:配线
2.规格:WDZA-RYY2*1.0
3.其他:满足完成此项工作所需要的全部工作内容，满足设计图纸、技术规范书、答疑、招标文件、现行规范、图集、验收等全部要求</t>
  </si>
  <si>
    <t>030411004002</t>
  </si>
  <si>
    <t>1.名称:线缆
2.规格:WDZA-RYY-4*1.0
3.其他:满足完成此项工作所需要的全部工作内容，满足设计图纸、技术规范书、答疑、招标文件、现行规范、图集、验收等全部要求</t>
  </si>
  <si>
    <t>030411004003</t>
  </si>
  <si>
    <t>1.名称:线缆
2.规格:WDZA-RYSP-4*1.0
3.其他:满足完成此项工作所需要的全部工作内容，满足设计图纸、技术规范书、答疑、招标文件、现行规范、图集、验收等全部要求</t>
  </si>
  <si>
    <t>030411004004</t>
  </si>
  <si>
    <t>1.名称:线缆
2.规格:WDZA-RYSP6*1.0 
3.其他:满足完成此项工作所需要的全部工作内容，满足设计图纸、技术规范书、答疑、招标文件、现行规范、图集、验收等全部要求</t>
  </si>
  <si>
    <t>030411004005</t>
  </si>
  <si>
    <t>1.名称:线缆
2.规格:WDZA-RYSP8*1.0 
3.其他:满足完成此项工作所需要的全部工作内容，满足设计图纸、技术规范书、答疑、招标文件、现行规范、图集、验收等全部要求</t>
  </si>
  <si>
    <t>030502019002</t>
  </si>
  <si>
    <t>双绞线缆测试</t>
  </si>
  <si>
    <t>1.双绞线缆测试
2.满足完成此项工作所需要的全部工作内容，包括设计图纸、技术规范书、答疑、招标文件、现行规范、图集、验收等全部要求</t>
  </si>
  <si>
    <t>链路</t>
  </si>
  <si>
    <t>030502020002</t>
  </si>
  <si>
    <t>光纤测试</t>
  </si>
  <si>
    <t>1.光纤测试
2.满足完成此项工作所需要的全部工作内容，包括设计图纸、技术规范书、答疑、招标文件、现行规范、图集、验收等全部要求</t>
  </si>
  <si>
    <t>030507019001</t>
  </si>
  <si>
    <t>安全防范系统调试</t>
  </si>
  <si>
    <t>1.系统调试及试运行
2.满足完成此项工作所需要的全部工作内容，包括设计图纸、技术规范书、答疑、招标文件、现行规范、图集、验收等全部要求</t>
  </si>
  <si>
    <t>03B001</t>
  </si>
  <si>
    <t>系统综合及集成</t>
  </si>
  <si>
    <t>1.清单未列项、图纸中未表示或技术规格书未做要求，但为了实现本系统各项功能必须增加的配套及辅助的材料、设备的所有工作内容及费用；
2.施工深化设计增加的实现本系统设计功能必要的配套及辅助的材料、设备所需的所有工作内容及费用；
3.实现设计功能所做的满足图纸、技术规格书要求的各项综合与集成，包括不限于各项检测、试验、调试、软件开发、联动等所有工作内容及费用</t>
  </si>
  <si>
    <t>031301017002</t>
  </si>
  <si>
    <t>080901001001</t>
  </si>
  <si>
    <t>1.名称：汇聚交换机
2.参数：48口,万兆，40G上行光模块
3.详见图纸设计及相关验收规范要求等
4.其他:满足完成此项工作所需要的全部工作内容，包括设计图纸、技术规范书、答疑、招标文件、现行规范、图集、验收等全部要求</t>
  </si>
  <si>
    <t>080901001002</t>
  </si>
  <si>
    <t>1.名称：24口接入交换机
2.主要参数：配10G上行光模块
3.其他:满足完成此项工作所需要的全部工作内容，包括设计图纸、技术规范书、答疑、招标文件、现行规范、图集、验收等全部要求</t>
  </si>
  <si>
    <t>030502010001</t>
  </si>
  <si>
    <t>配线架</t>
  </si>
  <si>
    <t>1.名称：配线架24口（含耦合器、尾纤等）
2.参数：详见设计图纸及技术规范书
3.其他:满足完成此项工作所需要的全部工作内容，包括设计图纸、技术规范书、答疑、招标文件、现行规范、图集、验收等全部要求</t>
  </si>
  <si>
    <t>030502010002</t>
  </si>
  <si>
    <t>1.名称：RJ45配线架 24口（含理线器、模块等）
2.参数：详见设计图纸及技术规范书
3.其他:满足完成此项工作所需要的全部工作内容，包括设计图纸、技术规范书、答疑、招标文件、现行规范、图集、验收等全部要求</t>
  </si>
  <si>
    <t>030501005001</t>
  </si>
  <si>
    <t>插箱、机柜</t>
  </si>
  <si>
    <t>1.名称：19寸标准机柜(600*800)
42U,含风扇电源
2.其他:满足完成此项工作所需要的全部工作内容，包括设计图纸、技术规范书、答疑、招标文件、现行规范、图集、验收等全部要求</t>
  </si>
  <si>
    <t>030502004001</t>
  </si>
  <si>
    <t>电视、电话插座</t>
  </si>
  <si>
    <t>1.名称：双孔信息插座（含模块）
2.参数：详见设计图纸及技术规范书
3.其它:满足完成此项工作所需要的全部工作内容，包括设计图纸、技术规范书、答疑、招标文件、现行规范、图集、验收等全部要求</t>
  </si>
  <si>
    <t>030502003001</t>
  </si>
  <si>
    <t>分线接线箱（盒）</t>
  </si>
  <si>
    <t>1.名称：铁质接线盒
2.参数：详见设计图纸及技术规范书
3.其它:满足完成此项工作所需要的全部工作内容，包括设计图纸、技术规范书、答疑、招标文件、现行规范、图集、验收等全部要求</t>
  </si>
  <si>
    <t>030502009001</t>
  </si>
  <si>
    <t>跳线</t>
  </si>
  <si>
    <t>1.名称：跳线
2.其他:满足完成此项工作所需要的全部工作内容，包括设计图纸、技术规范书、答疑、招标文件、现行规范、图集、验收等全部要求</t>
  </si>
  <si>
    <t>条</t>
  </si>
  <si>
    <t>030502009002</t>
  </si>
  <si>
    <t>LC-LC单模光纤跳线（3m）</t>
  </si>
  <si>
    <t>1.名称:LC-LC单模光纤跳线（3m）
2.其它:满足完成此项工作所需要的全部工作内容，包括设计图纸、技术规范书、答疑、招标文件、现行规范、图集、验收等全部要求</t>
  </si>
  <si>
    <t>030502009003</t>
  </si>
  <si>
    <t>LC-LC多模光纤跳线（3m）</t>
  </si>
  <si>
    <t>1.名称:LC-LC多模光纤跳线（3m）
2.其它:满足完成此项工作所需要的全部工作内容，包括设计图纸、技术规范书、答疑、招标文件、现行规范、图集、验收等全部要求</t>
  </si>
  <si>
    <t>030502009004</t>
  </si>
  <si>
    <t>六类非屏蔽跳线（3m）</t>
  </si>
  <si>
    <t>1.名称:六类非屏蔽跳线（3m）
2.其它:满足完成此项工作所需要的全部工作内容，包括设计图纸、技术规范书、答疑、招标文件、现行规范、图集、验收等全部要求</t>
  </si>
  <si>
    <t>030411003001</t>
  </si>
  <si>
    <t>桥架</t>
  </si>
  <si>
    <t>1.名称:热浸锌钢制金属线槽
2.型号：400*100
3.包含但不限于桥架、弯头、三通或四通、盖板、隔板、附件安装、接地跨接等
4.其它:满足完成此项工作所需要的全部工作内容，满足设计图纸、技术规范书、答疑、招标文件、现行规范、图集、验收等全部要求</t>
  </si>
  <si>
    <t>030411003002</t>
  </si>
  <si>
    <t>1.名称:热浸锌钢制金属线槽
2.型号：200*100
3.包含但不限于桥架、弯头、三通或四通、盖板、隔板、附件安装、接地跨接等
4.其它:满足完成此项工作所需要的全部工作内容，满足设计图纸、技术规范书、答疑、招标文件、现行规范、图集、验收等全部要求</t>
  </si>
  <si>
    <t>030413001001</t>
  </si>
  <si>
    <t>桥架支吊架制作及安装</t>
  </si>
  <si>
    <t>1.名称:桥架支吊架制作及安装
2.规格:综合、热浸镀锌
3.其它：满足完成此项工作所需要的全部工作内容，满足设计图纸、技术规范书、答疑、招标文件、现行规范、图集、验收等全部要求</t>
  </si>
  <si>
    <t>030502005001</t>
  </si>
  <si>
    <t>1.名称:超六类非屏蔽四对双绞线
2.规格:CAT.6A UTP
3.其他:满足完成此项工作所需要的全部工作内容，包括设计图纸、技术规范书、答疑、招标文件、现行规范、图集、验收等全部要求</t>
  </si>
  <si>
    <t>030411001001</t>
  </si>
  <si>
    <t>030413002001</t>
  </si>
  <si>
    <t>030413001002</t>
  </si>
  <si>
    <t>030502007001</t>
  </si>
  <si>
    <t>1.名称:光缆
2.规格:12芯单模光纤OS2
3.敷设方式:桥架内敷设
3.其他:满足完成此项工作所需要的全部工作内容，包括设计图纸、技术规范书、答疑、招标文件、现行规范、图集、验收等全部要求</t>
  </si>
  <si>
    <t>030502019001</t>
  </si>
  <si>
    <t>1.测试内容:4对双绞线缆
2.其他:满足完成此项工作所需要的全部工作内容，包括设计图纸、技术规范书、答疑、招标文件、现行规范、图集、验收等全部要求</t>
  </si>
  <si>
    <t>030502020001</t>
  </si>
  <si>
    <t>1.测试内容:光纤
2.其他:满足完成此项工作所需要的全部工作内容，包括设计图纸、技术规范书、答疑、招标文件、现行规范、图集、验收等全部要求</t>
  </si>
  <si>
    <t>030503010001</t>
  </si>
  <si>
    <t>031301017001</t>
  </si>
  <si>
    <t>合    计</t>
  </si>
  <si>
    <t>080901001006</t>
  </si>
  <si>
    <t>030503003009</t>
  </si>
  <si>
    <t>1.名称：DDC控制箱（含控制器）
2.其他:满足完成此项工作所需要的全部工作内容，包括设计图纸、技术规范书、答疑、招标文件、现行规范、图集、验收等全部要求</t>
  </si>
  <si>
    <t>030503010004</t>
  </si>
  <si>
    <t>031301017007</t>
  </si>
  <si>
    <t>030503003006</t>
  </si>
  <si>
    <t>030503003007</t>
  </si>
  <si>
    <t>030503003008</t>
  </si>
  <si>
    <t>030507006006</t>
  </si>
  <si>
    <t>030507006007</t>
  </si>
  <si>
    <t>030507006008</t>
  </si>
  <si>
    <t>030507006009</t>
  </si>
  <si>
    <t>030507006010</t>
  </si>
  <si>
    <t>030507005002</t>
  </si>
  <si>
    <t>030411006002</t>
  </si>
  <si>
    <t>030411001005</t>
  </si>
  <si>
    <t>030411001006</t>
  </si>
  <si>
    <t>030413002004</t>
  </si>
  <si>
    <t>030413001006</t>
  </si>
  <si>
    <t>030502007004</t>
  </si>
  <si>
    <t>030502005004</t>
  </si>
  <si>
    <t>030411004007</t>
  </si>
  <si>
    <t>030411004008</t>
  </si>
  <si>
    <t>030411004009</t>
  </si>
  <si>
    <t>030411004010</t>
  </si>
  <si>
    <t>030411004011</t>
  </si>
  <si>
    <t>030502019004</t>
  </si>
  <si>
    <t>030502020004</t>
  </si>
  <si>
    <t>030507019002</t>
  </si>
  <si>
    <t>03B003</t>
  </si>
  <si>
    <t>031301017006</t>
  </si>
  <si>
    <t>080901001004</t>
  </si>
  <si>
    <t>1.名称：汇聚交换机
2.参数：48口,万兆，40G上行光模块
3.其他:满足完成此项工作所需要的全部工作内容，包括设计图纸、技术规范书、答疑、招标文件、现行规范、图集、验收等全部要求</t>
  </si>
  <si>
    <t>080901001005</t>
  </si>
  <si>
    <t>030502010003</t>
  </si>
  <si>
    <t>030502010004</t>
  </si>
  <si>
    <t>030501005002</t>
  </si>
  <si>
    <t>030502004002</t>
  </si>
  <si>
    <t>030502003002</t>
  </si>
  <si>
    <t>030502009005</t>
  </si>
  <si>
    <t>030502009006</t>
  </si>
  <si>
    <t>030502009007</t>
  </si>
  <si>
    <t>030411003003</t>
  </si>
  <si>
    <t>030411003004</t>
  </si>
  <si>
    <t>030413001004</t>
  </si>
  <si>
    <t>030502005003</t>
  </si>
  <si>
    <t>030411001004</t>
  </si>
  <si>
    <t>030413002003</t>
  </si>
  <si>
    <t>030413001005</t>
  </si>
  <si>
    <t>030502007003</t>
  </si>
  <si>
    <t>1.名称:光缆
2.规格:12芯多模光纤OS2
3.敷设方式:桥架内敷设
4.其他:满足完成此项工作所需要的全部工作内容，包括设计图纸、技术规范书、答疑、招标文件、现行规范、图集、验收等全部要求</t>
  </si>
  <si>
    <t>030502019003</t>
  </si>
  <si>
    <t>1.测试内容:双绞线缆
2.其他:满足完成此项工作所需要的全部工作内容，包括设计图纸、技术规范书、答疑、招标文件、现行规范、图集、验收等全部要求</t>
  </si>
  <si>
    <t>030502020003</t>
  </si>
  <si>
    <t>030503010003</t>
  </si>
  <si>
    <t>031301017005</t>
  </si>
  <si>
    <t>030507001001</t>
  </si>
  <si>
    <t>红外微波双鉴探测器</t>
  </si>
  <si>
    <t>1.名称:红外微波双鉴探测器
2.技术参数:三鉴移动探测器(红外+微波+智能芯片)，吸顶安装,探测范围:360°，直径6米(安装高度3.6米)，CCC认证，自动脉冲计数，采用多普勒(效应)+ 能量分析，全范围自动温度补偿，超强抗误报能力，工作电压: DC9-16V
3.其它:满足完成此项工作所需要的全部工作内容，包括设计图纸、技术规范书、答疑、招标文件、现行规范、图集、验收等全部要求</t>
  </si>
  <si>
    <t>套</t>
  </si>
  <si>
    <t>030507008014</t>
  </si>
  <si>
    <t>探测器电源</t>
  </si>
  <si>
    <t>1.名称:探测器电源
2.规格:开关电源12V 3A（探测器集中供电）
3.其它:满足完成此项工作所需要的全部工作内容，包括设计图纸、技术规范书、答疑、招标文件、现行规范、图集、验收等全部要求</t>
  </si>
  <si>
    <t>030507001002</t>
  </si>
  <si>
    <t>玻璃破碎报警器</t>
  </si>
  <si>
    <t>1.名称:玻璃破碎报警器
2.技术参数:标准结构：选用防火材料，红色；
电气性能：最大耐用电流3A@36VDC；
适用门型：安全门、逃生门、安全系统等；
3.其它:满足完成此项工作所需要的全部工作内容，包括设计图纸、技术规范书、答疑、招标文件、现行规范、图集、验收等全部要求</t>
  </si>
  <si>
    <t>030904003002</t>
  </si>
  <si>
    <t>紧急报警按钮</t>
  </si>
  <si>
    <t>1.名称:紧急报警按钮
2.安装方式:暗装,底距地1.4m
3.其它:满足完成此项工作所需要的全部工作内容，包括设计图纸、技术规范书、答疑、招标文件、现行规范、图集、验收等全部要求</t>
  </si>
  <si>
    <t>030507002002</t>
  </si>
  <si>
    <t>四防区模块</t>
  </si>
  <si>
    <t>1.名称:四防区模块（含模块箱和电源等）
2.其它:满足完成此项工作所需要的全部工作内容，包括设计图纸、技术规范书、答疑、招标文件、现行规范、图集、验收等全部要求</t>
  </si>
  <si>
    <t>030507002003</t>
  </si>
  <si>
    <t>八防区模块</t>
  </si>
  <si>
    <t>1.名称:八防区模块（含模块箱和电源等）
2.其它:满足完成此项工作所需要的全部工作内容，包括设计图纸、技术规范书、答疑、招标文件、现行规范、图集、验收等全部要求</t>
  </si>
  <si>
    <t>030507002004</t>
  </si>
  <si>
    <t>总线式报警主机</t>
  </si>
  <si>
    <t>1.名称:总线式报警主机（含总线延长器、软件等）
2.规格:专业级总线制网络报警主机，自带8防区，可扩展至256防区/自带4路继电器，可扩展至256路继电器输出/串口输出/电话/网络上报/8个独立子系统/总线可达2400米/8.2K 线尾组，支持本地8路防区/2线制防区防拆/支持定时撤布防/时控输出
3.其它:满足完成此项工作所需要的全部工作内容，包括设计图纸、技术规范书、答疑、招标文件、现行规范、图集、验收等全部要求</t>
  </si>
  <si>
    <t>030904016001</t>
  </si>
  <si>
    <t>主机电源</t>
  </si>
  <si>
    <t>1.名称:主机电源
2.规格:充电后备电池（12V7AH）
标准电压 12V
额定容量 7.0Ah
3.其它:满足完成此项工作所需要的全部工作内容，包括设计图纸、技术规范书、答疑、招标文件、现行规范、图集、验收等全部要求</t>
  </si>
  <si>
    <t>030507013002</t>
  </si>
  <si>
    <t>报警控制键盘</t>
  </si>
  <si>
    <t>1.名称:报警控制键盘
2.技术参数:LCD报警键盘；连接到报警主机，可以对报警主机进行操作和编程，通过指示灯和报警音提示报警；
主机状态指示灯：系统故障（橙色），网络链接状态（绿色），报警（红色），布撤防（蓝色），配置状态（红绿双色）
功能键：8个，工程、查询，旁路，一键，火警，紧急，左键，右键；
防拆功能：支持；与主机通讯：485；键盘警情输出：蜂鸣器；
功能特性：对主机编程、撤布防、消警、旁路/旁路恢复、工程测试、子系统操作、继电器操作、主机状态查询；
支持刷卡布撤防，但刷卡不支持消警功能，卡片数量由主机限制，目前网络主机最大可添加32张卡片；
支持连接遥控器进行远程布撤防，键盘最多所能支持的无线遥控器数量由主机决定，最多支持32个遥控器；
支持双向遥控器，遥控器LED显示操作结果；
功耗：1.8W；工作温度：-10℃～＋55℃；工作湿度：10％～90％；
3.其它:满足完成此项工作所需要的全部工作内容，包括设计图纸、技术规范书、答疑、招标文件、现行规范、图集、验收等全部要求</t>
  </si>
  <si>
    <t>030904005002</t>
  </si>
  <si>
    <t>声光报警器</t>
  </si>
  <si>
    <t>1.名称:声光报警器
2.规格:声光报警器(红/白双色外观),12VDC 压电警号,防火ABS阻燃外壳,声压(VDC)：110±3
3.其它:满足完成此项工作所需要的全部工作内容，包括设计图纸、技术规范书、答疑、招标文件、现行规范、图集、验收等全部要求</t>
  </si>
  <si>
    <t>030507017004</t>
  </si>
  <si>
    <t>安全防范分系统调试</t>
  </si>
  <si>
    <t>1.名称：入侵报警系统调试
2.其它:满足完成此项工作所需要的全部工作内容，包括设计图纸、技术规范书、答疑、招标文件、现行规范、图集、验收等全部要求</t>
  </si>
  <si>
    <t>03B027</t>
  </si>
  <si>
    <t>030411001066</t>
  </si>
  <si>
    <t>1.名称：紧定式镀锌钢导管
2.规格：JDG20
3.敷设方式：明配
4.其它:满足完成此项工作所需要的全部工作内容，包括设计图纸、技术规范书、答疑、招标文件、现行规范、图集、验收等全部要求</t>
  </si>
  <si>
    <t>030411001067</t>
  </si>
  <si>
    <t>1.名称：紧定式镀锌钢导管
2.规格：JDG20
3.敷设方式：暗配
4.其它:满足完成此项工作所需要的全部工作内容，包括设计图纸、技术规范书、答疑、招标文件、现行规范、图集、验收等全部要求</t>
  </si>
  <si>
    <t>030413002019</t>
  </si>
  <si>
    <t>1.名称:管线剔槽及恢复
2.满足完成此项工作所需要的全部工作内容，满足设计图纸、答疑、招标文件、现行规范、图集、验收等全部要求</t>
  </si>
  <si>
    <t>030413001035</t>
  </si>
  <si>
    <t>1.名称:管道支架制作安装
2.材质:热镀锌
3.安装高度:综合考虑
4.满足完成此项工作所需要的全部工作内容，满足设计图纸、技术规范书、答疑、招标文件、现行规范、图集、验收等全部要求</t>
  </si>
  <si>
    <t>030411004060</t>
  </si>
  <si>
    <t>1.名称：配线
2.规格：RYYP-4*1.0
3.敷设方式：管内穿线
4.其它:满足完成此项工作所需要的全部工作内容，包括设计图纸、技术规范书、答疑、招标文件、现行规范、图集、验收等全部要求</t>
  </si>
  <si>
    <t>030411004061</t>
  </si>
  <si>
    <t>1.名称：配线
2.规格：RYYP-4*1.0
3.敷设方式：线槽配线
4.其它:满足完成此项工作所需要的全部工作内容，包括设计图纸、技术规范书、答疑、招标文件、现行规范、图集、验收等全部要求</t>
  </si>
  <si>
    <t>030411004062</t>
  </si>
  <si>
    <t>1.名称：配线
2.规格：RYYP-2*1.0
3.敷设方式：管内穿线
4.其它:满足完成此项工作所需要的全部工作内容，包括设计图纸、技术规范书、答疑、招标文件、现行规范、图集、验收等全部要求</t>
  </si>
  <si>
    <t>030411004063</t>
  </si>
  <si>
    <t>1.名称：配线
2.规格：RYYP-2*1.0
3.敷设方式：线槽配线
4.其它:满足完成此项工作所需要的全部工作内容，包括设计图纸、技术规范书、答疑、招标文件、现行规范、图集、验收等全部要求</t>
  </si>
  <si>
    <t>030411006018</t>
  </si>
  <si>
    <t>1.名称:铁接线盒
2.安装形式:满足设计及规范验收要求
3.其它:满足完成此项工作所需要的全部工作内容，包括设计图纸、技术规范书、答疑、招标文件、现行规范、图集、验收等全部要求</t>
  </si>
  <si>
    <t>030411001068</t>
  </si>
  <si>
    <t>030411004064</t>
  </si>
  <si>
    <t>030411004065</t>
  </si>
  <si>
    <t>030411006019</t>
  </si>
  <si>
    <t>030411001069</t>
  </si>
  <si>
    <t>030411001070</t>
  </si>
  <si>
    <t>030413002020</t>
  </si>
  <si>
    <t>030413001036</t>
  </si>
  <si>
    <t>030411004066</t>
  </si>
  <si>
    <t>030411004067</t>
  </si>
  <si>
    <t>030411004068</t>
  </si>
  <si>
    <t>1.名称：配线
2.规格：RYY-2*1.0
3.敷设方式：管内穿线
4.其它:满足完成此项工作所需要的全部工作内容，包括设计图纸、技术规范书、答疑、招标文件、现行规范、图集、验收等全部要求</t>
  </si>
  <si>
    <t>030411004069</t>
  </si>
  <si>
    <t>1.名称：配线
2.规格：RYY-2*1.0
3.敷设方式：线槽配线
4.其它:满足完成此项工作所需要的全部工作内容，包括设计图纸、技术规范书、答疑、招标文件、现行规范、图集、验收等全部要求</t>
  </si>
  <si>
    <t>030411006020</t>
  </si>
  <si>
    <t>030411001071</t>
  </si>
  <si>
    <t>030413002021</t>
  </si>
  <si>
    <t>030411004070</t>
  </si>
  <si>
    <t>030411006021</t>
  </si>
  <si>
    <t>031301017024</t>
  </si>
  <si>
    <t>03B030</t>
  </si>
  <si>
    <t>超高费</t>
  </si>
  <si>
    <t>030504001003</t>
  </si>
  <si>
    <t>时间同步服务器</t>
  </si>
  <si>
    <t>1.名称:时间同步服务器
2.技术参数：处理器：≥2颗Intel 至强 4510处理器，单颗核数≥12核， ≥2.40 GHz或以上；内存：≥128G；操作系统： 支持Microsoft Windows Server 2019、 RedHat Enterprise Linux 、 SUSE Linux Enterprise Server、 CentOS、 Ubuntu、 Vmware EXSI；内置SAS硬盘，RAID5，配备4x3TB热插拔硬盘，10000rpm以上；2个千兆以太网口；冗余电源、风扇，可以365天24小时运行；1块单口8Gb HBA卡。
3.其它:满足完成此项工作所需要的全部工作内容，包括设计图纸、技术规范书、答疑、招标文件、现行规范、图集、验收等全部要求</t>
  </si>
  <si>
    <t>030404001001</t>
  </si>
  <si>
    <t>时间母钟</t>
  </si>
  <si>
    <t>1.名称:时间母钟
2.其它:满足完成此项工作所需要的全部工作内容，包括设计图纸、技术规范书、答疑、招标文件、现行规范、图集、验收等全部要求</t>
  </si>
  <si>
    <t>030404001002</t>
  </si>
  <si>
    <t>网络显示子钟</t>
  </si>
  <si>
    <t>1.名称:网络显示子钟
2.其它:满足完成此项工作所需要的全部工作内容，包括设计图纸、技术规范书、答疑、招标文件、现行规范、图集、验收等全部要求</t>
  </si>
  <si>
    <t>031102003001</t>
  </si>
  <si>
    <t>GPS天线</t>
  </si>
  <si>
    <t>1.名称:GPS天线
2.其它:满足完成此项工作所需要的全部工作内容，包括设计图纸、技术规范书、答疑、招标文件、现行规范、图集、验收等全部要求</t>
  </si>
  <si>
    <t>副</t>
  </si>
  <si>
    <t>031102004001</t>
  </si>
  <si>
    <t>GPS馈线</t>
  </si>
  <si>
    <t>1.名称:GPS馈线
2.其它:满足完成此项工作所需要的全部工作内容，包括设计图纸、技术规范书、答疑、招标文件、现行规范、图集、验收等全部要求</t>
  </si>
  <si>
    <t>030505008001</t>
  </si>
  <si>
    <t>GPS接收机</t>
  </si>
  <si>
    <t>1.名称:GPS接收机
2.其它:满足完成此项工作所需要的全部工作内容，包括设计图纸、技术规范书、答疑、招标文件、现行规范、图集、验收等全部要求</t>
  </si>
  <si>
    <t>030502003006</t>
  </si>
  <si>
    <t>多路输出接口箱</t>
  </si>
  <si>
    <t>1.名称:多路输出接口箱
2.其它:满足完成此项工作所需要的全部工作内容，包括设计图纸、技术规范书、答疑、招标文件、现行规范、图集、验收等全部要求</t>
  </si>
  <si>
    <t>030501012028</t>
  </si>
  <si>
    <t>24口接入交换机</t>
  </si>
  <si>
    <t>1.名称:24口接入交换机
2.其它:满足完成此项工作所需要的全部工作内容，包括设计图纸、技术规范书、答疑、招标文件、现行规范、图集、验收等全部要求</t>
  </si>
  <si>
    <t>03B047</t>
  </si>
  <si>
    <t>03B048</t>
  </si>
  <si>
    <t>平台对接</t>
  </si>
  <si>
    <t>1.平台对接
2.其它:满足完成此项工作所需要的全部工作内容，包括设计图纸、技术规范书、答疑、招标文件、现行规范、图集、验收等全部要求</t>
  </si>
  <si>
    <t>03B049</t>
  </si>
  <si>
    <t>软件开发</t>
  </si>
  <si>
    <t>1.软件开发
2.其它:满足完成此项工作所需要的全部工作内容，包括设计图纸、技术规范书、答疑、招标文件、现行规范、图集、验收等全部要求</t>
  </si>
  <si>
    <t>031301017029</t>
  </si>
  <si>
    <t>1.综合考虑项目脚手架搭拆或其他替代措施项目
2.场内外材料搬运
3.拆除脚手架后材料的堆放
4.满足完成此项工作所需要的全部工作内容，满足设计图纸、答疑、招标文件、现行规范、图集、验收等全部要求</t>
  </si>
  <si>
    <t>03B050</t>
  </si>
  <si>
    <t>030507008001</t>
  </si>
  <si>
    <t>高清彩色半球摄像机</t>
  </si>
  <si>
    <t>1.名称:高清彩色半球摄像机
2.技术参数:详见技术规范书及图纸，含电源
3.安装方式:吸顶安装
4.其它:满足完成此项工作所需要的全部工作内容，包括设计图纸、技术规范书、答疑、招标文件、现行规范、图集、验收等全部要求</t>
  </si>
  <si>
    <t>030507008002</t>
  </si>
  <si>
    <t>高清彩色枪式摄像机</t>
  </si>
  <si>
    <t>1.名称:高清彩色枪式摄像机
2.技术参数:详见技术规范书及图纸，含电源
3.安装方式:支架安装
4.其它:满足完成此项工作所需要的全部工作内容，包括设计图纸、技术规范书、答疑、招标文件、现行规范、图集、验收等全部要求</t>
  </si>
  <si>
    <t>030507008003</t>
  </si>
  <si>
    <t>室外高清彩色枪式摄像机</t>
  </si>
  <si>
    <t>1.名称:室外高清彩色枪式摄像机2160P
2.技术参数:详见技术规范书及图纸，含电源
3.安装方式:支架安装</t>
  </si>
  <si>
    <t>030507008004</t>
  </si>
  <si>
    <t>枪式摄像机支架</t>
  </si>
  <si>
    <t>1.名称:枪式摄像机支架
2.材质:白色、铝合金
3.安装方式:壁装支架
4.其它:满足完成此项工作所需要的全部工作内容，包括设计图纸、技术规范书、答疑、招标文件、现行规范、图集、验收等全部要求</t>
  </si>
  <si>
    <t>030507008005</t>
  </si>
  <si>
    <t>电梯轿厢内暗装彩色广角摄像机</t>
  </si>
  <si>
    <t>1.名称:电梯轿厢内暗装彩色广角摄像机（含楼层叠加器）
2.技术参数详见技术规范书及图纸，含电源
3.安装方式:吸顶安装
4.其它:满足完成此项工作所需要的全部工作内容，包括设计图纸、技术规范书、答疑、招标文件、现行规范、图集、验收等全部要求</t>
  </si>
  <si>
    <t>030507008006</t>
  </si>
  <si>
    <t>室外云台摄像机</t>
  </si>
  <si>
    <t>1.名称:室外云台摄像机，技术参数详见技术规范书及图纸，含电源
2.安装方式:支架安装
3.其它:满足完成此项工作所需要的全部工作内容，包括设计图纸、技术规范书、答疑、招标文件、现行规范、图集、验收等全部要求</t>
  </si>
  <si>
    <t>030502009008</t>
  </si>
  <si>
    <t>HDMI线缆</t>
  </si>
  <si>
    <t>1.名称:HDMI线缆
2.规格:9根15m 
3.其它:满足完成此项工作所需要的全部工作内容，包括设计图纸、技术规范书、答疑、招标文件、现行规范、图集、验收等全部要求</t>
  </si>
  <si>
    <t>030501012001</t>
  </si>
  <si>
    <t>1.名称:24口接入交换机
2.技术参数:接入交换机
2.技术参数:非POE交换机，24个10/100/1000M自适应电口，4个1G/10G SFP+光口，含光模块
3.其它:满足完成此项工作所需要的全部工作内容，包括设计图纸、技术规范书、答疑、招标文件、现行规范、图集、验收等全部要求</t>
  </si>
  <si>
    <t>030502001008</t>
  </si>
  <si>
    <t>弱电机柜</t>
  </si>
  <si>
    <t>1.名称:弱电机柜
2.技术参数:800*800*2000，电池后备1小时，提供柜内电池监控，含2个PDU，详见技术规范书及图纸，含电源
3.安装方式:落地安装
4.其它:满足完成此项工作所需要的全部工作内容，包括设计图纸、技术规范书、答疑、招标文件、现行规范、图集、验收等全部要求</t>
  </si>
  <si>
    <t>030502001009</t>
  </si>
  <si>
    <t>1.名称:弱电机柜
2.技术参数:600*1200*2000，含2个PDU
3.安装方式:落地安装
4.其它:满足完成此项工作所需要的全部工作内容，包括设计图纸、技术规范书、答疑、招标文件、现行规范、图集、验收等全部要求</t>
  </si>
  <si>
    <t>030502003003</t>
  </si>
  <si>
    <t>弱电设备箱</t>
  </si>
  <si>
    <t>1.名称:弱电设备箱
2.规格:600x800x200
3.其它:满足完成此项工作所需要的全部工作内容，包括设计图纸、技术规范书、答疑、招标文件、现行规范、图集、验收等全部要求</t>
  </si>
  <si>
    <t>030904008005</t>
  </si>
  <si>
    <t>摄像机防雷模块</t>
  </si>
  <si>
    <t>1.名称:摄像机防雷模块
2.规格:In=10KA  Imax=20KA        
静态门槛电压 1.5Un
动态电压 2Un
插入损耗 ＜0.2dB
传输速率 10Mbps
响应时间 ＜1ns  
3.其它:满足完成此项工作所需要的全部工作内容，包括设计图纸、技术规范书、答疑、招标文件、现行规范、图集、验收等全部要求</t>
  </si>
  <si>
    <t>030502007007</t>
  </si>
  <si>
    <t>12芯单模光缆</t>
  </si>
  <si>
    <t>1.名称：12芯单模光缆
2.敷设方式：桥架敷设
3.其它:满足完成此项工作所需要的全部工作内容，包括设计图纸、技术规范书、答疑、招标文件、现行规范、图集、验收等全部要求</t>
  </si>
  <si>
    <t>030502014001</t>
  </si>
  <si>
    <t>光纤连接</t>
  </si>
  <si>
    <t>1.名称：单模光纤熔接 
2.其它:满足完成此项工作所需要的全部工作内容，包括设计图纸、技术规范书、答疑、招标文件、现行规范、图集、验收等全部要求</t>
  </si>
  <si>
    <t>芯</t>
  </si>
  <si>
    <t>030411003011</t>
  </si>
  <si>
    <t>1.名称：弱电热镀锌桥架
2.规格：400*100
3.其它:满足完成此项工作所需要的全部工作内容，包括设计图纸、技术规范书、答疑、招标文件、现行规范、图集、验收等全部要求</t>
  </si>
  <si>
    <t>030411003012</t>
  </si>
  <si>
    <t>1.名称：弱电热镀锌桥架
2.规格：300*100
3.其它:满足完成此项工作所需要的全部工作内容，包括设计图纸、技术规范书、答疑、招标文件、现行规范、图集、验收等全部要求</t>
  </si>
  <si>
    <t>030411003013</t>
  </si>
  <si>
    <t>1.名称：弱电热镀锌桥架
2.规格：200*100
3.其它:满足完成此项工作所需要的全部工作内容，包括设计图纸、技术规范书、答疑、招标文件、现行规范、图集、验收等全部要求</t>
  </si>
  <si>
    <t>030411003014</t>
  </si>
  <si>
    <t>1.名称：弱电热镀锌桥架
2.规格：100*100
3.其它:满足完成此项工作所需要的全部工作内容，包括设计图纸、技术规范书、答疑、招标文件、现行规范、图集、验收等全部要求</t>
  </si>
  <si>
    <t>030411003015</t>
  </si>
  <si>
    <t>1.名称：弱电热镀锌桥架
2.规格：600*80
3.其它:满足完成此项工作所需要的全部工作内容，包括设计图纸、技术规范书、答疑、招标文件、现行规范、图集、验收等全部要求</t>
  </si>
  <si>
    <t>030411003016</t>
  </si>
  <si>
    <t>1.名称：弱电热镀锌桥架
2.规格：400*80
3.其它:满足完成此项工作所需要的全部工作内容，包括设计图纸、技术规范书、答疑、招标文件、现行规范、图集、验收等全部要求</t>
  </si>
  <si>
    <t>030411003017</t>
  </si>
  <si>
    <t>1.名称：弱电热镀锌桥架
2.规格：200*80
3.其它:满足完成此项工作所需要的全部工作内容，包括设计图纸、技术规范书、答疑、招标文件、现行规范、图集、验收等全部要求</t>
  </si>
  <si>
    <t>030411003018</t>
  </si>
  <si>
    <t>1.名称：弱电热镀锌桥架
2.规格：100*80
3.其它:满足完成此项工作所需要的全部工作内容，包括设计图纸、技术规范书、答疑、招标文件、现行规范、图集、验收等全部要求</t>
  </si>
  <si>
    <t>030413001026</t>
  </si>
  <si>
    <t>铁构件</t>
  </si>
  <si>
    <t>1.名称:桥架等支吊架制作与安装
2.规格:综合
3.材质：热镀锌
4.其它:满足完成此项工作所需要的全部工作内容，包括设计图纸、技术规范书、答疑、招标文件、现行规范、图集、验收等全部要求</t>
  </si>
  <si>
    <t>030411001047</t>
  </si>
  <si>
    <t>030411001048</t>
  </si>
  <si>
    <t>030411001049</t>
  </si>
  <si>
    <t>1.名称：可挠金属套管
2.规格：DN20
3.敷设方式：明配
4.其它:满足完成此项工作所需要的全部工作内容，包括设计图纸、技术规范书、答疑、招标文件、现行规范、图集、验收等全部要求</t>
  </si>
  <si>
    <t>030413002013</t>
  </si>
  <si>
    <t>030413001027</t>
  </si>
  <si>
    <t>030502005008</t>
  </si>
  <si>
    <t>1.名称：六类网线
2.规格： Cat.6 UTP
3.敷设方式：桥架敷设
4.其它:满足完成此项工作所需要的全部工作内容，包括设计图纸、技术规范书、答疑、招标文件、现行规范、图集、验收等全部要求</t>
  </si>
  <si>
    <t>030502005009</t>
  </si>
  <si>
    <t>1.名称：六类网线
2.规格： Cat.6 UTP
3.敷设方式：管内敷设
4.其它:满足完成此项工作所需要的全部工作内容，包括设计图纸、技术规范书、答疑、招标文件、现行规范、图集、验收等全部要求</t>
  </si>
  <si>
    <t>030411004028</t>
  </si>
  <si>
    <t>1.名称：配线
2.规格：RYY-2*1.5
3.敷设方式：管内穿线
4.其它:满足完成此项工作所需要的全部工作内容，包括设计图纸、技术规范书、答疑、招标文件、现行规范、图集、验收等全部要求</t>
  </si>
  <si>
    <t>030411006011</t>
  </si>
  <si>
    <t>030507017001</t>
  </si>
  <si>
    <t>1.名称：电视监视系统调试
2.其它:满足完成此项工作所需要的全部工作内容，包括设计图纸、技术规范书、答疑、招标文件、现行规范、图集、验收等全部要求</t>
  </si>
  <si>
    <t>030507019003</t>
  </si>
  <si>
    <t>安全防范系统工程试运行</t>
  </si>
  <si>
    <t>1.名称：安全防范系统工程试运行
2.其它:满足完成此项工作所需要的全部工作内容，包括设计图纸、技术规范书、答疑、招标文件、现行规范、图集、验收等全部要求</t>
  </si>
  <si>
    <t>030507008007</t>
  </si>
  <si>
    <t>030507008008</t>
  </si>
  <si>
    <t>030507008009</t>
  </si>
  <si>
    <t>1.名称:室外高清彩色枪式摄像机
2.技术参数:详见技术规范书及图纸，含电源
3.安装方式:支架安装
4.其它:满足完成此项工作所需要的全部工作内容，包括设计图纸、技术规范书、答疑、招标文件、现行规范、图集、验收等全部要求</t>
  </si>
  <si>
    <t>030507008010</t>
  </si>
  <si>
    <t>030507008011</t>
  </si>
  <si>
    <t>030507008012</t>
  </si>
  <si>
    <t>1.名称:电梯轿厢内暗装彩色广角摄像机（含楼层叠加器）
2.技术参数:详见技术规范书及图纸，含电源
3.安装方式:吸顶安装
4.其它:满足完成此项工作所需要的全部工作内容，包括设计图纸、技术规范书、答疑、招标文件、现行规范、图集、验收等全部要求</t>
  </si>
  <si>
    <t>030501004001</t>
  </si>
  <si>
    <t>磁盘阵列</t>
  </si>
  <si>
    <t>1.名称:48盘位磁盘阵列
2.技术参数:机架式/8U48盘位/SATA硬盘/可接SAS扩展柜/1536Mbps接入带宽/64位多核处理器、4GB（可扩展至32G）2个千兆数据网口，1个千兆管理网口/冗余电源/支持流媒体1:1:1接入存储转发/视频流、图片、SMART、视频文件混合直写/智能事件检索、精确定位、浓缩播放/RAID 0、1、3、5、6、10、50，60/网络协议：RTSP/ONVIF/PSIA/SIP（GB/T28181）.
3.其它:满足完成此项工作所需要的全部工作内容，包括设计图纸、技术规范书、答疑、招标文件、现行规范、图集、验收等全部要求</t>
  </si>
  <si>
    <t>030501004002</t>
  </si>
  <si>
    <t>存储设备</t>
  </si>
  <si>
    <t>1.名称：16TB企业硬盘
2.技术参数：3.5英寸 4000G 7200 128M SATA3  6Gb/S
3.其它:满足完成此项工作所需要的全部工作内容，包括设计图纸、技术规范书、答疑、招标文件、现行规范、图集、验收等全部要求</t>
  </si>
  <si>
    <t>030502009009</t>
  </si>
  <si>
    <t>1.名称:HDMI线缆
2.规格:15m 
3.其它:满足完成此项工作所需要的全部工作内容，包括设计图纸、技术规范书、答疑、招标文件、现行规范、图集、验收等全部要求</t>
  </si>
  <si>
    <t>030507012001</t>
  </si>
  <si>
    <t>解码器</t>
  </si>
  <si>
    <t>1.名称:解码器
2.规格:32路
3.其它:满足完成此项工作所需要的全部工作内容，包括设计图纸、技术规范书、答疑、招标文件、现行规范、图集、验收等全部要求</t>
  </si>
  <si>
    <t>030507013001</t>
  </si>
  <si>
    <t>控制键盘</t>
  </si>
  <si>
    <t>1.名称:控制键盘
2.技术参数:网络键盘，网络/串口（232/485）接入方式，4维摇杆控制，7 英寸800*480 的触摸式液晶屏，音频输入/输出口，1个USB接口，1路1080P。
3.其它:满足完成此项工作所需要的全部工作内容，包括设计图纸、技术规范书、答疑、招标文件、现行规范、图集、验收等全部要求</t>
  </si>
  <si>
    <t>030501013008</t>
  </si>
  <si>
    <t>视频管理服务器</t>
  </si>
  <si>
    <t>1.名称:视频管理服务器（含鼠标键盘、显示器、软件等）
2.技术参数：处理器：≥2颗Intel 至强 4510处理器，单颗核数≥12核， ≥2.40 GHz或以上；内存：≥128G；操作系统： 支持Microsoft Windows Server 2019、 RedHat Enterprise Linux 、 SUSE Linux Enterprise Server、 CentOS、 Ubuntu、 Vmware EXSI；内置SAS硬盘，RAID5，配备4x3TB热插拔硬盘，10000rpm以上；2个千兆以太网口；冗余电源、风扇，可以365天24小时运行；1块单口8Gb HBA卡。
3.其它:满足完成此项工作所需要的全部工作内容，包括设计图纸、技术规范书、答疑、招标文件、现行规范、图集、验收等全部要求</t>
  </si>
  <si>
    <t>030501013009</t>
  </si>
  <si>
    <t>视频比对服务器</t>
  </si>
  <si>
    <t>1.名称:视频比对服务器（含鼠标键盘、显示器、软件等）
2.技术参数：处理器：≥2颗Intel 至强 4510处理器，单颗核数≥12核， ≥2.40 GHz或以上；内存：≥128G；操作系统： 支持Microsoft Windows Server 2019、 RedHat Enterprise Linux 、 SUSE Linux Enterprise Server、 CentOS、 Ubuntu、 Vmware EXSI；内置SAS硬盘，RAID5，配备4x3TB热插拔硬盘，10000rpm以上；2个千兆以太网口；冗余电源、风扇，可以365天24小时运行；1块单口8Gb HBA卡。
3.其它:满足完成此项工作所需要的全部工作内容，包括设计图纸、技术规范书、答疑、招标文件、现行规范、图集、验收等全部要求</t>
  </si>
  <si>
    <t>030501013010</t>
  </si>
  <si>
    <t>流媒体服务器</t>
  </si>
  <si>
    <t>1.名称:流媒体服务器（含鼠标键盘、显示器、软件等）
2.技术参数：处理器：≥2颗Intel 至强 4510处理器，单颗核数≥12核， ≥2.40 GHz或以上；内存：≥128G；操作系统： 支持Microsoft Windows Server 2019、 RedHat Enterprise Linux 、 SUSE Linux Enterprise Server、 CentOS、 Ubuntu、 Vmware EXSI；内置SAS硬盘，RAID5，配备4x3TB热插拔硬盘，10000rpm以上；2个千兆以太网口；冗余电源、风扇，可以365天24小时运行；1块单口8Gb HBA卡。
3.其它:满足完成此项工作所需要的全部工作内容，包括设计图纸、技术规范书、答疑、招标文件、现行规范、图集、验收等全部要求</t>
  </si>
  <si>
    <t>030501012002</t>
  </si>
  <si>
    <t>24口交换机</t>
  </si>
  <si>
    <t>1.名称:24口交换机
2.技术参数:非POE交换机,24个10/100/1000M自适应电口，4个1G/10G SFP+光口，支持PoE+/PoE,含光模块
3.其它:满足完成此项工作所需要的全部工作内容，包括设计图纸、技术规范书、答疑、招标文件、现行规范、图集、验收等全部要求</t>
  </si>
  <si>
    <t>030501012003</t>
  </si>
  <si>
    <t>48口交换机</t>
  </si>
  <si>
    <t>1.名称:48口交换机
2.技术参数:非POE交换机,48个10/100/1000M自适应电口，4个1G/10G SFP+光口，支持PoE+/PoE,含光模块
3.其它:满足完成此项工作所需要的全部工作内容，包括设计图纸、技术规范书、答疑、招标文件、现行规范、图集、验收等全部要求</t>
  </si>
  <si>
    <t>030501012004</t>
  </si>
  <si>
    <t>设备网核心交换机</t>
  </si>
  <si>
    <t>1.名称:设备网核心交换机
2.技术参数:包含主机箱2台，共8个槽位，包含2个引擎槽位和6个业务槽位。交换容量≥19T，包转发性能≥2880Mpps。高性能一代主控引擎4个，电源模块4个（可以冗余，交流，600W），36端口千兆以太网电口(RJ45)+12端口千兆以太网光口(SFP,LC)+4端口万兆以太网光口(SFP+,LC)2块，24端口千兆以太网光口(SFP,LC)+12端口千兆以太网电口复用(RJ45)+4端口万兆以太网光口(SFP+,LC)2块，10G Base SFP+ 光纤线缆（包含两边的模块）3米。
3.其它:满足完成此项工作所需要的全部工作内容，包括设计图纸、技术规范书、答疑、招标文件、现行规范、图集、验收等全部要求</t>
  </si>
  <si>
    <t>030502009010</t>
  </si>
  <si>
    <t>030502009011</t>
  </si>
  <si>
    <t>030502009012</t>
  </si>
  <si>
    <t>030501013011</t>
  </si>
  <si>
    <t>台式工作站</t>
  </si>
  <si>
    <t>1.名称:台式工作站（含鼠标键盘、显示器、软件等）
2.其它:满足完成此项工作所需要的全部工作内容，包括设计图纸、技术规范书、答疑、招标文件、现行规范、图集、验收等全部要求</t>
  </si>
  <si>
    <t>030501011001</t>
  </si>
  <si>
    <t>防火墙</t>
  </si>
  <si>
    <t>1.名称:防火墙
2.其它:满足完成此项工作所需要的全部工作内容，包括设计图纸、技术规范书、答疑、招标文件、现行规范、图集、验收等全部要求</t>
  </si>
  <si>
    <t>030501017003</t>
  </si>
  <si>
    <t>行为管理</t>
  </si>
  <si>
    <t>1.名称:行为管理
2.其它:满足完成此项工作所需要的全部工作内容，包括设计图纸、技术规范书、答疑、招标文件、现行规范、图集、验收等全部要求</t>
  </si>
  <si>
    <t>030501013012</t>
  </si>
  <si>
    <t>数据库服务器</t>
  </si>
  <si>
    <t>1.名称:数据库服务器（含鼠标键盘、显示器、软件等）
2.技术参数：处理器：≥2颗Intel 至强 4510处理器，单颗核数≥12核， ≥2.40 GHz或以上；内存：≥128G；操作系统： 支持Microsoft Windows Server 2019、 RedHat Enterprise Linux 、 SUSE Linux Enterprise Server、 CentOS、 Ubuntu、 Vmware EXSI；内置SAS硬盘，RAID5，配备4x3TB热插拔硬盘，10000rpm以上；2个千兆以太网口；冗余电源、风扇，可以365天24小时运行；1块单口8Gb HBA卡。
3.其它:满足完成此项工作所需要的全部工作内容，包括设计图纸、技术规范书、答疑、招标文件、现行规范、图集、验收等全部要求</t>
  </si>
  <si>
    <t>030502001010</t>
  </si>
  <si>
    <t>1.名称:弱电机柜
2.技术参数:800*800*2000，每台机柜含机架式3kW的UPS，电池后备1小时，提供柜内电池监控，含2个PDU，详见技术规范书及图纸，含电源
3.安装方式:落地安装
4.其它:满足完成此项工作所需要的全部工作内容，包括设计图纸、技术规范书、答疑、招标文件、现行规范、图集、验收等全部要求</t>
  </si>
  <si>
    <t>030502001011</t>
  </si>
  <si>
    <t>030502003004</t>
  </si>
  <si>
    <t>030904008006</t>
  </si>
  <si>
    <t>030502007008</t>
  </si>
  <si>
    <t>030502007009</t>
  </si>
  <si>
    <t>12芯多模光缆</t>
  </si>
  <si>
    <t>1.名称：12芯多模光缆
2.敷设方式：桥架敷设
3.其它:满足完成此项工作所需要的全部工作内容，包括设计图纸、技术规范书、答疑、招标文件、现行规范、图集、验收等全部要求</t>
  </si>
  <si>
    <t>030502020005</t>
  </si>
  <si>
    <t>030502014002</t>
  </si>
  <si>
    <t>1.名称：光纤熔接 
2.其它:满足完成此项工作所需要的全部工作内容，包括设计图纸、技术规范书、答疑、招标文件、现行规范、图集、验收等全部要求</t>
  </si>
  <si>
    <t>030411003019</t>
  </si>
  <si>
    <t>1.名称：热镀锌综合桥架
2.规格：500*200
3.其它:满足完成此项工作所需要的全部工作内容，包括设计图纸、技术规范书、答疑、招标文件、现行规范、图集、验收等全部要求</t>
  </si>
  <si>
    <t>030411003020</t>
  </si>
  <si>
    <t>1.名称：热镀锌综合桥架
2.规格：400*100
3.其它:满足完成此项工作所需要的全部工作内容，包括设计图纸、技术规范书、答疑、招标文件、现行规范、图集、验收等全部要求</t>
  </si>
  <si>
    <t>030411003021</t>
  </si>
  <si>
    <t>1.名称：热镀锌综合桥架
2.规格：200*100
3.其它:满足完成此项工作所需要的全部工作内容，包括设计图纸、技术规范书、答疑、招标文件、现行规范、图集、验收等全部要求</t>
  </si>
  <si>
    <t>030411003022</t>
  </si>
  <si>
    <t>1.名称：热镀锌综合桥架
2.规格：100*100
3.其它:满足完成此项工作所需要的全部工作内容，包括设计图纸、技术规范书、答疑、招标文件、现行规范、图集、验收等全部要求</t>
  </si>
  <si>
    <t>030413001028</t>
  </si>
  <si>
    <t>1.名称:桥架等支吊架
2.规格:综合
3.材质：热镀锌
4.其它:满足完成此项工作所需要的全部工作内容，包括设计图纸、技术规范书、答疑、招标文件、现行规范、图集、验收等全部要求</t>
  </si>
  <si>
    <t>030411001050</t>
  </si>
  <si>
    <t>030411001051</t>
  </si>
  <si>
    <t>030413002014</t>
  </si>
  <si>
    <t>030411001052</t>
  </si>
  <si>
    <t>030413001029</t>
  </si>
  <si>
    <t>030411004029</t>
  </si>
  <si>
    <t>1.名称：配线
2.规格：RYY-2*1.5
3.敷设方式：综合考虑
4.其它:满足完成此项工作所需要的全部工作内容，包括设计图纸、技术规范书、答疑、招标文件、现行规范、图集、验收等全部要求</t>
  </si>
  <si>
    <t>030502005010</t>
  </si>
  <si>
    <t>030502005011</t>
  </si>
  <si>
    <t>030411006012</t>
  </si>
  <si>
    <t>030507017002</t>
  </si>
  <si>
    <t>030507019004</t>
  </si>
  <si>
    <t>03B021</t>
  </si>
  <si>
    <t>030507008013</t>
  </si>
  <si>
    <t>030502003005</t>
  </si>
  <si>
    <t>安防箱</t>
  </si>
  <si>
    <t>030411001053</t>
  </si>
  <si>
    <t>030411001054</t>
  </si>
  <si>
    <t>030413001030</t>
  </si>
  <si>
    <t>030411004030</t>
  </si>
  <si>
    <t>030502005012</t>
  </si>
  <si>
    <t>030411006013</t>
  </si>
  <si>
    <t>031301017022</t>
  </si>
  <si>
    <t>03B022</t>
  </si>
  <si>
    <t>030507005007</t>
  </si>
  <si>
    <t>巡逻终端</t>
  </si>
  <si>
    <t>1.名称:巡逻终端（含数据采集底座、充电器、巡更软件等）
2.其它:满足完成此项工作所需要的全部工作内容，包括设计图纸、技术规范书、答疑、招标文件、现行规范、图集、验收等全部要求</t>
  </si>
  <si>
    <t>03B031</t>
  </si>
  <si>
    <t>巡更标签</t>
  </si>
  <si>
    <t>1.名称:巡更标签
2.其它:满足完成此项工作所需要的全部工作内容，包括设计图纸、技术规范书、答疑、招标文件、现行规范、图集、验收等全部要求</t>
  </si>
  <si>
    <t>张</t>
  </si>
  <si>
    <t>030507017005</t>
  </si>
  <si>
    <t>1.名称：电子巡更系统调试
2.其它:满足完成此项工作所需要的全部工作内容，包括设计图纸、技术规范书、答疑、招标文件、现行规范、图集、验收等全部要求</t>
  </si>
  <si>
    <t>03B032</t>
  </si>
  <si>
    <t>031301017025</t>
  </si>
  <si>
    <t>031301018001</t>
  </si>
  <si>
    <t>操作高度增加费</t>
  </si>
  <si>
    <t>1.结合本工程实际安装情况，综合考虑操作高度施工产生的降效，进行综合报价。
2.满足完成此项工作所需要的全部工作内容，满足设计图纸、答疑、招标文件、现行规范、图集、验收等全部要求</t>
  </si>
  <si>
    <t>031301018002</t>
  </si>
  <si>
    <t>高层建筑增加费</t>
  </si>
  <si>
    <t>1.结合本工程实际安装情况，综合考虑建筑物檐口高度施工产生的降效，进行综合报价。
2.满足完成此项工作所需要的全部工作内容，满足设计图纸、答疑、招标文件、现行规范、图集、验收等全部要求</t>
  </si>
  <si>
    <t>030507005003</t>
  </si>
  <si>
    <t>指纹录入设备</t>
  </si>
  <si>
    <t>1.名称:指纹录入设备
2.技术参数:详见图纸及技术规格书
3.其它:满足完成此项工作所需要的全部工作内容，包括设计图纸、技术规范书、答疑、招标文件、现行规范、图集、验收等全部要求</t>
  </si>
  <si>
    <t>030507016001</t>
  </si>
  <si>
    <t>发卡器</t>
  </si>
  <si>
    <t>1.名称:发卡器
2.技术参数:USB 1.1接口
工作电压5V,USB总线供电
工作电源：&lt; 100mA
读卡距离： &gt; 5cm
红色LED电源指示灯，绿色LED通信指示灯
3.其它:满足完成此项工作所需要的全部工作内容，包括设计图纸、技术规范书、答疑、招标文件、现行规范、图集、验收等全部要求</t>
  </si>
  <si>
    <t>03B023</t>
  </si>
  <si>
    <t>门禁卡</t>
  </si>
  <si>
    <t>1.名称:门禁卡
2.其它:满足完成此项工作所需要的全部工作内容，包括设计图纸、技术规范书、答疑、招标文件、现行规范、图集、验收等全部要求</t>
  </si>
  <si>
    <t>030507006011</t>
  </si>
  <si>
    <t>四门控制器</t>
  </si>
  <si>
    <t>1.名称:四门控制器（含箱、电源等）
2.技术参数:处理器：32位处理器
管控门数：4门
通讯方式：上行TCP/IP、RS485
读卡器接口：RS485和Wiegand双通讯接口
存储容量：10万张卡和30万记录存储
工作电压：自带机箱和供电电源（AC220V输入），工作电压DC 12V，功耗≤4W（不带负载）
3.其它:满足完成此项工作所需要的全部工作内容，包括设计图纸、技术规范书、答疑、招标文件、现行规范、图集、验收等全部要求</t>
  </si>
  <si>
    <t>030507006012</t>
  </si>
  <si>
    <t>双门控制器</t>
  </si>
  <si>
    <t>1.名称:双门控制器（含箱、电源等）
2.技术参数:处理器：32位处理器
管控门数：2门
通讯方式：上行TCP/IP、RS485
读卡器接口：RS485和Wiegand双通讯接口
存储容量：10万张卡和30万记录存储
工作电压：自带机箱和供电电源（AC220V输入），工作电压DC 12V，功耗≤4W（不带负载）
3.其它:满足完成此项工作所需要的全部工作内容，包括设计图纸、技术规范书、答疑、招标文件、现行规范、图集、验收等全部要求</t>
  </si>
  <si>
    <t>030404034020</t>
  </si>
  <si>
    <t>紧急破碎按钮</t>
  </si>
  <si>
    <t>1.名称:紧急破碎按钮
2.技术参数:标准结构：选用防火材料；
电气性能：最大耐用电流3A@36VDC；
适用门型：安全门、逃生门、安全系统等；
尺寸：86*86*50mm
3.其它:满足完成此项工作所需要的全部工作内容，包括设计图纸、技术规范书、答疑、招标文件、现行规范、图集、验收等全部要求</t>
  </si>
  <si>
    <t>030507005004</t>
  </si>
  <si>
    <t>门禁读卡器</t>
  </si>
  <si>
    <t>1.名称:门禁读卡器
2.技术参数:读卡频率：13.56MHz
按键方式：无
可识别卡：Mifare卡号、Mifare卡内容、CPU卡序列号
通讯方式：RS485+Wiegand
工作电压：DC 12V
功耗：≤2W
安装方式：预埋120或86底盒安装
工作环境：室内，IP64
外型尺寸:121mm(高)x86.5mm（宽）x14mm（厚）
注意：默认出货为金属背板，如果现场需要刷异形卡，则需将背板更换为塑料背板
3.其它:满足完成此项工作所需要的全部工作内容，包括设计图纸、技术规范书、答疑、招标文件、现行规范、图集、验收等全部要求</t>
  </si>
  <si>
    <t>030507002001</t>
  </si>
  <si>
    <t>可视对讲分机</t>
  </si>
  <si>
    <t>1.名称:可视对讲
2.安装方式:壁装
3.其它:满足完成此项工作所需要的全部工作内容，包括设计图纸、技术规范书、答疑、招标文件、现行规范、图集、验收等全部要求</t>
  </si>
  <si>
    <t>030507005005</t>
  </si>
  <si>
    <t>人脸门禁读卡器</t>
  </si>
  <si>
    <t>1.名称:人脸门禁读卡器
2.其它:满足完成此项工作所需要的全部工作内容，包括设计图纸、技术规范书、答疑、招标文件、现行规范、图集、验收等全部要求</t>
  </si>
  <si>
    <t>030507005006</t>
  </si>
  <si>
    <t>出入门按钮</t>
  </si>
  <si>
    <t>1.名称:出入门按钮
2.规格:结构：塑料面板；
性能：最大耐电流1.25A，电压250V；
输出：常开；
类型：适合埋入式电器盒使用；
尺寸：86*86mm；
重量：0.07kg；
3.其它:满足完成此项工作所需要的全部工作内容，包括设计图纸、技术规范书、答疑、招标文件、现行规范、图集、验收等全部要求</t>
  </si>
  <si>
    <t>030507007001</t>
  </si>
  <si>
    <t>单门磁力锁</t>
  </si>
  <si>
    <t>1.名称:单门磁力锁
2.类别:上锁时NO输出
开锁时NC输出
最大拉力280kg静态直线拉力
锁体240x48.5x26.5mm
吸板180x38x11mm
适用于木门、金属门、防火门/国内中性
输入电压 DC12V或DC24V
支持门磁输出,含支架
使用环境：室内
工作电流  12V/500mA ; 24V/250mA
功耗     6W
3.其它:满足完成此项工作所需要的全部工作内容，包括设计图纸、技术规范书、答疑、招标文件、现行规范、图集、验收等全部要求</t>
  </si>
  <si>
    <t>030507007002</t>
  </si>
  <si>
    <t>双门磁力锁</t>
  </si>
  <si>
    <t>1.名称:双门磁力锁
2.技术参数:上锁时NO输出
开锁时NC输出
最大拉力280kg*2静态直线拉力
锁体长480x宽48.5x厚26.5(mm)
吸板180x38x11mm
适用于木门、金属门、防火门/国内标配
输入电压 DC12V或DC24V
支持门磁输出,含支架
使用环境：室内
工作电流  12V/500mA x2 ;24V/250mAx2
功耗     12W
3.其它:满足完成此项工作所需要的全部工作内容，包括设计图纸、技术规范书、答疑、招标文件、现行规范、图集、验收等全部要求</t>
  </si>
  <si>
    <t>030503003015</t>
  </si>
  <si>
    <t>速通门子系统</t>
  </si>
  <si>
    <t>1.名称:速通门子系统
2.技术参数:技术参数:含摆闸,门禁控制器,读卡器(支持人脸+刷卡)
1）三通道:1)摆闸（边件）2个:机箱尺寸：1400*185*1020MM ;电源电压： AC220±10% V,50HZ ;电机：24V/20W直流高速电机 ; 通信接口： RS485电气标准; 输入信号：干接点信号; LED指示灯板：4个;读卡窗口： 2个; 通行速度：约40人/分钟（常开） 30人/分钟（常闭）; 工作温度：-25℃～70℃; 工作环境：室内/室外; 相对湿度：≤90%，不凝露.2)摆闸（中间件）2个:双机芯  机箱尺寸：1400*185*1020MM ; 电源电压： AC220±10% V,50HZ ;电机：24V/20W直流高速电机 ; 通信接口： RS485电气标准;输入信号：干接点信号; LED指示灯板：4个; 读卡窗口： 2个; 通行速度：约40人/分钟（常开） 30人/分钟（常闭）; 工作温度：-25℃～70℃;工作环境：室内/室外; 相对湿度：≤90%，不凝露 .3)四门门禁控制器5个:铁壳，内置36W+100W电源，工作电压DC12V，额定电流0.5A；带键，液晶显示；可连八个读卡器，控制四扇门进出；管制30000卡，50000条事件</t>
  </si>
  <si>
    <t>030503003016</t>
  </si>
  <si>
    <t>1.名称:室外速通门子系统
2.技术参数:技术参数:含摆闸,门禁控制器,读卡器(支持人脸+刷卡)
1）三通道:1)摆闸（边件）2个:机箱尺寸：1400*185*1020MM ;电源电压： AC220±10% V,50HZ ;电机：24V/20W直流高速电机 ; 通信接口： RS485电气标准; 输入信号：干接点信号; LED指示灯板：4个;读卡窗口： 2个; 通行速度：约40人/分钟（常开） 30人/分钟（常闭）; 工作温度：-25℃～70℃; 工作环境：室内/室外; 相对湿度：≤90%，不凝露.2)摆闸（中间件）2个:双机芯  机箱尺寸：1400*185*1020MM ; 电源电压： AC220±10% V,50HZ ;电机：24V/20W直流高速电机 ; 通信接口： RS485电气标准;输入信号：干接点信号; LED指示灯板：4个; 读卡窗口： 2个; 通行速度：约40人/分钟（常开） 30人/分钟（常闭）; 工作温度：-25℃～70℃;工作环境：室内/室外; 相对湿度：≤90%，不凝露 .3)四门门禁控制器5个:铁壳，内置36W+100W电源，工作电压DC12V，额定电流0.5A；带键，液晶显示；可连八个读卡器，控制四扇门进出；管制</t>
  </si>
  <si>
    <t>030503003017</t>
  </si>
  <si>
    <t>1.名称:室外速通门子系统
2.技术参数:技术参数:含摆闸,门禁控制器,读卡器(支持人脸+刷卡)
1）四通道:1)摆闸（边件）2个:机箱尺寸：1400*185*1020MM ;电源电压： AC220±10% V,50HZ ;电机：24V/20W直流高速电机 ; 通信接口： RS485电气标准; 输入信号：干接点信号; LED指示灯板：4个;读卡窗口： 2个; 通行速度：约40人/分钟（常开） 30人/分钟（常闭）; 工作温度：-25℃～70℃; 工作环境：室内/室外; 相对湿度：≤90%，不凝露.2)摆闸（中间件）3个:双机芯  机箱尺寸：1400*185*1020MM ; 电源电压： AC220±10% V,50HZ ;电机：24V/20W直流高速电机 ; 通信接口： RS485电气标准;输入信号：干接点信号; LED指示灯板：4个; 读卡窗口： 2个; 通行速度：约40人/分钟（常开） 30人/分钟（常闭）; 工作温度：-25℃～70℃;工作环境：室内/室外; 相对湿度：≤90%，不凝露 .3)四门门禁控制器:铁壳，内置36W+100W电源，工作电压DC12V，额定电流0.5A；带键，液晶显示；可连八个读卡器，控制四扇门进出；管制30000</t>
  </si>
  <si>
    <t>030507016002</t>
  </si>
  <si>
    <t>发卡机</t>
  </si>
  <si>
    <t>1.名称:发卡机
2.其它:满足完成此项工作所需要的全部工作内容，包括设计图纸、技术规范书、答疑、招标文件、现行规范、图集、验收等全部要求</t>
  </si>
  <si>
    <t>010801006002</t>
  </si>
  <si>
    <t>门锁安装</t>
  </si>
  <si>
    <t>1.锁品种:智能门锁
2.其它:满足完成此项工作所需要的全部工作内容，包括设计图纸、技术规范书、答疑、招标文件、现行规范、图集、验收等全部要求</t>
  </si>
  <si>
    <t>030501009005</t>
  </si>
  <si>
    <t>网关</t>
  </si>
  <si>
    <t>1.名称:网关
2.其它:满足完成此项工作所需要的全部工作内容，包括设计图纸、技术规范书、答疑、招标文件、现行规范、图集、验收等全部要求</t>
  </si>
  <si>
    <t>030502009013</t>
  </si>
  <si>
    <t>030507017003</t>
  </si>
  <si>
    <t>1.名称：出入口控制系统调试
2.其它:满足完成此项工作所需要的全部工作内容，包括设计图纸、技术规范书、答疑、招标文件、现行规范、图集、验收等全部要求</t>
  </si>
  <si>
    <t>03B024</t>
  </si>
  <si>
    <t>030411001055</t>
  </si>
  <si>
    <t>1.名称：紧定式镀锌钢导管
2.规格：JDG25
3.敷设方式：明配
4.其它:满足完成此项工作所需要的全部工作内容，包括设计图纸、技术规范书、答疑、招标文件、现行规范、图集、验收等全部要求</t>
  </si>
  <si>
    <t>030411001056</t>
  </si>
  <si>
    <t>1.名称：紧定式镀锌钢导管
2.规格：JDG25
3.敷设方式：暗配
4.其它:满足完成此项工作所需要的全部工作内容，包括设计图纸、技术规范书、答疑、招标文件、现行规范、图集、验收等全部要求</t>
  </si>
  <si>
    <t>030411001057</t>
  </si>
  <si>
    <t>030413002015</t>
  </si>
  <si>
    <t>030413001031</t>
  </si>
  <si>
    <t>030411004031</t>
  </si>
  <si>
    <t>030411004032</t>
  </si>
  <si>
    <t>030411004033</t>
  </si>
  <si>
    <t>030411004034</t>
  </si>
  <si>
    <t>030411004035</t>
  </si>
  <si>
    <t>1.名称：配线
2.规格：RYYP-6*1.0
3.敷设方式：管内穿线
4.其它:满足完成此项工作所需要的全部工作内容，包括设计图纸、技术规范书、答疑、招标文件、现行规范、图集、验收等全部要求</t>
  </si>
  <si>
    <t>030411004036</t>
  </si>
  <si>
    <t>1.名称：配线
2.规格：RYYP-6*1.0
3.敷设方式：线槽配线
4.其它:满足完成此项工作所需要的全部工作内容，包括设计图纸、技术规范书、答疑、招标文件、现行规范、图集、验收等全部要求</t>
  </si>
  <si>
    <t>030502005013</t>
  </si>
  <si>
    <t>030502005014</t>
  </si>
  <si>
    <t>030411004037</t>
  </si>
  <si>
    <t>1.名称：配线
2.规格：RYY-6*0.75
3.敷设方式：管内穿线
4.其它:满足完成此项工作所需要的全部工作内容，包括设计图纸、技术规范书、答疑、招标文件、现行规范、图集、验收等全部要求</t>
  </si>
  <si>
    <t>030411004038</t>
  </si>
  <si>
    <t>030411006014</t>
  </si>
  <si>
    <t>030411001058</t>
  </si>
  <si>
    <t>030411001059</t>
  </si>
  <si>
    <t>030411001060</t>
  </si>
  <si>
    <t>030413002016</t>
  </si>
  <si>
    <t>030413001032</t>
  </si>
  <si>
    <t>030411004039</t>
  </si>
  <si>
    <t>030411004040</t>
  </si>
  <si>
    <t>030411004041</t>
  </si>
  <si>
    <t>030411004042</t>
  </si>
  <si>
    <t>030411004043</t>
  </si>
  <si>
    <t>030411004044</t>
  </si>
  <si>
    <t>030411004045</t>
  </si>
  <si>
    <t>030411004046</t>
  </si>
  <si>
    <t>030411006015</t>
  </si>
  <si>
    <t>030411001061</t>
  </si>
  <si>
    <t>030411001062</t>
  </si>
  <si>
    <t>030413001033</t>
  </si>
  <si>
    <t>030413002017</t>
  </si>
  <si>
    <t>030411004047</t>
  </si>
  <si>
    <t>030411004048</t>
  </si>
  <si>
    <t>030411004049</t>
  </si>
  <si>
    <t>030502005015</t>
  </si>
  <si>
    <t>030411004050</t>
  </si>
  <si>
    <t>030411004051</t>
  </si>
  <si>
    <t>030411006016</t>
  </si>
  <si>
    <t>030411001063</t>
  </si>
  <si>
    <t>030411001064</t>
  </si>
  <si>
    <t>030411001065</t>
  </si>
  <si>
    <t>030413002018</t>
  </si>
  <si>
    <t>030413001034</t>
  </si>
  <si>
    <t>030411004052</t>
  </si>
  <si>
    <t>030411004053</t>
  </si>
  <si>
    <t>030411004054</t>
  </si>
  <si>
    <t>030411004055</t>
  </si>
  <si>
    <t>030411004056</t>
  </si>
  <si>
    <t>030411004057</t>
  </si>
  <si>
    <t>030411004058</t>
  </si>
  <si>
    <t>030411004059</t>
  </si>
  <si>
    <t>030502005016</t>
  </si>
  <si>
    <t>030502005017</t>
  </si>
  <si>
    <t>030411006017</t>
  </si>
  <si>
    <t>031301017023</t>
  </si>
  <si>
    <t>03B026</t>
  </si>
  <si>
    <t>030501013015</t>
  </si>
  <si>
    <t>园区智能化管理平台平台系统集成服务器</t>
  </si>
  <si>
    <t>1.名称：园区智能化管理平台平台系统集成服务器（含鼠标键盘、显示器、软件等）
2.技术参数：处理器：≥2颗Intel 至强 4510处理器，单颗核数≥12核， ≥2.40 GHz或以上；内存：≥128G；操作系统： 支持Microsoft Windows Server 2019、 RedHat Enterprise Linux 、 SUSE Linux Enterprise Server、 CentOS、 Ubuntu、 Vmware EXSI；内置SAS硬盘，RAID5，配备4x3TB热插拔硬盘，10000rpm以上；2个千兆以太网口；冗余电源、风扇，可以365天24小时运行；1块单口8Gb HBA卡。
3.其它:满足完成此项工作所需要的全部工作内容，包括设计图纸、技术规范书、答疑、招标文件、现行规范、图集、验收等全部要求</t>
  </si>
  <si>
    <t>030501013016</t>
  </si>
  <si>
    <t>园区智能化管理平台平台系统管理服务器</t>
  </si>
  <si>
    <t>1.名称：园区智能化管理平台平台系统管理服务器（含鼠标键盘、显示器、软件等）
2.技术参数：处理器：≥2颗Intel 至强 4510处理器，单颗核数≥12核， ≥2.40 GHz或以上；内存：≥128G；操作系统： 支持Microsoft Windows Server 2019、 RedHat Enterprise Linux 、 SUSE Linux Enterprise Server、 CentOS、 Ubuntu、 Vmware EXSI；内置SAS硬盘，RAID5，配备4x3TB热插拔硬盘，10000rpm以上；2个千兆以太网口；冗余电源、风扇，可以365天24小时运行；1块单口8Gb HBA卡。
3.其它:满足完成此项工作所需要的全部工作内容，包括设计图纸、技术规范书、答疑、招标文件、现行规范、图集、验收等全部要求</t>
  </si>
  <si>
    <t>030501013017</t>
  </si>
  <si>
    <t>园区智能化管理平台系统管理平台图形</t>
  </si>
  <si>
    <t>1.名称：园区智能化管理平台系统管理平台图形
2.其它:满足完成此项工作所需要的全部工作内容，包括设计图纸、技术规范书、答疑、招标文件、现行规范、图集、验收等全部要求</t>
  </si>
  <si>
    <t>030501013018</t>
  </si>
  <si>
    <t>园区智能化管理平台平台系统数据库</t>
  </si>
  <si>
    <t>1.名称：园区智能化管理平台平台系统数据库
2.其它:满足完成此项工作所需要的全部工作内容，包括设计图纸、技术规范书、答疑、招标文件、现行规范、图集、验收等全部要求</t>
  </si>
  <si>
    <t>080901003002</t>
  </si>
  <si>
    <t>园区智能化管理平台平台软件</t>
  </si>
  <si>
    <t>1.名称:园区智能化管理平台可视化展示
2.含建模、BIM运维、三维展示等内容
3.其它:满足完成此项工作所需要的全部工作内容，包括设计图纸、技术规范书、答疑、招标文件、现行规范、图集、验收等全部要求</t>
  </si>
  <si>
    <t>030501013019</t>
  </si>
  <si>
    <t>园区智能化管理平台系统工作站（含授权）</t>
  </si>
  <si>
    <t>1.名称:园区智能化管理平台系统工作站（含授权）
2.其它:满足完成此项工作所需要的全部工作内容，包括设计图纸、技术规范书、答疑、招标文件、现行规范、图集、验收等全部要求</t>
  </si>
  <si>
    <t>030501016001</t>
  </si>
  <si>
    <t>园区智能化管理平台系统开发调试、运行</t>
  </si>
  <si>
    <t>1.名称:园区智能化管理平台系统开发调试
2.其它:满足完成此项工作所需要的全部工作内容，包括设计图纸、技术规范书、答疑、招标文件、现行规范、图集、验收等全部要求</t>
  </si>
  <si>
    <t>080901003003</t>
  </si>
  <si>
    <t>告警管理组件</t>
  </si>
  <si>
    <t>1.名称:告警管理组件
2.技术参数:告警信息管理、告警屏蔽、告警通知发送，提供统一的告警中心展示界面
3.其它:满足完成此项工作所需要的全部工作内容，包括设计图纸、技术规范书、答疑、招标文件、现行规范、图集、验收等全部要求</t>
  </si>
  <si>
    <t>080901003004</t>
  </si>
  <si>
    <t>模型管理组件</t>
  </si>
  <si>
    <t>1.名称:模型管理组件
2.技术参数:提供建筑、设施、网络、车辆等模型对象，支持项目快速实施使用。
3.其它:满足完成此项工作所需要的全部工作内容，包括设计图纸、技术规范书、答疑、招标文件、现行规范、图集、验收等全部要求</t>
  </si>
  <si>
    <t>080901003005</t>
  </si>
  <si>
    <t>用户管理组件</t>
  </si>
  <si>
    <t>1.名称:用户管理组件
2.技术参数:用户增删改、角色管理、权限分配、用户登陆操作日志记录
3.其它:满足完成此项工作所需要的全部工作内容，包括设计图纸、技术规范书、答疑、招标文件、现行规范、图集、验收等全部要求</t>
  </si>
  <si>
    <t>080901003006</t>
  </si>
  <si>
    <t>数据分析组件</t>
  </si>
  <si>
    <t>1.名称:数据分析组件
2.技术参数:同比、环比数据分析规则定制，基于园区数据沉淀提供数据分析能力
3.其它:满足完成此项工作所需要的全部工作内容，包括设计图纸、技术规范书、答疑、招标文件、现行规范、图集、验收等全部要求</t>
  </si>
  <si>
    <t>080901003007</t>
  </si>
  <si>
    <t>集成管理组件</t>
  </si>
  <si>
    <t>1.名称:集成管理组件
2.技术参数:支持RestAPI、JDBC、MQ、HTTP等各类通用协议接口，用于与弱电及IT子系统对接，获取相关业务数据。
3.其它:满足完成此项工作所需要的全部工作内容，包括设计图纸、技术规范书、答疑、招标文件、现行规范、图集、验收等全部要求</t>
  </si>
  <si>
    <t>080901003008</t>
  </si>
  <si>
    <t>综合态势管理</t>
  </si>
  <si>
    <t>1.名称:综合态势管理
2.技术参数:通过智慧园区综合安防、人员通行、车辆通行系统的数据接入，通过物联网、AI分析等技术将园区信息整合分析和统计，多维度呈现智慧园区运营与安防态势，展示设施分布、综合信息和日志，实时接入安监、应急、运营等监测管理数据和报警。通过对关键管理指标、设施可用性、运营参数、运行告警数据分析，整体展现智慧园区的安保、应急、运营综合态势。
3.其它:满足完成此项工作所需要的全部工作内容，包括设计图纸、技术规范书、答疑、招标文件、现行规范、图集、验收等全部要求</t>
  </si>
  <si>
    <t>080901003009</t>
  </si>
  <si>
    <t>园区导览管理</t>
  </si>
  <si>
    <t>1.名称:园区导览管理
2.技术参数:通过三维构建园区，包含两栋7层建筑组成。实现园区功能区域、楼宇等信息、职能、导航的综合展示与查询。
3.其它:满足完成此项工作所需要的全部工作内容，包括设计图纸、技术规范书、答疑、招标文件、现行规范、图集、验收等全部要求</t>
  </si>
  <si>
    <t>080901003010</t>
  </si>
  <si>
    <t>综合态势管理统计</t>
  </si>
  <si>
    <t>1.名称:综合态势管理统计
2.技术参数:以饼图、趋势图、柱状图等图表展示智慧园区综合态势、安防管理、人员管理、车辆管理、应急管理等数据分析综合展示。
3.其它:满足完成此项工作所需要的全部工作内容，包括设计图纸、技术规范书、答疑、招标文件、现行规范、图集、验收等全部要求</t>
  </si>
  <si>
    <t>080901003011</t>
  </si>
  <si>
    <t>信息引导及发布管理</t>
  </si>
  <si>
    <t>1.名称:信息引导及发布管理
2.技术参数:提供信息发布设施位置可视、设施运行状态可视、告警可视。
3.其它:满足完成此项工作所需要的全部工作内容，包括设计图纸、技术规范书、答疑、招标文件、现行规范、图集、验收等全部要求</t>
  </si>
  <si>
    <t>080901003012</t>
  </si>
  <si>
    <t>公共/应急广播系统</t>
  </si>
  <si>
    <t>1.名称:公共/应急广播系统
2.技术参数:提供广播系统设施位置可视、设施运行状态可视、告警可视。
3.其它:满足完成此项工作所需要的全部工作内容，包括设计图纸、技术规范书、答疑、招标文件、现行规范、图集、验收等全部要求</t>
  </si>
  <si>
    <t>080901003013</t>
  </si>
  <si>
    <t>新风管理</t>
  </si>
  <si>
    <t>1.名称:新风管理
2.技术参数:大楼综合体的排风，风压，状态管理。
3.其它:满足完成此项工作所需要的全部工作内容，包括设计图纸、技术规范书、答疑、招标文件、现行规范、图集、验收等全部要求</t>
  </si>
  <si>
    <t>080901003014</t>
  </si>
  <si>
    <t>空调管理</t>
  </si>
  <si>
    <t>1.名称:空调管理
2.技术参数:大楼综合体的空调的开关，状态的管理。
3.其它:满足完成此项工作所需要的全部工作内容，包括设计图纸、技术规范书、答疑、招标文件、现行规范、图集、验收等全部要求</t>
  </si>
  <si>
    <t>080901003015</t>
  </si>
  <si>
    <t>充电桩管理</t>
  </si>
  <si>
    <t>1.名称:充电桩管理
2.技术参数:对园区的充电桩的资源可视化，电流，电压，状态的管理。
3.其它:满足完成此项工作所需要的全部工作内容，包括设计图纸、技术规范书、答疑、招标文件、现行规范、图集、验收等全部要求</t>
  </si>
  <si>
    <t>080901003016</t>
  </si>
  <si>
    <t>能耗管理</t>
  </si>
  <si>
    <t>1.名称:能耗管理
2.技术参数:掌握用能趋势。实时动态 监测当前用电功率。通过设置每日用能的计划值，实现用能的定额管理，并与实际用能 进行对比，对可能出现的用能突增进行预警。将各类用能折算为标准煤，全局掌握用能情况。通过用能趋势图，快速定位用能负荷高峰，并逐级定位高峰能耗的组成，为移峰填谷找到依据。按需定制的各类报表，包括分户能耗、设备能耗、数据集抄等，并可将数据导出到 Excel等电子文件，方便日常管理工作。
3.其它:满足完成此项工作所需要的全部工作内容，包括设计图纸、技术规范书、答疑、招标文件、现行规范、图集、验收等全部要求</t>
  </si>
  <si>
    <t>080901003017</t>
  </si>
  <si>
    <t>电动窗帘管理</t>
  </si>
  <si>
    <t>1.名称:电动窗帘管理
2.技术参数:大楼综合体的窗帘状态的管理。
3.其它:满足完成此项工作所需要的全部工作内容，包括设计图纸、技术规范书、答疑、招标文件、现行规范、图集、验收等全部要求</t>
  </si>
  <si>
    <t>080901003018</t>
  </si>
  <si>
    <t>三维数据加工</t>
  </si>
  <si>
    <t>1.名称:三维数据加工
2.技术参数:对园区室内外建筑、立面电梯、监控系统、消防系统、安保等数据进行3D加工，用于可视化系统呈现.
3.其它:满足完成此项工作所需要的全部工作内容，包括设计图纸、技术规范书、答疑、招标文件、现行规范、图集、验收等全部要求</t>
  </si>
  <si>
    <t>03B055</t>
  </si>
  <si>
    <t>031301017031</t>
  </si>
  <si>
    <t>03B057</t>
  </si>
  <si>
    <t>030501012005</t>
  </si>
  <si>
    <t>万兆核心交换机</t>
  </si>
  <si>
    <t>1.名称:万兆核心交换机
2.规格:核心满足不少于48光口,48电口
3.其它:满足完成此项工作所需要的全部工作内容，包括设计图纸、技术规范书、答疑、招标文件、现行规范、图集、验收等全部要求</t>
  </si>
  <si>
    <t>030502007010</t>
  </si>
  <si>
    <t>1.名称：144芯室外单模光缆
2.敷设方式：室外埋地敷设
3.其它:满足完成此项工作所需要的全部工作内容，包括设计图纸、技术规范书、答疑、招标文件、现行规范、图集、验收等全部要求</t>
  </si>
  <si>
    <t>030502007011</t>
  </si>
  <si>
    <t>1.名称：48芯室外单模光缆
2.敷设方式：室外埋地敷设
3.其它:满足完成此项工作所需要的全部工作内容，包括设计图纸、技术规范书、答疑、招标文件、现行规范、图集、验收等全部要求</t>
  </si>
  <si>
    <t>030502007012</t>
  </si>
  <si>
    <t>1.名称：24芯多模光缆
2.敷设方式：桥架敷设
3.其它:满足完成此项工作所需要的全部工作内容，包括设计图纸、技术规范书、答疑、招标文件、现行规范、图集、验收等全部要求</t>
  </si>
  <si>
    <t>030502007013</t>
  </si>
  <si>
    <t>1.名称：48芯多模光缆
2.敷设方式：桥架敷设
3.其它:满足完成此项工作所需要的全部工作内容，包括设计图纸、技术规范书、答疑、招标文件、现行规范、图集、验收等全部要求</t>
  </si>
  <si>
    <t>030502007014</t>
  </si>
  <si>
    <t>030502010005</t>
  </si>
  <si>
    <t>1.名称:48芯光纤配线架
2.含尾纤、耦合器、光纤面板、光纤托盘
3.其它:满足完成此项工作所需要的全部工作内容，包括设计图纸、技术规范书、答疑、招标文件、现行规范、图集、验收等全部要求</t>
  </si>
  <si>
    <t>030502010006</t>
  </si>
  <si>
    <t>1.名称::24芯光纤配线架
2.含尾纤、耦合器、光纤面板、光纤托盘
3.其它:满足完成此项工作所需要的全部工作内容，包括设计图纸、技术规范书、答疑、招标文件、现行规范、图集、验收等全部要求。</t>
  </si>
  <si>
    <t>030502010007</t>
  </si>
  <si>
    <t>理线器</t>
  </si>
  <si>
    <t>1.名称:理线器
2.其它:满足完成此项工作所需要的全部工作内容，包括设计图纸、技术规范书、答疑、招标文件、现行规范、图集、验收等全部要求</t>
  </si>
  <si>
    <t>030502010008</t>
  </si>
  <si>
    <t>配线架 24口</t>
  </si>
  <si>
    <t>1.名称：六类24口配线架
2.规格：非屏蔽,24端口,含模块
3.其它:满足完成此项工作所需要的全部工作内容，包括设计图纸、技术规范书、答疑、招标文件、现行规范、图集、验收等全部要求</t>
  </si>
  <si>
    <t>030502009014</t>
  </si>
  <si>
    <t>030502009015</t>
  </si>
  <si>
    <t>030502009016</t>
  </si>
  <si>
    <t>六类非屏蔽跳线</t>
  </si>
  <si>
    <t>1.名称:六类非屏蔽跳线
2.其它:满足完成此项工作所需要的全部工作内容，包括设计图纸、技术规范书、答疑、招标文件、现行规范、图集、验收等全部要求</t>
  </si>
  <si>
    <t>030501012006</t>
  </si>
  <si>
    <t>1.名称：24口接入交换机
2.规格：24口,含模块
3.其它:满足完成此项工作所需要的全部工作内容，包括设计图纸、技术规范书、答疑、招标文件、现行规范、图集、验收等全部要求</t>
  </si>
  <si>
    <t>030502009017</t>
  </si>
  <si>
    <t>1.名称:六类网线跳线
2.其它:满足完成此项工作所需要的全部工作内容，包括设计图纸、技术规范书、答疑、招标文件、现行规范、图集、验收等全部要求</t>
  </si>
  <si>
    <t>030502001012</t>
  </si>
  <si>
    <t>1.名称:弱电机柜
2.技术参数:800*800*2000，每台机柜含机架式3kW的UPS，电池后备1小时，含2个PDU
3.安装方式:落地安装
4.其它:满足完成此项工作所需要的全部工作内容，包括设计图纸、技术规范书、答疑、招标文件、现行规范、图集、验收等全部要求</t>
  </si>
  <si>
    <t>030502014003</t>
  </si>
  <si>
    <t>光线熔接</t>
  </si>
  <si>
    <t>1.名称:光线熔接
2.其它:满足完成此项工作所需要的全部工作内容，包括设计图纸、技术规范书、答疑、招标文件、现行规范、图集、验收等全部要求</t>
  </si>
  <si>
    <t>03B040</t>
  </si>
  <si>
    <t>030411001079</t>
  </si>
  <si>
    <t>030411001080</t>
  </si>
  <si>
    <t>030413002022</t>
  </si>
  <si>
    <t>030413001039</t>
  </si>
  <si>
    <t>030502005022</t>
  </si>
  <si>
    <t>030502005023</t>
  </si>
  <si>
    <t>030502012006</t>
  </si>
  <si>
    <t>双孔数据点</t>
  </si>
  <si>
    <t>1.名称：双孔数据点（含模块）
2.其它:满足完成此项工作所需要的全部工作内容，包括设计图纸、技术规范书、答疑、招标文件、现行规范、图集、验收等全部要求</t>
  </si>
  <si>
    <t>030502012007</t>
  </si>
  <si>
    <t>双孔数据语音信息点</t>
  </si>
  <si>
    <t>1.名称：双孔数据语音信息点（含模块）
2.其它:满足完成此项工作所需要的全部工作内容，包括设计图纸、技术规范书、答疑、招标文件、现行规范、图集、验收等全部要求</t>
  </si>
  <si>
    <t>030502012008</t>
  </si>
  <si>
    <t>语音信息点位面板</t>
  </si>
  <si>
    <t>1.名称：语音信息点位面板（含模块）
2.其它:满足完成此项工作所需要的全部工作内容，包括设计图纸、技术规范书、答疑、招标文件、现行规范、图集、验收等全部要求</t>
  </si>
  <si>
    <t>030502012009</t>
  </si>
  <si>
    <t>信息点面板底盒</t>
  </si>
  <si>
    <t>1.名称：信息点面板底盒
2.结构：混凝土结构内或随家具安装
3.其它:满足完成此项工作所需要的全部工作内容，包括设计图纸、技术规范书、答疑、招标文件、现行规范、图集、验收等全部要求</t>
  </si>
  <si>
    <t>030502019008</t>
  </si>
  <si>
    <t>1.名称：信息点调试
2.其它:满足完成此项工作所需要的全部工作内容，包括设计图纸、技术规范书、答疑、招标文件、现行规范、图集、验收等全部要求</t>
  </si>
  <si>
    <t>030411001081</t>
  </si>
  <si>
    <t>030411001082</t>
  </si>
  <si>
    <t>030413002023</t>
  </si>
  <si>
    <t>030413001040</t>
  </si>
  <si>
    <t>030502005024</t>
  </si>
  <si>
    <t>030502005025</t>
  </si>
  <si>
    <t>030502012010</t>
  </si>
  <si>
    <t>030502012011</t>
  </si>
  <si>
    <t>1.名称：单孔数据点（含模块）
2.其它:满足完成此项工作所需要的全部工作内容，包括设计图纸、技术规范书、答疑、招标文件、现行规范、图集、验收等全部要求</t>
  </si>
  <si>
    <t>030502012012</t>
  </si>
  <si>
    <t>1.名称：办公网信息点地插（含模块）
2.其它:满足完成此项工作所需要的全部工作内容，包括设计图纸、技术规范书、答疑、招标文件、现行规范、图集、验收等全部要求</t>
  </si>
  <si>
    <t>030502012013</t>
  </si>
  <si>
    <t>030502012014</t>
  </si>
  <si>
    <t>金属网络地插</t>
  </si>
  <si>
    <t>1.名称:金属网络地插
2.规格:金属材质，含模块，单口
3.其它:满足完成此项工作所需要的全部工作内容，包括设计图纸、技术规范书、答疑、招标文件、现行规范、图集、验收等全部要求。</t>
  </si>
  <si>
    <t>030502012015</t>
  </si>
  <si>
    <t>030502012016</t>
  </si>
  <si>
    <t>030502019009</t>
  </si>
  <si>
    <t>030411001083</t>
  </si>
  <si>
    <t>1.名称：配管
2.规格：JDG20
3.敷设方式：暗配
4.其它:满足完成此项工作所需要的全部工作内容，包括设计图纸、技术规范书、答疑、招标文件、现行规范、图集、验收等全部要求</t>
  </si>
  <si>
    <t>030413002024</t>
  </si>
  <si>
    <t>030502005026</t>
  </si>
  <si>
    <t>030502012017</t>
  </si>
  <si>
    <t>030502012018</t>
  </si>
  <si>
    <t>030502012019</t>
  </si>
  <si>
    <t>030502019010</t>
  </si>
  <si>
    <t>031301017027</t>
  </si>
  <si>
    <t>03B041</t>
  </si>
  <si>
    <t>030504001001</t>
  </si>
  <si>
    <t>系统服务器</t>
  </si>
  <si>
    <t>1.名称:系统服务器（含鼠标键盘、显示器、软件等）
2.技术参数：处理器：≥2颗Intel 至强 4510处理器，单颗核数≥12核， ≥2.40 GHz或以上；内存：≥128G；操作系统： 支持Microsoft Windows Server 2019、 RedHat Enterprise Linux 、 SUSE Linux Enterprise Server、 CentOS、 Ubuntu、 Vmware EXSI；内置SAS硬盘，RAID5，配备4x3TB热插拔硬盘，10000rpm以上；2个千兆以太网口；冗余电源、风扇，可以365天24小时运行；1块单口8Gb HBA卡。
3.其它:满足完成此项工作所需要的全部工作内容，包括设计图纸、技术规范书、答疑、招标文件、现行规范、图集、验收等全部要求</t>
  </si>
  <si>
    <t>080904002001</t>
  </si>
  <si>
    <t>管理电脑</t>
  </si>
  <si>
    <t>1.名称:管理电脑（含鼠标键盘、显示器、软件等）
2.规格:台式电脑，不低于CPU：i5，内存容量: 4GB；硬盘容量: 500GB；显存容量:1GB；正版win操作系统,显示屏：22寸
3.其它:满足完成此项工作所需要的全部工作内容，包括设计图纸、技术规范书、答疑、招标文件、现行规范、图集、验收等全部要求</t>
  </si>
  <si>
    <t>030504001002</t>
  </si>
  <si>
    <t>服务器双机热备</t>
  </si>
  <si>
    <t>1.名称:服务器双机热备
2.技术参数:双机热备应具备免维护功能，正常主服务器掉电关机，BA软件意外停止，应用网线断开都可以自动切换到备用服务器
3.其它:满足完成此项工作所需要的全部工作内容，包括设计图纸、技术规范书、答疑、招标文件、现行规范、图集、验收等全部要求</t>
  </si>
  <si>
    <t>080901003001</t>
  </si>
  <si>
    <t>BA系统软件</t>
  </si>
  <si>
    <t>1.名称:BA系统软件
2.规格:B/S结构，图形化界面，提供包括服务器软件及用户编程工具软件，最少10个用户可同时使用,软件监控点总数大于8000点，具备工作站电脑界面报警弹出功能，用户操作历史记录查询功能，系统运行报表设置功能等。
3.其它:满足完成此项工作所需要的全部工作内容，包括设计图纸、技术规范书、答疑、招标文件、现行规范、图集、验收等全部要求</t>
  </si>
  <si>
    <t>03B034</t>
  </si>
  <si>
    <t>03B035</t>
  </si>
  <si>
    <t>030503003018</t>
  </si>
  <si>
    <t>群控制器</t>
  </si>
  <si>
    <t>1.名称:群控制器
2.技术参数:控制柜电源：双电源断电自动切换，双电源状态显示，开关量输出（含控制柜）
监控设备组成：可编程网络控制器+I/O模块：
可编程网络控制器：BACnet/IP，图形化自由编程，多种逻辑算法可用
I/O模块模拟量输入点：不少于86个AI点（包括20%冗余）
I/O模块模拟量输出点：不少于17个AO点（包括20%冗余）
I/O模块数字量输入点：不少于41个DI点（包括20%冗余）
I/O模块数字量输出点：不少于24个DO点（包括20%冗余）  
3.其它:满足完成此项工作所需要的全部工作内容，包括设计图纸、技术规范书、答疑、招标文件、现行规范、图集、验收等全部要求</t>
  </si>
  <si>
    <t>030503003019</t>
  </si>
  <si>
    <t>风冷热泵机组单元控制器</t>
  </si>
  <si>
    <t>1.名称:风冷热泵机组单元控制器
2.技术参数:控制柜电源：双电源断电自动切换，双电源状态显示，开关量输出
控制柜尺寸：2000mm（高）×1000mm（宽）×400mm（厚）
监控设备组成：可编程网络控制器+I/O模块+通讯网关：
可编程网络控制器：BACnet/IP，图形化自由编程，多种逻辑算法可用
I/O模块模拟量输入点：不少于29个AI点（包括20%冗余）
I/O模块模拟量输出点：不少于9个AO点（包括20%冗余）
I/O模块数字量输入点：不少于52个DI点（包括20%冗余）
I/O模块数字量输出点：不少于34个DO点（包括20%冗余）
通讯网关1：冷水机组通讯数据RS-485转BACnet MSTP
通讯网关2：变频器通讯数据RS-485转BACnet MSTP
3.其它:满足完成此项工作所需要的全部工作内容，包括设计图纸、技术规范书、答疑、招标文件、现行规范、图集、验收等全部要求</t>
  </si>
  <si>
    <t>030503003020</t>
  </si>
  <si>
    <t>冷却水泵控制器</t>
  </si>
  <si>
    <t>1.名称:冷却水泵控制器
2.技术参数:控制柜电源：双电源断电自动切换，双电源状态显示，开关量输出
控制柜尺寸：2000mm（高）×1000mm（宽）×400mm（厚）
监控设备组成：可编程网络控制器+I/O模块+通讯网关：
可编程网络控制器：BACnet/IP，图形化自由编程，多种逻辑算法可用
I/O模块模拟量输入点：不少于29个AI点（包括20%冗余）
I/O模块模拟量输出点：不少于9个AO点（包括20%冗余）
I/O模块数字量输入点：不少于52个DI点（包括20%冗余）
I/O模块数字量输出点：不少于34个DO点（包括20%冗余）
通讯网关1：冷水机组通讯数据RS-485转BACnet MSTP
通讯网关2：变频器通讯数据RS-485转BACnet MSTP
3.其它:满足完成此项工作所需要的全部工作内容，包括设计图纸、技术规范书、答疑、招标文件、现行规范、图集、验收等全部要求</t>
  </si>
  <si>
    <t>030503006010</t>
  </si>
  <si>
    <t>室外温湿度传感器</t>
  </si>
  <si>
    <t>1.名称:室外温湿度传感器
2.规格:24VDC，4~20mA，±0.3℃，3%RH
防水接线盒
3.其它:满足完成此项工作所需要的全部工作内容，包括设计图纸、技术规范书、答疑、招标文件、现行规范、图集、验收等全部要求</t>
  </si>
  <si>
    <t>支</t>
  </si>
  <si>
    <t>030503006011</t>
  </si>
  <si>
    <t>水管压力传感器</t>
  </si>
  <si>
    <t>1.名称:水管压力传感器
2.规格:24VDC，4~20mA，0~16Bar，±0.3%
带减压管及球阀
3.其它:满足完成此项工作所需要的全部工作内容，包括设计图纸、技术规范书、答疑、招标文件、现行规范、图集、验收等全部要求</t>
  </si>
  <si>
    <t>030503006012</t>
  </si>
  <si>
    <t>水管压差传感器</t>
  </si>
  <si>
    <t>1.名称:水管压差传感器
2.规格:24VDC，4~20mA，0~10Bar，±0.3%，
带减压管及球阀
3.其它:满足完成此项工作所需要的全部工作内容，包括设计图纸、技术规范书、答疑、招标文件、现行规范、图集、验收等全部要求</t>
  </si>
  <si>
    <t>030503006013</t>
  </si>
  <si>
    <t>水管温度传感器</t>
  </si>
  <si>
    <t>1.名称:水管温度传感器
2.规格:24VDC，4~20mA，4"探针
不锈钢套筒
3.其它:满足完成此项工作所需要的全部工作内容，包括设计图纸、技术规范书、答疑、招标文件、现行规范、图集、验收等全部要求</t>
  </si>
  <si>
    <t>030503006014</t>
  </si>
  <si>
    <t>水管流量传感器DN300</t>
  </si>
  <si>
    <t>1.名称:水管流量传感器DN300
2.规格:24VDC，4~20mA，DN300，PN16，±0.5%
3.其它:满足完成此项工作所需要的全部工作内容，包括设计图纸、技术规范书、答疑、招标文件、现行规范、图集、验收等全部要求</t>
  </si>
  <si>
    <t>030503006015</t>
  </si>
  <si>
    <t>水管流量传感器DN350</t>
  </si>
  <si>
    <t>1.名称:水管流量传感器DN350
2.规格:24VDC，4~20mA，DN350，PN16，±0.5%
3.其它:满足完成此项工作所需要的全部工作内容，包括设计图纸、技术规范书、答疑、招标文件、现行规范、图集、验收等全部要求</t>
  </si>
  <si>
    <t>030503006016</t>
  </si>
  <si>
    <t>水管流量传感器DN400</t>
  </si>
  <si>
    <t>1.名称:水管流量传感器DN400
2.规格:24VDC，4~20mA，DN400，PN16，±0.5%
3.其它:满足完成此项工作所需要的全部工作内容，包括设计图纸、技术规范书、答疑、招标文件、现行规范、图集、验收等全部要求</t>
  </si>
  <si>
    <t>030503006017</t>
  </si>
  <si>
    <t>水管流量传感器DN600</t>
  </si>
  <si>
    <t>1.名称:水管流量传感器DN600
2.规格:24VDC，4~20mA，DN600，PN16，±0.5%
3.其它:满足完成此项工作所需要的全部工作内容，包括设计图纸、技术规范书、答疑、招标文件、现行规范、图集、验收等全部要求</t>
  </si>
  <si>
    <t>03B036</t>
  </si>
  <si>
    <t>03B037</t>
  </si>
  <si>
    <t>030503003021</t>
  </si>
  <si>
    <t>标准网络控制器</t>
  </si>
  <si>
    <t>1.名称:标准网络控制器（含控制柜）
2.技术参数:可同时支持LonWorks、Modbus或BACnet等通讯协议；IBM Power PC 440 250MHz处理器；256MB SDRAM和128MB闪存；支持无电池操作；内置两个通讯卡槽位，可根据实际需求灵活配置各种接口通讯卡和相应的驱动；
通讯卡：技术参数:BACnet MS/TP驱动;通过RS-23或RS-485连接
控制器通用型电源：热插拔 15VDC 导轨安装
3.其它:满足完成此项工作所需要的全部工作内容，包括设计图纸、技术规范书、答疑、招标文件、现行规范、图集、验收等全部要求</t>
  </si>
  <si>
    <t>030503004001</t>
  </si>
  <si>
    <t>DDC控制箱DDC-8#-1F-01</t>
  </si>
  <si>
    <t>1.名称:DDC控制箱DDC-8#-1F-01
2.技术参数:1）根据点表定制，内含DDC控制器 ,支持Bacnet通讯协议，通讯转换网关；
2）内置外部线路接线端子排、独立电源接线端子排、导轨、变压器；控制点不少于UI:5  DI:10  AO:2  DO:3；通讯转换网关支持多路485通讯；
3.其它:满足完成此项工作所需要的全部工作内容，包括设计图纸、技术规范书、答疑、招标文件、现行规范、图集、验收等全部要求</t>
  </si>
  <si>
    <t>030503004002</t>
  </si>
  <si>
    <t>DDC一体化箱DDC-8#-1F-02</t>
  </si>
  <si>
    <t>1.名称:DDC一体化箱DDC-8#-1F-02
2.技术参数:1）根据点表定制，内含DDC控制器 ，支持Bacnet通讯协议；通讯转换网关；
2）内置外部线路接线端子排、独立电源接线端子排、导轨、变压器；控制点不少于UI:5  DI:4  AO:3  DO:1；通讯转换网关支持多路485通讯；
3.其它:满足完成此项工作所需要的全部工作内容，包括设计图纸、技术规范书、答疑、招标文件、现行规范、图集、验收等全部要求</t>
  </si>
  <si>
    <t>030503004003</t>
  </si>
  <si>
    <t>DDC控制箱DDC-8#-2F-01</t>
  </si>
  <si>
    <t>1.名称:DDC控制箱DDC-8#-2F-01
2.技术参数:1）根据点表定制，内含DDC控制器 ，支持Bacnet通讯协议；通讯转换网关；2）内置外部线路接线端子排、独立电源接线端子排、导轨、变压器；控制点不少于UI:10  DI:8  AO:4  DO:2；通讯转换网关支持多路485通讯。
3.其它:满足完成此项工作所需要的全部工作内容，包括设计图纸、技术规范书、答疑、招标文件、现行规范、图集、验收等全部要求</t>
  </si>
  <si>
    <t>030503004004</t>
  </si>
  <si>
    <t>DDC控制箱DDC-8#-GK-01</t>
  </si>
  <si>
    <t>1.名称:DDC控制箱DDC-8#-GK-01
2.技术参数:1）根据点表定制，内含DDC控制器 ，支持Bacnet通讯协议；通讯转换网关；2）内置外部线路接线端子排、独立电源接线端子排、导轨、变压器；控制点不少于UI:5  DI:3  AO:0  DO:1；通讯转换网关支持多路485通讯。
3.其它:满足完成此项工作所需要的全部工作内容，包括设计图纸、技术规范书、答疑、招标文件、现行规范、图集、验收等全部要求</t>
  </si>
  <si>
    <t>030503004005</t>
  </si>
  <si>
    <t>DDC控制箱DDC-8#-RF-01</t>
  </si>
  <si>
    <t>1.名称:DDC控制箱DDC-8#-RF-01
2.技术参数:1）根据点表定制，内含DDC控制器 ，支持Bacnet通讯协议；通讯转换网关；2）内置外部线路接线端子排、独立电源接线端子排、导轨、变压器；控制点不少于UI:15  DI:39  AO:3  DO:19；通讯转换网关支持多路485通讯。
3.其它:满足完成此项工作所需要的全部工作内容，包括设计图纸、技术规范书、答疑、招标文件、现行规范、图集、验收等全部要求</t>
  </si>
  <si>
    <t>030503004006</t>
  </si>
  <si>
    <t>DDC一体化箱DDC-12#-B1-01</t>
  </si>
  <si>
    <t>1.名称:DDC一体化箱DDC-12#-B1-01
2.技术参数:1）根据点表定制，内含DDC控制器 ，支持Bacnet通讯协议；通讯转换网关；
2）内置外部线路接线端子排、独立电源接线端子排、导轨、变压器；控制点不少于UI:5  DI:39  AO:3  DO:10；通讯转换网关支持多路485通讯。
3.其它:满足完成此项工作所需要的全部工作内容，包括设计图纸、技术规范书、答疑、招标文件、现行规范、图集、验收等全部要求</t>
  </si>
  <si>
    <t>030503004007</t>
  </si>
  <si>
    <t>DDC一体化箱DDC-12#-B1-02</t>
  </si>
  <si>
    <t>1.名称:DDC一体化箱DDC-12#-B1-02
2.技术参数:1）根据点表定制，内含DDC控制器 ，支持Bacnet通讯协议；通讯转换网关；
2）内置外部线路接线端子排、独立电源接线端子排、导轨、变压器；控制点不少于UI:5  DI:56  AO:3  DO:2；通讯转换网关支持多路485通讯。
3.其它:满足完成此项工作所需要的全部工作内容，包括设计图纸、技术规范书、答疑、招标文件、现行规范、图集、验收等全部要求</t>
  </si>
  <si>
    <t>030503004008</t>
  </si>
  <si>
    <t>DDC一体化箱DDC-12#-B1-03</t>
  </si>
  <si>
    <t>1.名称:DDC一体化箱DDC-12#-B1-03
2.技术参数:1）根据点表定制，内含DDC控制器 ，支持Bacnet通讯协议；通讯转换网关；
2）内置外部线路接线端子排、独立电源接线端子排、导轨、变压器；控制点不少于UI:10  DI:16  AO:4  DO:4；通讯转换网关支持多路485通讯。
3.其它:满足完成此项工作所需要的全部工作内容，包括设计图纸、技术规范书、答疑、招标文件、现行规范、图集、验收等全部要求</t>
  </si>
  <si>
    <t>030503004009</t>
  </si>
  <si>
    <t>DDC一体化箱DDC-12#-B1-04</t>
  </si>
  <si>
    <t>1.名称:DDC一体化箱DDC-12#-B1-04
2.技术参数:1）根据点表定制，内含DDC控制器 ，支持Bacnet通讯协议；通讯转换网关；
2）内置外部线路接线端子排、独立电源接线端子排、导轨、变压器；控制点不少于UI:5  DI:8  AO:0  DO:4；通讯转换网关支持多路485通讯。
3.其它:满足完成此项工作所需要的全部工作内容，包括设计图纸、技术规范书、答疑、招标文件、现行规范、图集、验收等全部要求</t>
  </si>
  <si>
    <t>030503004010</t>
  </si>
  <si>
    <t>DDC一体化箱DDC-15#-1F-03</t>
  </si>
  <si>
    <t>1.名称:DDC一体化箱DDC-15#-1F-03
2.技术参数:1）根据点表定制，内含通讯转换网关；
2）内置外部线路接线端子排、独立电源接线端子排、导轨、变压器；通讯转换网关支持多路485通讯。
3.其它:满足完成此项工作所需要的全部工作内容，包括设计图纸、技术规范书、答疑、招标文件、现行规范、图集、验收等全部要求</t>
  </si>
  <si>
    <t>030503004011</t>
  </si>
  <si>
    <t>DDC一体化箱DDC-15#-1F-04</t>
  </si>
  <si>
    <t>1.名称:DDC一体化箱DDC-15#-1F-04
2.技术参数:1）根据点表定制，内含通讯转换网关；
2）内置外部线路接线端子排、独立电源接线端子排、导轨、变压器；通讯转换网关支持多路485通讯。
3.其它:满足完成此项工作所需要的全部工作内容，包括设计图纸、技术规范书、答疑、招标文件、现行规范、图集、验收等全部要求</t>
  </si>
  <si>
    <t>030503004012</t>
  </si>
  <si>
    <t>DDC一体化箱DDC-15#-2F-03</t>
  </si>
  <si>
    <t>1.名称:DDC一体化箱DDC-15#-2F-03
2.技术参数:1）根据点表定制，内含通讯转换网关；
2）内置外部线路接线端子排、独立电源接线端子排、导轨、变压器；通讯转换网关支持多路485通讯。
3.其它:满足完成此项工作所需要的全部工作内容，包括设计图纸、技术规范书、答疑、招标文件、现行规范、图集、验收等全部要求</t>
  </si>
  <si>
    <t>030503004013</t>
  </si>
  <si>
    <t>DDC一体化箱DDC-15#-2F-04</t>
  </si>
  <si>
    <t>1.名称:DDC一体化箱DDC-15#-2F-04
2.技术参数:1）根据点表定制，内含通讯转换网关；
2）内置外部线路接线端子排、独立电源接线端子排、导轨、变压器；通讯转换网关支持多路485通讯。
3.其它:满足完成此项工作所需要的全部工作内容，包括设计图纸、技术规范书、答疑、招标文件、现行规范、图集、验收等全部要求</t>
  </si>
  <si>
    <t>030503004014</t>
  </si>
  <si>
    <t>DDC一体化箱DDC-15#-RF-02</t>
  </si>
  <si>
    <t>1.名称:DDC一体化箱DDC-15#-RF-02
2.技术参数:1）根据点表定制，内含通讯转换网关；
2）内置外部线路接线端子排、独立电源接线端子排、导轨、变压器；UI:8  DI:39  AO:0  DO:20；通讯转换网关支持多路485通讯。
3.其它:满足完成此项工作所需要的全部工作内容，包括设计图纸、技术规范书、答疑、招标文件、现行规范、图集、验收等全部要求</t>
  </si>
  <si>
    <t>030503006018</t>
  </si>
  <si>
    <t>压差开关</t>
  </si>
  <si>
    <t>1.名称:压差开关
2.规格:测量范围 40~400Pa，寿命100万次 开关容量 1.5A,(0.4A)/250Vac，保护等级IP54。
3.其它:满足完成此项工作所需要的全部工作内容，包括设计图纸、技术规范书、答疑、招标文件、现行规范、图集、验收等全部要求</t>
  </si>
  <si>
    <t>030503006019</t>
  </si>
  <si>
    <t>风管温度传感器</t>
  </si>
  <si>
    <t>1.名称:风管温度传感器
2.规格:风道温度一体式传感器NTC20K　-10 -+110℃，保护等级为IP54
3.其它:满足完成此项工作所需要的全部工作内容，包括设计图纸、技术规范书、答疑、招标文件、现行规范、图集、验收等全部要求</t>
  </si>
  <si>
    <t>030503006020</t>
  </si>
  <si>
    <t>风管湿度传感器</t>
  </si>
  <si>
    <t>1.名称:风管湿度传感器
2.规格:湿度量程：0~100%RH；
精度：±3%RH；
输出信号：4~20mA或0~10VDC；
供电电源：DC24V；
防护等级IP65；
探管材质：不锈钢
3.其它:满足完成此项工作所需要的全部工作内容，包括设计图纸、技术规范书、答疑、招标文件、现行规范、图集、验收等全部要求。</t>
  </si>
  <si>
    <t>030503007001</t>
  </si>
  <si>
    <t>风阀执行器（调节型）</t>
  </si>
  <si>
    <t>1.名称:风阀执行器（调节型）
2.技术参数:连续调节型风门执行器；
扭矩：10Nm；
供电电源：24VAC/DC
3.其它:满足完成此项工作所需要的全部工作内容，包括设计图纸、技术规范书、答疑、招标文件、现行规范、图集、验收等全部要求</t>
  </si>
  <si>
    <t>030503007002</t>
  </si>
  <si>
    <t>电动两通阀</t>
  </si>
  <si>
    <t>1.名称:电动两通阀
2.技术参数:24VDC，4~20mA，0~10Bar，±0.3%，
带减压管及球阀
3.其它:满足完成此项工作所需要的全部工作内容，包括设计图纸、技术规范书、答疑、招标文件、现行规范、图集、验收等全部要求。</t>
  </si>
  <si>
    <t>030601001001</t>
  </si>
  <si>
    <t>室外温湿度</t>
  </si>
  <si>
    <t>1.名称:室外温湿度
2.规格:0-10V，
量程范围：温度范围≥-40~60℃，≤3%湿度精度，≤0.3℃温度精度，最大10KPa
3.其它:满足完成此项工作所需要的全部工作内容，包括设计图纸、技术规范书、答疑、招标文件、现行规范、图集、验收等全部要求。</t>
  </si>
  <si>
    <t>030601004001</t>
  </si>
  <si>
    <t>水流开关</t>
  </si>
  <si>
    <t>1.名称:水流开关
2.规格:输出信号：SPDT,10A/250VAC；
最大允许压力：1.6Mpa；
含安装套管及靶片。
3.其它:满足完成此项工作所需要的全部工作内容，包括设计图纸、技术规范书、答疑、招标文件、现行规范、图集、验收等全部要求。</t>
  </si>
  <si>
    <t>030601001002</t>
  </si>
  <si>
    <t>水管温度</t>
  </si>
  <si>
    <t>1.名称:水管温度
2.规格:24VDC，4~20mA，4"探针
不锈钢套筒
3.其它:满足完成此项工作所需要的全部工作内容，包括设计图纸、技术规范书、答疑、招标文件、现行规范、图集、验收等全部要求。</t>
  </si>
  <si>
    <t>030503006021</t>
  </si>
  <si>
    <t>氢气传感器</t>
  </si>
  <si>
    <t>1.名称:氢气传感器
2.规格:风道温度一体式传感器NTC20K　-10 -+110℃，保护等级为IP54
3.其它:满足完成此项工作所需要的全部工作内容，包括设计图纸、技术规范书、答疑、招标文件、现行规范、图集、验收等全部要求</t>
  </si>
  <si>
    <t>030503006022</t>
  </si>
  <si>
    <t>液位开关</t>
  </si>
  <si>
    <t>1.名称:液位开关
2.规格:液位开关触点不低于电压250V/5A，自带电缆不小于5m
3.其它:满足完成此项工作所需要的全部工作内容，包括设计图纸、技术规范书、答疑、招标文件、现行规范、图集、验收等全部要求</t>
  </si>
  <si>
    <t>030503006023</t>
  </si>
  <si>
    <t>液位计</t>
  </si>
  <si>
    <t>1.名称:液位计
2.其它:满足完成此项工作所需要的全部工作内容，包括设计图纸、技术规范书、答疑、招标文件、现行规范、图集、验收等全部要求</t>
  </si>
  <si>
    <t>030503006024</t>
  </si>
  <si>
    <t>1.名称:水管压力传感器
2.规格:24VDC，4~20mA，0~16Bar，±0.3%
带减压管及球阀
3.其它:满足完成此项工作所需要的全部工作内容，包括设计图纸、技术规范书、答疑、招标文件、现行规范、图集、验收等全部要求。</t>
  </si>
  <si>
    <t>030503006025</t>
  </si>
  <si>
    <t>1.名称:水管压差传感器
2.规格:24VDC，4~20mA，0~10Bar，±0.3%，
带减压管及球阀
3.其它:满足完成此项工作所需要的全部工作内容，包括设计图纸、技术规范书、答疑、招标文件、现行规范、图集、验收等全部要求。</t>
  </si>
  <si>
    <t>030503005001</t>
  </si>
  <si>
    <t>全自动加药设备接口</t>
  </si>
  <si>
    <t>1.名称:全自动加药设备接口
2.技术参数:需设备厂家提供硬件接口和开放标准协议
3.其它:满足完成此项工作所需要的全部工作内容，包括设计图纸、技术规范书、答疑、招标文件、现行规范、图集、验收等全部要求。</t>
  </si>
  <si>
    <t>030503005002</t>
  </si>
  <si>
    <t>自动补水排气定压机组接口</t>
  </si>
  <si>
    <t>1.名称:自动补水排气定压机组接口
2.技术参数:需设备厂家提供硬件接口和开放标准协议
3.其它:满足完成此项工作所需要的全部工作内容，包括设计图纸、技术规范书、答疑、招标文件、现行规范、图集、验收等全部要求。</t>
  </si>
  <si>
    <t>030503005003</t>
  </si>
  <si>
    <t>电梯接口</t>
  </si>
  <si>
    <t>1.名称:电梯接口
2.技术参数:需设备厂家提供硬件接口和开放标准协议
3.其它:满足完成此项工作所需要的全部工作内容，包括设计图纸、技术规范书、答疑、招标文件、现行规范、图集、验收等全部要求。</t>
  </si>
  <si>
    <t>030503005004</t>
  </si>
  <si>
    <t>风冷热泵机组接口</t>
  </si>
  <si>
    <t>1.名称:风冷热泵机组接口
2.技术参数:需设备厂家提供硬件接口和开放标准协议
3.其它:满足完成此项工作所需要的全部工作内容，包括设计图纸、技术规范书、答疑、招标文件、现行规范、图集、验收等全部要求。</t>
  </si>
  <si>
    <t>030503005005</t>
  </si>
  <si>
    <t>空调新风处理机组接口</t>
  </si>
  <si>
    <t>1.名称:空调新风处理机组接口
2.技术参数:需设备厂家提供硬件接口和开放标准协议
3.其它:满足完成此项工作所需要的全部工作内容，包括设计图纸、技术规范书、答疑、招标文件、现行规范、图集、验收等全部要求。</t>
  </si>
  <si>
    <t>030503005006</t>
  </si>
  <si>
    <t>风机盘管接口</t>
  </si>
  <si>
    <t>1.名称:风机盘管接口
2.技术参数:需设备厂家提供硬件接口和开放标准协议
3.其它:满足完成此项工作所需要的全部工作内容，包括设计图纸、技术规范书、答疑、招标文件、现行规范、图集、验收等全部要求。</t>
  </si>
  <si>
    <t>030503005007</t>
  </si>
  <si>
    <t>水质监测仪给排水接口</t>
  </si>
  <si>
    <t>1.名称:水质监测仪给排水接口
2.技术参数:需设备厂家提供硬件接口和开放标准协议
3.其它:满足完成此项工作所需要的全部工作内容，包括设计图纸、技术规范书、答疑、招标文件、现行规范、图集、验收等全部要求。</t>
  </si>
  <si>
    <t>03B038</t>
  </si>
  <si>
    <t>03B039</t>
  </si>
  <si>
    <t>030411001072</t>
  </si>
  <si>
    <t>1.名称:镀锌钢管
2.材质:SC20
3.敷设方式:综合考虑
4.其他:满足完成此项工作所需要的全部工作内容，满足设计图纸、技术规范书、答疑、招标文件、现行规范、图集、验收等全部要求</t>
  </si>
  <si>
    <t>030411001073</t>
  </si>
  <si>
    <t>1.名称：镀锌钢管
2.材质:JDG20
3.敷设方式:综合考虑
4.其他:满足完成此项工作所需要的全部工作内容，满足设计图纸、技术规范书、答疑、招标文件、现行规范、图集、验收等全部要求</t>
  </si>
  <si>
    <t>030411001074</t>
  </si>
  <si>
    <t>030413001037</t>
  </si>
  <si>
    <t>030411004071</t>
  </si>
  <si>
    <t>1.名称:配线
2.规格:WDZ-RYY3*1.5
3.敷设方式:管内穿线
4.满足完成此项工作所需要的全部工作内容，包括设计图纸、技术规范书、答疑、招标文件、现行规范、图集、验收等全部要求</t>
  </si>
  <si>
    <t>030411004072</t>
  </si>
  <si>
    <t>1.名称:配线
2.规格:WDZ-RYY8*1.0
3.敷设方式:管内穿线
4.满足完成此项工作所需要的全部工作内容，包括设计图纸、技术规范书、答疑、招标文件、现行规范、图集、验收等全部要求</t>
  </si>
  <si>
    <t>030411004073</t>
  </si>
  <si>
    <t>1.名称:配线
2.规格:WDZ-RYY8*1.0
3.敷设方式:线槽配线
4.满足完成此项工作所需要的全部工作内容，包括设计图纸、技术规范书、答疑、招标文件、现行规范、图集、验收等全部要求</t>
  </si>
  <si>
    <t>030411004074</t>
  </si>
  <si>
    <t>1.名称:线缆
2.规格:WDZ-RYYSP-2x1.0
3.敷设方式:管内穿线
4.满足完成此项工作所需要的全部工作内容，包括设计图纸、技术规范书、答疑、招标文件、现行规范、图集、验收等全部要求</t>
  </si>
  <si>
    <t>030411004075</t>
  </si>
  <si>
    <t>030502005018</t>
  </si>
  <si>
    <t>030502005019</t>
  </si>
  <si>
    <t>030411001075</t>
  </si>
  <si>
    <t>1.名称:配管
2.材质:金属软管DN20
3.敷设方式:明敷
4.其他:满足完成此项工作所需要的全部工作内容，满足设计图纸、技术规范书、答疑、招标文件、现行规范、图集、验收等全部要求</t>
  </si>
  <si>
    <t>030502019006</t>
  </si>
  <si>
    <t>030503010005</t>
  </si>
  <si>
    <t>030411001076</t>
  </si>
  <si>
    <t>1.名称:紧定式镀锌钢导管
2.材质:JDG20
3.敷设方式:综合考虑
4.其他:满足完成此项工作所需要的全部工作内容，满足设计图纸、技术规范书、答疑、招标文件、现行规范、图集、验收等全部要求</t>
  </si>
  <si>
    <t>030411001077</t>
  </si>
  <si>
    <t>030413001038</t>
  </si>
  <si>
    <t>030411004076</t>
  </si>
  <si>
    <t>030411004077</t>
  </si>
  <si>
    <t>030411004078</t>
  </si>
  <si>
    <t>030411004079</t>
  </si>
  <si>
    <t>1.名称:配线
2.规格:WDZ-RYYSP-2x1.0
3.敷设方式:线槽配线
4.满足完成此项工作所需要的全部工作内容，包括设计图纸、技术规范书、答疑、招标文件、现行规范、图集、验收等全部要求</t>
  </si>
  <si>
    <t>030411004080</t>
  </si>
  <si>
    <t>1.名称:线缆
2.规格:WDZ-RYY-2x1.0
3.敷设方式:管内穿线
4.满足完成此项工作所需要的全部工作内容，包括设计图纸、技术规范书、答疑、招标文件、现行规范、图集、验收等全部要求</t>
  </si>
  <si>
    <t>030411004081</t>
  </si>
  <si>
    <t>1.名称:配线
2.规格:WDZ-RYY-2x1.0
3.敷设方式:线槽配线
4.满足完成此项工作所需要的全部工作内容，包括设计图纸、技术规范书、答疑、招标文件、现行规范、图集、验收等全部要求</t>
  </si>
  <si>
    <t>030411004082</t>
  </si>
  <si>
    <t>1.名称:线缆
2.规格:WDZ-RYYP-2x1.0
3.敷设方式:管内穿线
4.满足完成此项工作所需要的全部工作内容，包括设计图纸、技术规范书、答疑、招标文件、现行规范、图集、验收等全部要求</t>
  </si>
  <si>
    <t>030411004083</t>
  </si>
  <si>
    <t>1.名称:配线
2.规格:WDZ-RYYP-2x1.0
3.敷设方式:线槽配线
4.满足完成此项工作所需要的全部工作内容，包括设计图纸、技术规范书、答疑、招标文件、现行规范、图集、验收等全部要求</t>
  </si>
  <si>
    <t>030502005020</t>
  </si>
  <si>
    <t>030502005021</t>
  </si>
  <si>
    <t>030411001078</t>
  </si>
  <si>
    <t>030502019007</t>
  </si>
  <si>
    <t>030503010006</t>
  </si>
  <si>
    <t>031301017026</t>
  </si>
  <si>
    <t>031301018003</t>
  </si>
  <si>
    <t>031301018004</t>
  </si>
  <si>
    <t>030506007003</t>
  </si>
  <si>
    <t>LED小间距显示屏屏</t>
  </si>
  <si>
    <t>1.名称：LED小间距显示屏
2.规格：P0.9,尺寸8720*2980mm，SMD模组封装，含成套视频拼接处理器、配电柜和支架
3.其它:满足完成此项工作所需要的全部工作内容，满足设计图纸、技术规范书、答疑、招标文件、现行规范、图集、验收等全部要求</t>
  </si>
  <si>
    <t>m2</t>
  </si>
  <si>
    <t>030506001001</t>
  </si>
  <si>
    <t>有源可调指向性音柱</t>
  </si>
  <si>
    <t>1.名称:有源可调指向性音柱
2.规格:驱动单元：不少于8个，低频单元尺寸不小于3英寸；
每个驱动单元拥有独立通道的功率放大器与DSP处理通道；
水平覆盖角度：不低于120°；
音束垂直覆盖角度：数字可调；
支持多波束覆盖，波束不少于2个；
最大声压级：不小于130dB；
可选多种音频输入：具备Dante接入；
含有源可调指向性音柱配套安装架。
3.其它:满足完成此项工作所需要的全部工作内容，包括设计图纸、技术规范书、答疑、招标文件、现行规范、图集、验收等全部要求</t>
  </si>
  <si>
    <t>030506001002</t>
  </si>
  <si>
    <t>超低音扬声器</t>
  </si>
  <si>
    <t>1.名称:超低音扬声器
2.规格:18"超低音扬声器
最大声压级≥130dB；
驱动单元不小于1个18英寸低频单元
频率响应不劣于35Hz-180Hz；
功率不小于600W；
3.其它:满足完成此项工作所需要的全部工作内容，包括设计图纸、技术规范书、答疑、招标文件、现行规范、图集、验收等全部要求</t>
  </si>
  <si>
    <t>030506001003</t>
  </si>
  <si>
    <t>流动返听扬声器</t>
  </si>
  <si>
    <t>1.名称:流动返听扬声器
2.规格:12"返听扬声器
最大声压级≥129dB；
驱动单元不小于1个12英寸低频单元和1个高频单元;
频率响应不劣于75Hz-20KHz；
覆盖角度不小于60°  ；
功率不小于300W。
3.其它:满足完成此项工作所需要的全部工作内容，包括设计图纸、技术规范书、答疑、招标文件、现行规范、图集、验收等全部要求</t>
  </si>
  <si>
    <t>030506001004</t>
  </si>
  <si>
    <t>吸顶扬声器</t>
  </si>
  <si>
    <t>1.名称:吸顶扬声器
2.规格:最大声压级≥110dB；
驱动单元不小于1个6.5英寸低频单元和1个高频单元;
频率响应不劣于60Hz-20KHz (+/-3dB)；
覆盖角度不小于100°
支持70V/100V定压定阻可调；
功率不劣于30W。
3.其它:满足完成此项工作所需要的全部工作内容，包括设计图纸、技术规范书、答疑、招标文件、现行规范、图集、验收等全部要求</t>
  </si>
  <si>
    <t>030506001005</t>
  </si>
  <si>
    <t>功率放大器（超低）</t>
  </si>
  <si>
    <t>1.名称:功率放大器（超低）
2.技术参数:2通道D类功率放大器
频率响应：20Hz-20KHz（±1dB）；
内置扬声器调节所需DSP，包括延时、均衡器（升余弦、自定义FIR、参量IIR：峰值、高/低搁架）、全通、带通、带阻、高/低通、分频、限幅等模块；
功率满足扬声器1.5倍余量。
3.其它:满足完成此项工作所需要的全部工作内容，满足设计图纸、技术规范书、答疑、招标文件、现行规范、图集、验收等全部要求</t>
  </si>
  <si>
    <t>030506001006</t>
  </si>
  <si>
    <t>功率放大器（返听）</t>
  </si>
  <si>
    <t>1.名称:功率放大器（返听）
2.技术参数:2通道D类功率放大器
频率响应：20Hz-20KHz（±1dB）；
内置扬声器调节所需DSP，包括延时、均衡器（升余弦、自定义FIR、参量IIR：峰值、高/低搁架）、全通、带通、带阻、高/低通、分频、限幅等模块；
功率满足扬声器1.5倍余量。
3.其它:满足完成此项工作所需要的全部工作内容，满足设计图纸、技术规范书、答疑、招标文件、现行规范、图集、验收等全部要求</t>
  </si>
  <si>
    <t>030506001007</t>
  </si>
  <si>
    <t>功率放大器（吸顶）</t>
  </si>
  <si>
    <t>1.名称:功率放大器（吸顶）
2.技术参数:4通道D类功率放大器
频率响应：20Hz-20KHz（±1dB）；
内置扬声器调节所需DSP，包括延时、均衡器（升余弦、自定义FIR、参量IIR：峰值、高/低搁架）、全通、带通、带阻、高/低通、分频、限幅等模块；
功率满足扬声器1.5倍余量。
3.其它:满足完成此项工作所需要的全部工作内容，满足设计图纸、技术规范书、答疑、招标文件、现行规范、图集、验收等全部要求</t>
  </si>
  <si>
    <t>030506001008</t>
  </si>
  <si>
    <t>数字音频处理器（DANTE)</t>
  </si>
  <si>
    <t>1.名称:数字音频处理器（DANTE)
2.技术参数:通道数量：≥12个通道话筒/线路输入，≥8个通道线路输出；                                             
控制端口：支持≥8个GPIO通道和1个通用串口RS232；
网络端口：≥2个千兆网口，≥32路Dante传输；
AEC通道≥4路；
3.其它:满足完成此项工作所需要的全部工作内容，满足设计图纸、技术规范书、答疑、招标文件、现行规范、图集、验收等全部要求</t>
  </si>
  <si>
    <t>030506001009</t>
  </si>
  <si>
    <t>数字调音台（含DANTE卡）</t>
  </si>
  <si>
    <t>1.名称:数字调音台（含DANTE卡）
2.技术参数:不少于48路全处理输入；
不少于24个马达推子；
不少于24路输入通道；
不少于16路输出通道；
不少于1个触摸屏；
采样率≥48kHz；
内置Dante卡，Dante网络传输协议支持64路双向音频传输，通过CAT5控制 ，千兆网络端口
3.其它:满足完成此项工作所需要的全部工作内容，满足设计图纸、技术规范书、答疑、招标文件、现行规范、图集、验收等全部要求</t>
  </si>
  <si>
    <t>030503004015</t>
  </si>
  <si>
    <t>音频接口箱</t>
  </si>
  <si>
    <t>1.名称:音频接口箱
2.技术参数:不少于16个输入；
不少于8个输出；
不少于2个网络端口用于外接其它控制设备；
3.其它:满足完成此项工作所需要的全部工作内容，满足设计图纸、技术规范书、答疑、招标文件、现行规范、图集、验收等全部要求</t>
  </si>
  <si>
    <t>030506001010</t>
  </si>
  <si>
    <t>有源监听扬声器</t>
  </si>
  <si>
    <t>1.名称:有源监听扬声器
2.规格:驱动单元：1个不小于5.25英寸低音驱动单元，不小于1个1英寸高音驱动单元；
频率响应：不劣于45-20kHz；
指向性角度(@1000Hz)：180°H x180°V
最大声压级（1m）：不小于101dB；
3.其它:满足完成此项工作所需要的全部工作内容，包括设计图纸、技术规范书、答疑、招标文件、现行规范、图集、验收等全部要求</t>
  </si>
  <si>
    <t>030506001011</t>
  </si>
  <si>
    <t>无线手持话筒</t>
  </si>
  <si>
    <t>1.名称:无线手持话筒
2.技术参数:具备频率备份功能，支持跳频到备用频率
工作带宽：≥60MHz
配置单指向动圈手持音头
发射功率：≥30mW
电池：支持AA电池和充电底座
同无线话筒接收机品牌，配套使用即可
3.其它:满足完成此项工作所需要的全部工作内容，满足设计图纸、技术规范书、答疑、招标文件、现行规范、图集、验收等全部要求</t>
  </si>
  <si>
    <t>030506001012</t>
  </si>
  <si>
    <t>无线领夹话筒</t>
  </si>
  <si>
    <t>1.名称:无线领夹话筒
2.技术参数:具备频率备份功能，支持跳频到备用频率
工作带宽：≥60MHz
配置单指向微型领夹话筒
发射功率：≥30mW
电池：支持AA电池和充电底座
同无线话筒接收机品牌，配套使用即可
3.其它:满足完成此项工作所需要的全部工作内容，满足设计图纸、技术规范书、答疑、招标文件、现行规范、图集、验收等全部要求</t>
  </si>
  <si>
    <t>030506001013</t>
  </si>
  <si>
    <t>无线话筒接收机</t>
  </si>
  <si>
    <t>1.名称:无线话筒接收机
2.技术参数:具备频率备份功能，支持跳频到备用频率
工作带宽：≥60MHz
支持自动扫频及设置SQ值
支持软件远程监控
3.其它:满足完成此项工作所需要的全部工作内容，满足设计图纸、技术规范书、答疑、招标文件、现行规范、图集、验收等全部要求</t>
  </si>
  <si>
    <t>031102001001</t>
  </si>
  <si>
    <t>无线话筒全向天线</t>
  </si>
  <si>
    <t>1.名称:无线话筒全向天线
2.技术参数:工作频段：不劣于470-900MHz
增益：不少于3挡可调，最大不小于12dB
3.其它:满足完成此项工作所需要的全部工作内容，满足设计图纸、技术规范书、答疑、招标文件、现行规范、图集、验收等全部要求</t>
  </si>
  <si>
    <t>030505013003</t>
  </si>
  <si>
    <t>天线分配器</t>
  </si>
  <si>
    <t>1.名称:天线分配器
2.技术参数:工作频段：不劣于470-900MHz
接口：输入≥2，输出≥8
3.其它:满足完成此项工作所需要的全部工作内容，满足设计图纸、技术规范书、答疑、招标文件、现行规范、图集、验收等全部要求</t>
  </si>
  <si>
    <t>030506001014</t>
  </si>
  <si>
    <t>汇报席鹅颈话筒（含底座）</t>
  </si>
  <si>
    <t>1.名称:汇报席鹅颈话筒（含底座）
2.技术参数:指向特性：超指向性
频率响应：不劣于 80-18000Hz
开路灵敏度：≥-31dB
最大输入声压级：≥126dB SPL， 1 kHz 于 1% T.H.D. 
含带开关底座
3.其它:满足完成此项工作所需要的全部工作内容，满足设计图纸、技术规范书、答疑、招标文件、现行规范、图集、验收等全部要求</t>
  </si>
  <si>
    <t>030506001015</t>
  </si>
  <si>
    <t>数字会议系统主机</t>
  </si>
  <si>
    <t>1.名称:数字会议系统主机
2.技术参数:每台主机可连接不少于100个有线手拉手单元，有线手拉手链接方式。
内置反馈处理器等组件，可实时监测并处理系统中的啸叫点。
3.其它:满足完成此项工作所需要的全部工作内容，满足设计图纸、技术规范书、答疑、招标文件、现行规范、图集、验收等全部要求</t>
  </si>
  <si>
    <t>030506001016</t>
  </si>
  <si>
    <t>有线会议发言单元</t>
  </si>
  <si>
    <t>1.名称:有线会议发言单元
2.技术参数:每个话筒均可独立调节增益控制
手拉手链接方式
指向特性：超心形指向性
频率响应：不劣于 30-20000Hz
开通灵敏度：≥-31dB(28.2mV) 以 1V 于 1 Pa
最高输入音量：≥125dB spl， 1 kHz 于 1% T.H.D.
3.其它:满足完成此项工作所需要的全部工作内容，满足设计图纸、技术规范书、答疑、招标文件、现行规范、图集、验收等全部要求</t>
  </si>
  <si>
    <t>030506007004</t>
  </si>
  <si>
    <t>LED显示屏</t>
  </si>
  <si>
    <t>1.名称：LED显示屏
2.规格：像素间距：1.5mm LED显示屏，彩色，3.6m宽2.7m高，比例4:3，刷新频率：≥3840Hz，最大对比度：≥ 12000:1，显示单元平整
屏幕亮度：≥600nit
安装方式：SMD封装技术含成套配电柜和支架、视频拼接处理器
水平视角：≥160°，垂直视角：≥160°，平均无故障时间：≥100,000 小时，LED屏幕表面采用电喷技术,无塑胶类结构件，显示屏对比度高，具备防蓝光功能。
3.其它:满足完成此项工作所需要的全部工作内容，满足设计图纸、技术规范书、答疑、招标文件、现行规范、图集、验收等全部要求</t>
  </si>
  <si>
    <t>030506007005</t>
  </si>
  <si>
    <t>接收系统</t>
  </si>
  <si>
    <t>1.名称:接收系统
2.技术参数:包含图像发送端、接收端、控制电脑以及信号线缆，投标人依据所投产品技术特点包干考虑。
3.其它:满足完成此项工作所需要的全部工作内容，满足设计图纸、技术规范书、答疑、招标文件、现行规范、图集、验收等全部要求</t>
  </si>
  <si>
    <t>080904002002</t>
  </si>
  <si>
    <t>控制电脑</t>
  </si>
  <si>
    <t>1.名称:控制电脑
2.规格:不低于i5 16G 2T 256G 2G独显 含23.8寸显示器，配置鼠标键盘。
3.其它:满足完成此项工作所需要的全部工作内容，包括设计图纸、技术规范书、答疑、招标文件、现行规范、图集、验收等全部要求</t>
  </si>
  <si>
    <t>030506007006</t>
  </si>
  <si>
    <t>98寸显示器</t>
  </si>
  <si>
    <t>1.名称:98寸显示器
2.不小于98英寸
分辨率不小于3840*2160
HDMI接口不少于2个，USB接口不少于2个，RJ45接口不少于1个；
3.含显示屏壁挂安装架
4.其它:满足完成此项工作所需要的全部工作内容，满足设计图纸、技术规范书、答疑、招标文件、现行规范、图集、验收等全部要求</t>
  </si>
  <si>
    <t>030506007007</t>
  </si>
  <si>
    <t>98寸协作一体机</t>
  </si>
  <si>
    <t>1.名称:98寸协作一体机
2.98英寸触控一体机
内置OPS电脑，支持Window/安卓系统
物理分辨率不小于3840*2160
中心亮度(含表面玻璃) ≥400 cd/m2
红外触摸屏
支持20点同时触控，支持10笔书写
内置不低于4000万像素摄像头，阵列麦克风
支持无线投屏功能
3.含显示屏壁挂安装架
4.其它:满足完成此项工作所需要的全部工作内容，满足设计图纸、技术规范书、答疑、招标文件、现行规范、图集、验收等全部要求</t>
  </si>
  <si>
    <t>030506007008</t>
  </si>
  <si>
    <t>控制室监视器</t>
  </si>
  <si>
    <t>1.名称:控制室监视器
2.屏幕尺寸不小于27英寸
屏幕比例：16:9，面板：IPS技术；
接口：具备DP或HDM接口
3.安装方式:显示屏采用固定安装；需根据现场情况厂家深化调整；
4.其它:满足完成此项工作所需要的全部工作内容，满足设计图纸、技术规范书、答疑、招标文件、现行规范、图集、验收等全部要求</t>
  </si>
  <si>
    <t>030506007009</t>
  </si>
  <si>
    <t>无线投屏主机</t>
  </si>
  <si>
    <t>1.名称:无线投屏主机
2.可直接通过无线方式将PC电脑上文件投放到显示设备上；
最高可传输图像分辨率不低于1080P；
可播放流媒体
3.其它:满足完成此项工作所需要的全部工作内容，满足设计图纸、技术规范书、答疑、招标文件、现行规范、图集、验收等全部要求</t>
  </si>
  <si>
    <t>030506007010</t>
  </si>
  <si>
    <t>视频分布式编码器</t>
  </si>
  <si>
    <t>1.名称:视频分布式编码器
2.采用分布式架构，浅压缩编解码技术，支持通过标准网络交换机实现音视频以及控制信号的传输和交换；
支持视频环出接口，环出画面与原画质一致；
支持 3840x2160@60Hz视频输入、支持3840x2160@60Hz视频环出；支持分辨率包括：1920x1080@60i; 1920x1080@50i，并向下兼容。
支持不少于1路3.5mm音频输入；
支持不少于1路RJ45网口；1路万兆SFP光口；
支持信号满帧采集，画面无卡顿、不丢帧；
支持信号无缝切换，画面切换时间不大于16ms。
支持故障告警提示，当节点出现故障的时，后台可发出告警提示。
3.其它:满足完成此项工作所需要的全部工作内容，满足设计图纸、技术规范书、答疑、招标文件、现行规范、图集、验收等全部要求</t>
  </si>
  <si>
    <t>030506007011</t>
  </si>
  <si>
    <t>视频分布式解码器</t>
  </si>
  <si>
    <t>1.名称:视频分布式解码器
2.采用分布式架构，浅压缩编解码技术，支持通过标准网络交换机实现音视频以及控制信号的传输和交换；
支持视频环出接口，环出画面与原画质一致；
支持 3840x2160@60Hz视频输入、支持3840x2160@60Hz视频环出；支持分辨率包括：1920x1080@60i; 1920x1080@50i，并向下兼容。
支持不少于1路3.5mm音频输入；
支持不少于1路RJ45网口；1路万兆SFP光口；
支持信号满帧采集，画面无卡顿、不丢帧；
支持信号无缝切换，画面切换时间不大于16ms。
支持故障告警提示，当节点出现故障的时，后台可发出告警提示。
3.其它:满足完成此项工作所需要的全部工作内容，满足设计图纸、技术规范书、答疑、招标文件、现行规范、图集、验收等全部要求</t>
  </si>
  <si>
    <t>030506001017</t>
  </si>
  <si>
    <t>分布式控制主机（8#楼会议共用）</t>
  </si>
  <si>
    <t>1.名称:分布式控制主机（8#楼会议共用）
2.支持对分布式系统进行整体配置管理及控制，客户端软件界面及操作方式可根据用户需求定制；
支持本地信号、远程信号、多媒体文件等全媒体信号上屏或切换信号。
支持对所有输入信号以及大屏显示画面进行实时预监。
支持设置用户权限级别。
支持编解码器布局模式设置。
3.其它:满足完成此项工作所需要的全部工作内容，满足设计图纸、技术规范书、答疑、招标文件、现行规范、图集、验收等全部要求</t>
  </si>
  <si>
    <t>030501012007</t>
  </si>
  <si>
    <t>视频分布式交换机</t>
  </si>
  <si>
    <t>1.名称：视频分布式交换机
2.48个10/100/1000Base-T以太网端口 , 4个万兆SFP+
可插拔双电源.支持交流或直流供电,默认配置-个500W AC电源或650W DC电源
支持PoE+
交换容量: 336Gbps/3 024Tbps
包转发率: 132Mpps
支持组播功能
3.其它:满足完成此项工作所需要的全部工作内容，包括设计图纸、技术规范书、答疑、招标文件、现行规范、图集、验收等全部要求</t>
  </si>
  <si>
    <t>030501012008</t>
  </si>
  <si>
    <t>核心交换机</t>
  </si>
  <si>
    <t>1.名称:核心交换机
2.技术参数:不少于24SFP，2个2端口40GE QSFP+光接口板卡，配置双电源、双风扇。
交换容量不低于：2.56Tbps，包转率不低于：1080Mpps。满配光模块。
组播功能支持支持 PIM-DM、PIM-SM、PIM-SSM、组播静态路由；支持组播策略；IPV4组播表项≥16K。
支持2层组播转发条数不小于3000。
支持3层组播转发条数不小于3000。
3.其它:满足完成此项工作所需要的全部工作内容，包括设计图纸、技术规范书、答疑、招标文件、现行规范、图集、验收等全部要求</t>
  </si>
  <si>
    <t>030506001018</t>
  </si>
  <si>
    <t>视频会议主机</t>
  </si>
  <si>
    <t>1.名称:视频会议主机
2.分体式设备，嵌入式系统。
支持ITU-T H.323 和SIP协议同时在线，实现多媒体音视频通讯。
符合ITU H.265、H.264 HP、H.264 BP等标准；音频编码要求支持ITU-T G.711、G.722、G.722.1C、G.729A、AAC-LD、Opus等标准协议，音频质量要求能够达到≥20KHz立体声效果。图像格式具有4K30fps、1080P60fps、1080P30fps、720P60 fps、720P30fps等格式。
具备不少于3个高清视频输入接口，不少于3个高清视频输出接口；支持在三个显示设备上分别输出远端图像、本端图像、双流。
3.其它:满足完成此项工作所需要的全部工作内容，满足设计图纸、技术规范书、答疑、招标文件、现行规范、图集、验收等全部要求</t>
  </si>
  <si>
    <t>030507008015</t>
  </si>
  <si>
    <t>高清摄像机（全景）</t>
  </si>
  <si>
    <t>1.名称:高清摄像机（全景）
2.成像元器件不小于1/2.5英寸 CMOS或MOS，传感器有效像素不低于 840万像素。
最大广角（水平视角）≥70度 。
视频输出支持：2160/29.97P并兼容1080/59.94P、1080/50P 。
光学变焦不小于20倍，4K模式下不小于28倍变焦。
支持HDMI或USB 或3G-SDI视频输出接口。
摄像机支持RS422和IP控制方式。
3.其它:满足完成此项工作所需要的全部工作内容，满足设计图纸、技术规范书、答疑、招标文件、现行规范、图集、验收等全部要求</t>
  </si>
  <si>
    <t>030507008016</t>
  </si>
  <si>
    <t>高清摄像机（特写）</t>
  </si>
  <si>
    <t>1.名称:高清摄像机（特写）
2.成像元器件不小于1/2.5英寸CMOS或MOS，传感器有效像素不低于 840万像素 ,水平分辨率：≥1500TV线。
最大广角（水平视角）≥70度。
视频输出支持2160/29.97p、2160/25p并兼容1080/59.94p、1080/50p。
4K支持不小于28倍变焦、1080P支持不小于36倍光学变焦，最高支持80倍变焦。
支持3G-SDI、HDMI同时输出不同格式视频信号。 
具有自动追踪功能，可自动保持人物居中，并自动变焦，自动追踪功能应为本机硬件支持功能，不依赖外部软件即可实现，并支持控制器或第三方控制设备远程开启和关闭。
支持RS422和IP控制接口，并可同时控制使用。
3.其它:满足完成此项工作所需要的全部工作内容，满足设计图纸、技术规范书、答疑、招标文件、现行规范、图集、验收等全部要求</t>
  </si>
  <si>
    <t>030507008017</t>
  </si>
  <si>
    <t>摄像机安装架</t>
  </si>
  <si>
    <t>1.名称:摄像机安装架
2.安装方式:壁装支架
3.其它:满足完成此项工作所需要的全部工作内容，包括设计图纸、技术规范书、答疑、招标文件、现行规范、图集、验收等全部要求</t>
  </si>
  <si>
    <t>030507013003</t>
  </si>
  <si>
    <t>摄像机控制键盘</t>
  </si>
  <si>
    <t>1.名称:摄像机控制键盘
2.技术参数:控制接口支持 RS232\422\IP，支持VISCA协议
摄像机控制数量：不低于112台
控制器数量支持不少于5台。
控制摇杆支持变焦控制，并具有增益和光圈调节旋钮。
3.其它:满足完成此项工作所需要的全部工作内容，包括设计图纸、技术规范书、答疑、招标文件、现行规范、图集、验收等全部要求</t>
  </si>
  <si>
    <t>030501003001</t>
  </si>
  <si>
    <t>录播一体机</t>
  </si>
  <si>
    <t>1.名称:录播一体机
2.具备LED液晶面板，可以显示控制状态，支持前面板一键操作，支持录制的开启、暂停、停止，通过按钮操作查看及设置参数，具备视频录制、视频点播和下载等功能；
视频编码：H.264HP，网络支持DHCP和静态IP两种选择；音频编码：AAC。支持2160P60Hz、1080P60Hz信号的接入，支持选择768kbps/1Mbps/2Mbps/4mbps录制编码速率；
视频接口：≥3路DVI-I输入接口，≥3路SDI输入接口，≥2路HDMI输出接口；其中四路视频输入可SDI、DVI二选一；
支持接入中控系统；支持不少于30个并发用户的直播和点播。
2.其它:满足完成此项工作所需要的全部工作内容，满足设计图纸、技术规范书、答疑、招标文件、现行规范、图集、验收等全部要求</t>
  </si>
  <si>
    <t>030506001019</t>
  </si>
  <si>
    <t>中央控制主机</t>
  </si>
  <si>
    <t>1.名称:中央控制主机
2.技术参数:中控主机不少于2路RS-232/422/485接口、6路RS232接口
8 路红外/单向RS-232接口
8路数字I/O接口
8路弱电继电器接口；
内置不少于2个以太网接口，支持IPv6并可内置网络防火墙
3.其它:满足完成此项工作所需要的全部工作内容，满足设计图纸、技术规范书、答疑、招标文件、现行规范、图集、验收等全部要求</t>
  </si>
  <si>
    <t>030501017004</t>
  </si>
  <si>
    <t>调试和编程</t>
  </si>
  <si>
    <t>1.名称:调试和编程
2.技术参数:根据现场设备及环境定制化软件编程
3.其它:满足完成此项工作所需要的全部工作内容，满足设计图纸、技术规范书、答疑、招标文件、现行规范、图集、验收等全部要求</t>
  </si>
  <si>
    <t>030501002007</t>
  </si>
  <si>
    <t>有线墙面触控屏</t>
  </si>
  <si>
    <t>1.名称:有线墙面触控屏
2.可视区域不低于10英寸；
分辨率不低于1280x800;
不少于1个USB2.0接口，RJ-45以以太网口；
支持POE供电。
3.其它:满足完成此项工作所需要的全部工作内容，满足设计图纸、技术规范书、答疑、招标文件、现行规范、图集、验收等全部要求</t>
  </si>
  <si>
    <t>030501002008</t>
  </si>
  <si>
    <t>无线触摸屏</t>
  </si>
  <si>
    <t>1.名称:无线触摸屏
2.规格:不小于10英寸；
内存不小于32G；
3.其它:满足完成此项工作所需要的全部工作内容，满足设计图纸、技术规范书、答疑、招标文件、现行规范、图集、验收等全部要求</t>
  </si>
  <si>
    <t>030501009006</t>
  </si>
  <si>
    <t>无线AP</t>
  </si>
  <si>
    <t>1.名称:无线AP
2.技术参数:最高传输速率：3000Mbps
频率范围：双频（2.4GHz，5GHz）
网络接口：1个10M/100M/1GE 电口
天线类型：内置智能天线
3.其它:满足完成此项工作所需要的全部工作内容，满足设计图纸、技术规范书、答疑、招标文件、现行规范、图集、验收等全部要求</t>
  </si>
  <si>
    <t>030506001020</t>
  </si>
  <si>
    <t>AC控制器（8#楼会议共用）</t>
  </si>
  <si>
    <t>1.名称:AC控制器（8#楼会议共用）
2.技术参数:不少于8口无线AP控制器
3.其它:满足完成此项工作所需要的全部工作内容，满足设计图纸、技术规范书、答疑、招标文件、现行规范、图集、验收等全部要求</t>
  </si>
  <si>
    <t>030501012009</t>
  </si>
  <si>
    <t>音频/控制交换机</t>
  </si>
  <si>
    <t>1.名称:音频/控制交换机
2.技术参数:不少于24口千兆POE交换机
3.其它:满足完成此项工作所需要的全部工作内容，包括设计图纸、技术规范书、答疑、招标文件、现行规范、图集、验收等全部要求</t>
  </si>
  <si>
    <t>030404023001</t>
  </si>
  <si>
    <t>强电继电器</t>
  </si>
  <si>
    <t>1.名称：强电继电器
2.技术参数:控制方式：RS232/RS485/干触点或手动；
额定功率：提供250VAC/15A的常开/常闭触。
3.其它:满足完成此项工作所需要的全部工作内容，包括设计图纸、技术规范书、答疑、招标文件、现行规范、图集、验收等全部要求</t>
  </si>
  <si>
    <t>030502001013</t>
  </si>
  <si>
    <t>设备机柜</t>
  </si>
  <si>
    <t>1.名称:设备机柜
2.技术参数:设备机柜，尺寸不小于宽600mmx深600mmx高2000mm
3.安装方式:落地安装
4.其它:满足完成此项工作所需要的全部工作内容，包括设计图纸、技术规范书、答疑、招标文件、现行规范、图集、验收等全部要求</t>
  </si>
  <si>
    <t>030506001021</t>
  </si>
  <si>
    <t>电源时序器</t>
  </si>
  <si>
    <t>1.名称:电源时序器
2.技术参数:8路时序设备电源；
输入电流不低于30A，输出电流:10A；
支持RS232/RS485/网络控制接口。
3.其它:满足完成此项工作所需要的全部工作内容，满足设计图纸、技术规范书、答疑、招标文件、现行规范、图集、验收等全部要求</t>
  </si>
  <si>
    <t>030404035022</t>
  </si>
  <si>
    <t>多媒体插座</t>
  </si>
  <si>
    <t>1.名称：多媒体插座
2.规格：包含音频、视频、网络、电源接口
3.其它:满足完成此项工作所需要的全部工作内容，满足设计图纸、技术规范书、答疑、招标文件、现行规范、图集、验收等全部要求</t>
  </si>
  <si>
    <t>030506001022</t>
  </si>
  <si>
    <t>主扩声柱形扬声器</t>
  </si>
  <si>
    <t>1.名称:主扩声柱形扬声器
2.规格:最大声压级不小于128dB SPL；
驱动单元不少于12个，单元尺寸不小于3英寸；
频率响应不劣于100Hz-20KHz（±3dB）；
覆盖角度不低于100°Hx20°V；
包含支架
3.其它:满足完成此项工作所需要的全部工作内容，包括设计图纸、技术规范书、答疑、招标文件、现行规范、图集、验收等全部要求</t>
  </si>
  <si>
    <t>030506001023</t>
  </si>
  <si>
    <t>功率放大器（主扩）</t>
  </si>
  <si>
    <t>1.名称:功率放大器（主扩）
2.技术参数:2通道D类功率放大器
频率响应：20Hz-20KHz（±1dB）；
内置扬声器调节所需DSP，包括延时、均衡器（升余弦、自定义FIR、参量IIR：峰值、高/低搁架）、全通、带通、带阻、高/低通、分频、限幅等模块；
功率满足扬声器1.5倍余量。
3.其它:满足完成此项工作所需要的全部工作内容，满足设计图纸、技术规范书、答疑、招标文件、现行规范、图集、验收等全部要求</t>
  </si>
  <si>
    <t>030506001024</t>
  </si>
  <si>
    <t>1.名称:数字音频处理器（DANTE)
2.技术参数:通道数量：通道数量：≥12个通道话筒/线路输入，≥8个通道线路输出；                                             
控制端口：支持≥8个GPIO通道和1个通用串口RS232；
网络端口：≥2个千兆网口，≥32路Dante传输；
AEC通道≥4路；
3.其它:满足完成此项工作所需要的全部工作内容，满足设计图纸、技术规范书、答疑、招标文件、现行规范、图集、验收等全部要求</t>
  </si>
  <si>
    <t>030506001025</t>
  </si>
  <si>
    <t>030506001026</t>
  </si>
  <si>
    <t>030506001027</t>
  </si>
  <si>
    <t>电子桌牌</t>
  </si>
  <si>
    <t>1.名称:电子桌牌
2.技术参数:屏幕不小于7.5寸三色电子墨水屏；
分辨率不低于800*480 
支持通过电脑上传EXCEL名单,通过蓝牙将信息推送到屏幕；
支持显示参会人员名字、职务，单位、会议主题等信息；
支持手机蓝牙/NFC传图功能；
3.其它:满足完成此项工作所需要的全部工作内容，满足设计图纸、技术规范书、答疑、招标文件、现行规范、图集、验收等全部要求</t>
  </si>
  <si>
    <t>030506007012</t>
  </si>
  <si>
    <t>98寸显示屏</t>
  </si>
  <si>
    <t>1.名称:98寸显示屏
2.技术参数：小于98英寸
分辨率不小于3840*2160
HDMI接口不少于2个，USB接口不少于2个，RJ45接口不少于1个；
含显示屏壁挂安装架
3.其它:满足完成此项工作所需要的全部工作内容，满足设计图纸、技术规范书、答疑、招标文件、现行规范、图集、验收等全部要求</t>
  </si>
  <si>
    <t>030506007013</t>
  </si>
  <si>
    <t>86寸显示屏</t>
  </si>
  <si>
    <t>1.名称:86寸显示屏
2.技术参数：显示尺寸不小于85英寸
分辨率不小于3840*2160
HDMI接口不少于2个，USB接口不少于2个，RJ45接口不少于1个；
含显示屏壁挂安装架
3.其它:满足完成此项工作所需要的全部工作内容，满足设计图纸、技术规范书、答疑、招标文件、现行规范、图集、验收等全部要求</t>
  </si>
  <si>
    <t>030506007014</t>
  </si>
  <si>
    <t>65寸协作一体机</t>
  </si>
  <si>
    <t>1.名称:65寸协作一体机
2.技术参数：65英寸触控一体机
内置OPS电脑，支持Window/安卓系统
物理分辨率不小于3840*2160
中心亮度(含表面玻璃) ≥400 cd/m2
红外触摸屏
支持20点同时触控，支持10笔书写
内置不低于4000万像素摄像头，阵列麦克风
支持无线投屏功能
含一体机流动安装架
3.其它:满足完成此项工作所需要的全部工作内容，满足设计图纸、技术规范书、答疑、招标文件、现行规范、图集、验收等全部要求</t>
  </si>
  <si>
    <t>030506007015</t>
  </si>
  <si>
    <t>030506007016</t>
  </si>
  <si>
    <t>030506007017</t>
  </si>
  <si>
    <t>030501012010</t>
  </si>
  <si>
    <t>030506001028</t>
  </si>
  <si>
    <t>030507008018</t>
  </si>
  <si>
    <t>高清摄像机</t>
  </si>
  <si>
    <t>1.名称:高清摄像机
2.成像元器件不小于1/2.5英寸 CMOS或MOS，传感器有效像素不低于 840万像素。
最大广角（水平视角）≥70度 。
视频输出支持：2160/29.97P并兼容1080/59.94P、1080/50P 。
光学变焦不小于20倍，4K模式下不小于28倍变焦。
支持HDMI或USB 或3G-SDI视频输出接口。
摄像机支持RS422和IP控制方式。
配套支架
3.其它:满足完成此项工作所需要的全部工作内容，满足设计图纸、技术规范书、答疑、招标文件、现行规范、图集、验收等全部要求</t>
  </si>
  <si>
    <t>030506001029</t>
  </si>
  <si>
    <t>030501017005</t>
  </si>
  <si>
    <t>030501002009</t>
  </si>
  <si>
    <t>030501002010</t>
  </si>
  <si>
    <t>030501009007</t>
  </si>
  <si>
    <t>030501012011</t>
  </si>
  <si>
    <t>1.名称:音频/控制交换机
2.技术参数:不少于16口千兆POE交换机
3.其它:满足完成此项工作所需要的全部工作内容，包括设计图纸、技术规范书、答疑、招标文件、现行规范、图集、验收等全部要求</t>
  </si>
  <si>
    <t>030404023002</t>
  </si>
  <si>
    <t>030502001014</t>
  </si>
  <si>
    <t>030506001030</t>
  </si>
  <si>
    <t>030404035023</t>
  </si>
  <si>
    <t>030506007018</t>
  </si>
  <si>
    <t>86寸协作一体机</t>
  </si>
  <si>
    <t>1.名称:86寸协作一体机
2.技术参数：86英寸触控一体机
内置OPS电脑，支持Window/安卓系统
物理分辨率不小于3840*2160
中心亮度(含表面玻璃) ≥400 cd/m2
红外触摸屏
支持20点同时触控，支持10笔书写
内置不低于4000万像素摄像头，阵列麦克风
支持无线投屏功能
含一体机安装架
3.其它:满足完成此项工作所需要的全部工作内容，满足设计图纸、技术规范书、答疑、招标文件、现行规范、图集、验收等全部要求</t>
  </si>
  <si>
    <t>030404035024</t>
  </si>
  <si>
    <t>030506001031</t>
  </si>
  <si>
    <t>1.名称:有源可调指向性音柱（含安装架）
2.驱动单元：不少于16个，低频单元尺寸不小于3英寸；
每个驱动单元拥有独立通道的功率放大器与DSP处理通道；
水平覆盖角度：不低于120°；
音束垂直覆盖角度：数字可调；
支持多波束覆盖，波束不少于2个；
最大声压级：不小于138dB；
可选多种音频输入：具备Dante接入；含有源可调指向性音柱配套安装架
3.其它:满足完成此项工作所需要的全部工作内容，包括设计图纸、技术规范书、答疑、招标文件、现行规范、图集、验收等全部要求</t>
  </si>
  <si>
    <t>030506001032</t>
  </si>
  <si>
    <t>1.名称:超低音扬声器
2.技术参数：双18"超低音扬声器
最大声压级≥132dB；
驱动单元不小于2个18英寸低频单元
频率响应不劣于35Hz-140Hz；
功率不小于800W；
3.其它:满足完成此项工作所需要的全部工作内容，包括设计图纸、技术规范书、答疑、招标文件、现行规范、图集、验收等全部要求</t>
  </si>
  <si>
    <t>030506001033</t>
  </si>
  <si>
    <t>1.名称:流动返听扬声器
2.技术参数：12"返听扬声器
最大声压级≥132dB；
驱动单元不小于1个12英寸低频单元和1个高频单元;
频率响应不劣于75Hz-20KHz；
覆盖角度不小于70°  ；
功率不小于400W；
3.其它:满足完成此项工作所需要的全部工作内容，包括设计图纸、技术规范书、答疑、招标文件、现行规范、图集、验收等全部要求</t>
  </si>
  <si>
    <t>030506001034</t>
  </si>
  <si>
    <t>台唇扬声器</t>
  </si>
  <si>
    <t>1.名称:台唇扬声器
2.技术参数：8"台唇扬声器
最大声压级≥120dB；
驱动单元不小于1个8英寸低频单元和1个高频单元;
频率响应不劣于75Hz-20KHz；
覆盖角度不小于90°  ；
功率不小于150W；
3.其它:满足完成此项工作所需要的全部工作内容，包括设计图纸、技术规范书、答疑、招标文件、现行规范、图集、验收等全部要求</t>
  </si>
  <si>
    <t>030506001035</t>
  </si>
  <si>
    <t>1.名称:吸顶扬声器
2.技术参数：最大声压级≥110dB；
驱动单元不小于1个6.5英寸低频单元和1个高频单元;
频率响应不劣于60Hz-20KHz (+/-3dB)；
覆盖角度不小于100°
支持70V/100V定压定阻可调；
功率不劣于30W；
3.其它:满足完成此项工作所需要的全部工作内容，包括设计图纸、技术规范书、答疑、招标文件、现行规范、图集、验收等全部要求</t>
  </si>
  <si>
    <t>030506001036</t>
  </si>
  <si>
    <t>1.名称:功率放大器（超低）
2.技术参数：2通道D类功率放大器
频率响应：20Hz-20KHz（±1dB）；
内置扬声器调节所需DSP，包括延时、均衡器（升余弦、自定义FIR、参量IIR：峰值、高/低搁架）、全通、带通、带阻、高/低通、分频、限幅等模块；
功率满足扬声器1.5倍余量。
3.其它:满足完成此项工作所需要的全部工作内容，满足设计图纸、技术规范书、答疑、招标文件、现行规范、图集、验收等全部要求</t>
  </si>
  <si>
    <t>030506001037</t>
  </si>
  <si>
    <t>1.名称:功率放大器（返听）
2.技术参数：4通道D类功率放大器
频率响应：20Hz-20KHz（±1dB）；
内置扬声器调节所需DSP，包括延时、均衡器（升余弦、自定义FIR、参量IIR：峰值、高/低搁架）、全通、带通、带阻、高/低通、分频、限幅等模块；
功率满足扬声器1.5倍余量。
3.其它:满足完成此项工作所需要的全部工作内容，满足设计图纸、技术规范书、答疑、招标文件、现行规范、图集、验收等全部要求</t>
  </si>
  <si>
    <t>030506001038</t>
  </si>
  <si>
    <t>功率放大器（台唇）</t>
  </si>
  <si>
    <t>1.名称:功率放大器（台唇）
2.技术参数：4通道D类功率放大器
频率响应：20Hz-20KHz（±1dB）；
内置扬声器调节所需DSP，包括延时、均衡器（升余弦、自定义FIR、参量IIR：峰值、高/低搁架）、全通、带通、带阻、高/低通、分频、限幅等模块；
功率满足扬声器1.5倍余量。
3.其它:满足完成此项工作所需要的全部工作内容，满足设计图纸、技术规范书、答疑、招标文件、现行规范、图集、验收等全部要求</t>
  </si>
  <si>
    <t>030506001039</t>
  </si>
  <si>
    <t>1.名称:功率放大器（吸顶）
2.技术参数：4通道D类功率放大器
频率响应：20Hz-20KHz（±1dB）；
内置扬声器调节所需DSP，包括延时、均衡器（升余弦、自定义FIR、参量IIR：峰值、高/低搁架）、全通、带通、带阻、高/低通、分频、限幅等模块；
功率满足扬声器1.5倍余量。
3.其它:满足完成此项工作所需要的全部工作内容，满足设计图纸、技术规范书、答疑、招标文件、现行规范、图集、验收等全部要求</t>
  </si>
  <si>
    <t>030506001040</t>
  </si>
  <si>
    <t>1.名称:音频处理器
2.技术参数:通道数量：≥12个通道话筒/线路输入，≥8个通道线路输出；                                             
控制端口：支持≥8个GPIO通道和1个通用串口RS232；
网络端口：≥2个千兆网口，≥32路Dante传输；
AEC通道≥4路；
3.其它:满足完成此项工作所需要的全部工作内容，满足设计图纸、技术规范书、答疑、招标文件、现行规范、图集、验收等全部要求</t>
  </si>
  <si>
    <t>030506001041</t>
  </si>
  <si>
    <t>数字音频输出扩展机（DANTE)</t>
  </si>
  <si>
    <t>1.名称:数字音频输出扩展机（DANTE)
2.技术参数:标准网络Dante协议；
不低于12路音频输出接口；
3.其它:满足完成此项工作所需要的全部工作内容，满足设计图纸、技术规范书、答疑、招标文件、现行规范、图集、验收等全部要求</t>
  </si>
  <si>
    <t>030506001042</t>
  </si>
  <si>
    <t>1.名称:数字调音台（含DANTE卡）
2.技术参数:不少于48路全处理输入；
不少于24个马达推子；
不少于24路输入通道；
不少于16路输出通道；
不少于1个触摸屏；
采样率≥48kHz；
内置Dante卡，Dante网络传输协议支持64路双向音频传输，通过CAT5控制 ，千兆网络端口。
3.其它:满足完成此项工作所需要的全部工作内容，满足设计图纸、技术规范书、答疑、招标文件、现行规范、图集、验收等全部要求</t>
  </si>
  <si>
    <t>030503004016</t>
  </si>
  <si>
    <t>030506001043</t>
  </si>
  <si>
    <t>030506001044</t>
  </si>
  <si>
    <t>030506001045</t>
  </si>
  <si>
    <t>无线头戴话筒</t>
  </si>
  <si>
    <t>1.名称:无线头戴话筒
2.技术参数:
具备频率备份功能，支持跳频到备用频率
工作带宽：≥60MHz
配置心型指向头戴话筒
发射功率：≥30mW
电池：支持AA电池和充电底座
同无线话筒接收机品牌，配套使用即可
3.其它:满足完成此项工作所需要的全部工作内容，满足设计图纸、技术规范书、答疑、招标文件、现行规范、图集、验收等全部要求</t>
  </si>
  <si>
    <t>030506001046</t>
  </si>
  <si>
    <t>1.名称:无线领夹话筒
2.技术参数：具备频率备份功能，支持跳频到备用频率
工作带宽：≥60MHz
配置单指向微型领夹话筒
发射功率：≥30mW
电池：支持AA电池和充电底座
同无线话筒接收机品牌，配套使用即可
2.其它:满足完成此项工作所需要的全部工作内容，满足设计图纸、技术规范书、答疑、招标文件、现行规范、图集、验收等全部要求</t>
  </si>
  <si>
    <t>030506001047</t>
  </si>
  <si>
    <t>031102001002</t>
  </si>
  <si>
    <t>030505013004</t>
  </si>
  <si>
    <t>030506001048</t>
  </si>
  <si>
    <t>030506001049</t>
  </si>
  <si>
    <t>030506001050</t>
  </si>
  <si>
    <t>030506007019</t>
  </si>
  <si>
    <t>LED显示屏（主屏）</t>
  </si>
  <si>
    <t>1.名称：LED显示屏
2.规格：像素间距：≤0.94mm LED显示屏，彩色，P0.9,15.54m宽4.18m高，双16:9比例，刷新频率：≥3840Hz，最大对比度：≥ 12000:1，显示单元平整
屏幕亮度：≥600nit
灯珠：COB倒装技术，压铸铝箱体含成套配电柜和支架、视频拼接处理器
水平视角：≥160°，垂直视角：≥160°，平均无故障时间：≥100,000 小时，LED屏幕表面采用电喷技术,无塑胶类结构件，显示屏对比度高，具备防蓝光功能。
3.其它:满足完成此项工作所需要的全部工作内容，满足设计图纸、技术规范书、答疑、招标文件、现行规范、图集、验收等全部要求</t>
  </si>
  <si>
    <t>030506007020</t>
  </si>
  <si>
    <t>1.名称：接收系统
2.技术参数：包含图像发送端、接收端、控制电脑以及信号线缆，投标人依据所投产品技术特点包干考虑。
3.其它:满足完成此项工作所需要的全部工作内容，满足设计图纸、技术规范书、答疑、招标文件、现行规范、图集、验收等全部要求</t>
  </si>
  <si>
    <t>080904002003</t>
  </si>
  <si>
    <t>030506007021</t>
  </si>
  <si>
    <t>顶部软模组LED透明屏1</t>
  </si>
  <si>
    <t>1.名称：顶部软模组LED透明屏1
2.规格：像素间距：≤3.91*3.91mm，彩色，约40m宽0.5m高，刷新频率：≥3840Hz，平整度模块间拼缝&lt;0.1mm；
屏幕亮度：≥1000nit
灯珠：SMD2121，恒流驱动
含成套配电柜和支架、视频拼接处理器
水平视角：≥140°，垂直视角：≥140°，平均无故障时间：≥100,000 小时，支持贴装、吊装、弯曲安装。
3.其它:满足完成此项工作所需要的全部工作内容，满足设计图纸、技术规范书、答疑、招标文件、现行规范、图集、验收等全部要求</t>
  </si>
  <si>
    <t>030506007022</t>
  </si>
  <si>
    <t>顶部软模组LED透明屏2</t>
  </si>
  <si>
    <t>1.名称：顶部软模组LED透明屏2
2.规格：像素间距：≤3.91*3.91mm，彩色，约44m宽0.5m高，刷新频率：≥3840Hz，平整度模块间拼缝&lt;0.1mm；
屏幕亮度：≥1000nit
灯珠：SMD2121，恒流驱动
含成套配电柜和支架、视频拼接处理器
水平视角：≥140°，垂直视角：≥140°，平均无故障时间：≥100,000 小时，支持贴装、吊装、弯曲安装。
3.其它:满足完成此项工作所需要的全部工作内容，满足设计图纸、技术规范书、答疑、招标文件、现行规范、图集、验收等全部要求</t>
  </si>
  <si>
    <t>030506007023</t>
  </si>
  <si>
    <t>顶部软模组LED透明屏3</t>
  </si>
  <si>
    <t>1.名称：顶部软模组LED透明屏3
2.规格：像素间距：≤3.91*3.91mm，彩色，约44m宽0.5m高，刷新频率：≥3840Hz，平整度模块间拼缝&lt;0.1mm；
屏幕亮度：≥1000nit
灯珠：SMD2121，恒流驱动
含成套配电柜和支架、视频拼接处理器
水平视角：≥140°，垂直视角：≥140°，平均无故障时间：≥100,000 小时，支持贴装、吊装、弯曲安装。
3.其它:满足完成此项工作所需要的全部工作内容，满足设计图纸、技术规范书、答疑、招标文件、现行规范、图集、验收等全部要求</t>
  </si>
  <si>
    <t>030506007024</t>
  </si>
  <si>
    <t>1.名称:控制室监视器
2.屏幕尺寸不小于27英寸
屏幕比例：16:9，面板：IPS技术；
接口：具备DP或HDM接口
3.其它:满足完成此项工作所需要的全部工作内容，满足设计图纸、技术规范书、答疑、招标文件、现行规范、图集、验收等全部要求</t>
  </si>
  <si>
    <t>030506007025</t>
  </si>
  <si>
    <t>030412004040</t>
  </si>
  <si>
    <t>电动静音LED聚光灯（面光一）</t>
  </si>
  <si>
    <t>1.名称：电动静音LED聚光灯（面光一）
2.技术参数：功耗：≥250W，光源：≥230W COB集成灯珠 ，色温：3200K+5600K(双色温)，出光角度：≥12-50° 电子变焦，发光角度≥120°，显色指数：Ra≥96，协议：DMX512协议，支持RDM功能，控制方式：DMX512/单机模式/主从模式。
3.其它:满足完成此项工作所需要的全部工作内容，包括设计图纸、技术规范书、答疑、招标文件、现行规范、图集、验收等全部要求</t>
  </si>
  <si>
    <t>030412004041</t>
  </si>
  <si>
    <t>电动静音LED聚光灯（面光二）</t>
  </si>
  <si>
    <t>1.名称：电动静音LED聚光灯（面光二）
2.技术参数：功耗：≥250W，光源：≥230W COB集成灯珠 ，色温：3200K+5600K(双色温)，出光角度：≥12-50° 电子变焦，发光角度≥120°，显色指数：Ra≥96，协议：DMX512协议，支持RDM功能，控制方式：DMX512/单机模式/主从模式。
3.其它:满足完成此项工作所需要的全部工作内容，包括设计图纸、技术规范书、答疑、招标文件、现行规范、图集、验收等全部要求</t>
  </si>
  <si>
    <t>030506001051</t>
  </si>
  <si>
    <t>灯光控制台</t>
  </si>
  <si>
    <t>1.名称:灯光控制台
2.技术参数：1）≥8个标准DMX512输出端口，
2）10个宏功能按键，可编辑任何程序，不少于20 个重放推杆，支持1000 个虚拟程序重放，具有属性控制窗口；
3）不低于酷睿双核处理器，128G 固态硬盘，4G 内存；
4）内置不间断UPS电源，可意外断电保护，防止数据丢失。
3.其它:满足完成此项工作所需要的全部工作内容，满足设计图纸、技术规范书、答疑、招标文件、现行规范、图集、验收等全部要求</t>
  </si>
  <si>
    <t>030404017094</t>
  </si>
  <si>
    <t>电源直通柜</t>
  </si>
  <si>
    <t>1.名称:电源直通柜
2.技术参数：.电压输入：AC380V±10％,50Hz±5％；
额定功率 :≥12路×4KW；
简洁明朗的数显直读式电压表，可实时查看设备电压使用情况。
3.其它:满足完成此项工作所需要的全部工作内容，满足设计图纸、技术规范书、答疑、招标文件、现行规范、图集、验收等全部要求</t>
  </si>
  <si>
    <t>030506001052</t>
  </si>
  <si>
    <t>DMX信号放大器</t>
  </si>
  <si>
    <t>1.名称:DMX信号放大器
2.技术参数：.1路DMX512数码输入，8路DMX512独立放大驱动输出。
输入/输出每路都采用独立的变压器供电及独立的8个光电隔离信号放大来扩大DMX信号输入/输出。
3.其它:满足完成此项工作所需要的全部工作内容，满足设计图纸、技术规范书、答疑、招标文件、现行规范、图集、验收等全部要求</t>
  </si>
  <si>
    <t>030412007001</t>
  </si>
  <si>
    <t>弧形灯杆</t>
  </si>
  <si>
    <t>1.名称:弧形灯杆
2.技术参数：.Ф50热镀锌厚壁钢管，刷防腐漆
承重（含自重）不少于300kg且满足灯具载重要求
长度满足现场安装条件
3.其它:满足完成此项工作所需要的全部工作内容，满足设计图纸、技术规范书、答疑、招标文件、现行规范、图集、验收等全部要求</t>
  </si>
  <si>
    <t>030506007026</t>
  </si>
  <si>
    <t>030506007027</t>
  </si>
  <si>
    <t>030506001053</t>
  </si>
  <si>
    <t>分布式控制主机（15#楼会议共用）</t>
  </si>
  <si>
    <t>1.名称:分布式控制主机（15#楼会议共用）
2.支持对分布式系统进行整体配置管理及控制，客户端软件界面及操作方式可根据用户需求定制；
支持本地信号、远程信号、多媒体文件等全媒体信号上屏或切换信号。
支持对所有输入信号以及大屏显示画面进行实时预监。
支持设置用户权限级别。
支持编解码器布局模式设置。
3.其它:满足完成此项工作所需要的全部工作内容，满足设计图纸、技术规范书、答疑、招标文件、现行规范、图集、验收等全部要求</t>
  </si>
  <si>
    <t>030501012012</t>
  </si>
  <si>
    <t>030501012013</t>
  </si>
  <si>
    <t>1.名称:核心交换机
2.技术参数:不少于48SFP，2个2端口40GE QSFP+光接口板卡，配置双电源、双风扇。
交换容量不低于：2.56Tbps，包转率不低于：1080Mpps。满配光模块。
组播功能支持支持 PIM-DM、PIM-SM、PIM-SSM、组播静态路由；支持组播策略；IPV4组播表项≥16K。
支持2层组播转发条数不小于3000。
支持3层组播转发条数不小于3000。
3.其它:满足完成此项工作所需要的全部工作内容，包括设计图纸、技术规范书、答疑、招标文件、现行规范、图集、验收等全部要求</t>
  </si>
  <si>
    <t>030506001054</t>
  </si>
  <si>
    <t>1.名称:视频会议主机
2.技术参数：分体式设备，嵌入式系统。
支持ITU-T H.323 和SIP协议同时在线，实现多媒体音视频通讯。
符合ITU H.265、H.264 HP、H.264 BP等标准；音频编码要求支持ITU-T G.711、G.722、G.722.1C、G.729A、AAC-LD、Opus等标准协议，音频质量要求能够达到≥20KHz立体声效果。图像格式具有4K30fps、1080P60fps、1080P30fps、720P60 fps、720P30fps等格式。
具备不少于3个高清视频输入接口，不少于3个高清视频输出接口；支持在三个显示设备上分别输出远端图像、本端图像、双流。
3.其它:满足完成此项工作所需要的全部工作内容，满足设计图纸、技术规范书、答疑、招标文件、现行规范、图集、验收等全部要求</t>
  </si>
  <si>
    <t>030507008019</t>
  </si>
  <si>
    <t>030507008020</t>
  </si>
  <si>
    <t>030507008021</t>
  </si>
  <si>
    <t>030507013004</t>
  </si>
  <si>
    <t>030501003002</t>
  </si>
  <si>
    <t>030506001055</t>
  </si>
  <si>
    <t>030501017006</t>
  </si>
  <si>
    <t>030501002011</t>
  </si>
  <si>
    <t>030501002012</t>
  </si>
  <si>
    <t>030501009008</t>
  </si>
  <si>
    <t>030506001056</t>
  </si>
  <si>
    <t>AC控制器（15#楼会议共用）</t>
  </si>
  <si>
    <t>1.名称:AC控制器（15#楼会议共用）
2.技术参数:不少于8口无线AP控制器
3.其它:满足完成此项工作所需要的全部工作内容，满足设计图纸、技术规范书、答疑、招标文件、现行规范、图集、验收等全部要求</t>
  </si>
  <si>
    <t>030501012014</t>
  </si>
  <si>
    <t>030404023003</t>
  </si>
  <si>
    <t>030502001015</t>
  </si>
  <si>
    <t>030506001057</t>
  </si>
  <si>
    <t>030404035025</t>
  </si>
  <si>
    <t>030506001058</t>
  </si>
  <si>
    <t>1.名称:主扩声柱形扬声器
2.规格:最大声压级不小于128dB SPL；
驱动单元不少于12个，单元尺寸不小于3英寸；
频率响应不劣于100Hz-20KHz（±3dB）；
覆盖角度不低于100°Hx20°V；
3.其它:满足完成此项工作所需要的全部工作内容，包括设计图纸、技术规范书、答疑、招标文件、现行规范、图集、验收等全部要求</t>
  </si>
  <si>
    <t>030506001059</t>
  </si>
  <si>
    <t>030506001060</t>
  </si>
  <si>
    <t>030506001061</t>
  </si>
  <si>
    <t>1.名称:功率放大器（吸顶）
2.技术参数:2通道D类功率放大器
频率响应：20Hz-20KHz（±1dB）；
内置扬声器调节所需DSP，包括延时、均衡器（升余弦、自定义FIR、参量IIR：峰值、高/低搁架）、全通、带通、带阻、高/低通、分频、限幅等模块；
功率满足扬声器1.5倍余量。
3.其它:满足完成此项工作所需要的全部工作内容，满足设计图纸、技术规范书、答疑、招标文件、现行规范、图集、验收等全部要求</t>
  </si>
  <si>
    <t>030506001062</t>
  </si>
  <si>
    <t>030506001063</t>
  </si>
  <si>
    <t>030506001064</t>
  </si>
  <si>
    <t>030506001065</t>
  </si>
  <si>
    <t>030506001066</t>
  </si>
  <si>
    <t>030506001067</t>
  </si>
  <si>
    <t>031102001003</t>
  </si>
  <si>
    <t>030505013005</t>
  </si>
  <si>
    <t>030506001068</t>
  </si>
  <si>
    <t>030506007028</t>
  </si>
  <si>
    <t>1.名称：LED显示屏
2.规格：像素间距：0.9mm LED显示屏，彩色，3.6m宽2m高，标准16:9比例，刷新频率：≥3840Hz，最大对比度：≥ 12000:1，显示单元平整
屏幕亮度：≥600nit
灯珠：SMD封装技术含成套配电柜和支架、视频拼接处理器
水平视角：≥160°，垂直视角：≥160°，平均无故障时间：≥100,000 小时，LED屏幕表面采用电喷技术,无塑胶类结构件，显示屏对比度高，具备防蓝光功能。
3.其它:满足完成此项工作所需要的全部工作内容，满足设计图纸、技术规范书、答疑、招标文件、现行规范、图集、验收等全部要求</t>
  </si>
  <si>
    <t>030506007029</t>
  </si>
  <si>
    <t>080904002004</t>
  </si>
  <si>
    <t>030506007030</t>
  </si>
  <si>
    <t>1.名称:98寸协作一体机
2.技术参数：98英寸触控一体机
内置OPS电脑，支持Window/安卓系统
物理分辨率不小于3840*2160
中心亮度(含表面玻璃) ≥400 cd/m2
红外触摸屏
支持20点同时触控，支持10笔书写
内置不低于4000万像素摄像头，阵列麦克风
支持无线投屏功能
含一体机流动安装架
3.其它:满足完成此项工作所需要的全部工作内容，满足设计图纸、技术规范书、答疑、招标文件、现行规范、图集、验收等全部要求</t>
  </si>
  <si>
    <t>030506007031</t>
  </si>
  <si>
    <t>030506007032</t>
  </si>
  <si>
    <t>030506007033</t>
  </si>
  <si>
    <t>030506007034</t>
  </si>
  <si>
    <t>030501012015</t>
  </si>
  <si>
    <t>030506001069</t>
  </si>
  <si>
    <t>030507008022</t>
  </si>
  <si>
    <t>1.名称:高清摄像机
2.成像元器件不小于1/2.5英寸 CMOS或MOS，传感器有效像素不低于 840万像素。
最大广角（水平视角）≥70度 。
视频输出支持：2160/29.97P并兼容1080/59.94P、1080/50P 。
光学变焦不小于20倍，4K模式下不小于28倍变焦。
支持HDMI或USB 或3G-SDI视频输出接口。
摄像机支持RS422和IP控制方式。
3.其它:满足完成此项工作所需要的全部工作内容，满足设计图纸、技术规范书、答疑、招标文件、现行规范、图集、验收等全部要求</t>
  </si>
  <si>
    <t>030507008023</t>
  </si>
  <si>
    <t>030501003003</t>
  </si>
  <si>
    <t>030506001070</t>
  </si>
  <si>
    <t>030501017007</t>
  </si>
  <si>
    <t>030501002013</t>
  </si>
  <si>
    <t>030501002014</t>
  </si>
  <si>
    <t>030501009009</t>
  </si>
  <si>
    <t>030501012016</t>
  </si>
  <si>
    <t>030404023004</t>
  </si>
  <si>
    <t>030502001016</t>
  </si>
  <si>
    <t>030506001071</t>
  </si>
  <si>
    <t>030404035026</t>
  </si>
  <si>
    <t>030506001072</t>
  </si>
  <si>
    <t>030506001073</t>
  </si>
  <si>
    <t>030506001074</t>
  </si>
  <si>
    <t>030506001075</t>
  </si>
  <si>
    <t>030506001076</t>
  </si>
  <si>
    <t>030506001077</t>
  </si>
  <si>
    <t>数字会议系统主机1</t>
  </si>
  <si>
    <t>1.名称:数字会议系统主机1
2.技术参数:每台主机可连接不少于100个有线手拉手单元，有线手拉手链接方式。
内置反馈处理器等组件，可实时监测并处理系统中的啸叫点。
3.其它:满足完成此项工作所需要的全部工作内容，满足设计图纸、技术规范书、答疑、招标文件、现行规范、图集、验收等全部要求</t>
  </si>
  <si>
    <t>030506001078</t>
  </si>
  <si>
    <t>有线会议发言单元1</t>
  </si>
  <si>
    <t>1.名称:有线会议发言单元1
2.技术参数:每个话筒均可独立调节增益控制
手拉手链接方式
指向特性：超心形指向性
频率响应：不劣于 30-20000Hz
开通灵敏度：≥-31dB(28.2mV) 以 1V 于 1 Pa
最高输入音量：≥125dB spl， 1 kHz 于 1% T.H.D.
3.其它:满足完成此项工作所需要的全部工作内容，满足设计图纸、技术规范书、答疑、招标文件、现行规范、图集、验收等全部要求</t>
  </si>
  <si>
    <t>030506001079</t>
  </si>
  <si>
    <t>数字会议系统主机2</t>
  </si>
  <si>
    <t>1.名称:数字会议系统主机2
2.技术参数:每台主机可连接不少于100个有线手拉手单元，有线手拉手链接方式。
内置反馈处理器等组件，可实时监测并处理系统中的啸叫点。
3.其它:满足完成此项工作所需要的全部工作内容，满足设计图纸、技术规范书、答疑、招标文件、现行规范、图集、验收等全部要求</t>
  </si>
  <si>
    <t>030506001080</t>
  </si>
  <si>
    <t>有线会议发言单元2</t>
  </si>
  <si>
    <t>1.名称:有线会议发言单元2
2.技术参数:每个话筒均可独立调节增益控制
手拉手链接方式
指向特性：超心形指向性
频率响应：不劣于 30-20000Hz
开通灵敏度：≥-31dB(28.2mV) 以 1V 于 1 Pa
最高输入音量：≥125dB spl， 1 kHz 于 1% T.H.D.
3.其它:满足完成此项工作所需要的全部工作内容，满足设计图纸、技术规范书、答疑、招标文件、现行规范、图集、验收等全部要求</t>
  </si>
  <si>
    <t>030506001081</t>
  </si>
  <si>
    <t>030506001082</t>
  </si>
  <si>
    <t>030506001083</t>
  </si>
  <si>
    <t>031102001004</t>
  </si>
  <si>
    <t>030505013006</t>
  </si>
  <si>
    <t>030506001084</t>
  </si>
  <si>
    <t>030506007035</t>
  </si>
  <si>
    <t>030506007036</t>
  </si>
  <si>
    <t>030506007037</t>
  </si>
  <si>
    <t>030506007038</t>
  </si>
  <si>
    <t>030506007039</t>
  </si>
  <si>
    <t>030506007040</t>
  </si>
  <si>
    <t>030501012017</t>
  </si>
  <si>
    <t>030506001085</t>
  </si>
  <si>
    <t>030507008024</t>
  </si>
  <si>
    <t>030507008025</t>
  </si>
  <si>
    <t>030506001086</t>
  </si>
  <si>
    <t>030501017008</t>
  </si>
  <si>
    <t>030501002015</t>
  </si>
  <si>
    <t>030501002016</t>
  </si>
  <si>
    <t>030501009010</t>
  </si>
  <si>
    <t>030501012018</t>
  </si>
  <si>
    <t>030404023005</t>
  </si>
  <si>
    <t>030502001017</t>
  </si>
  <si>
    <t>030506001087</t>
  </si>
  <si>
    <t>030404035027</t>
  </si>
  <si>
    <t>030506001088</t>
  </si>
  <si>
    <t>030506001089</t>
  </si>
  <si>
    <t>030506001090</t>
  </si>
  <si>
    <t>030506001091</t>
  </si>
  <si>
    <t>030506001092</t>
  </si>
  <si>
    <t>030506001093</t>
  </si>
  <si>
    <t>030506001094</t>
  </si>
  <si>
    <t>030506001095</t>
  </si>
  <si>
    <t>030506001096</t>
  </si>
  <si>
    <t>030506001097</t>
  </si>
  <si>
    <t>031102001005</t>
  </si>
  <si>
    <t>030505013007</t>
  </si>
  <si>
    <t>030506001098</t>
  </si>
  <si>
    <t>030506007041</t>
  </si>
  <si>
    <t>030506007042</t>
  </si>
  <si>
    <t>030506007043</t>
  </si>
  <si>
    <t>030506007044</t>
  </si>
  <si>
    <t>030506007045</t>
  </si>
  <si>
    <t>030506007046</t>
  </si>
  <si>
    <t>030501012019</t>
  </si>
  <si>
    <t>030506001099</t>
  </si>
  <si>
    <t>030507008026</t>
  </si>
  <si>
    <t>030507008027</t>
  </si>
  <si>
    <t>030506001100</t>
  </si>
  <si>
    <t>030501017009</t>
  </si>
  <si>
    <t>030501002017</t>
  </si>
  <si>
    <t>030501002018</t>
  </si>
  <si>
    <t>030501009011</t>
  </si>
  <si>
    <t>030501012020</t>
  </si>
  <si>
    <t>030404023006</t>
  </si>
  <si>
    <t>030502001018</t>
  </si>
  <si>
    <t>030506001101</t>
  </si>
  <si>
    <t>030404035028</t>
  </si>
  <si>
    <t>030506001102</t>
  </si>
  <si>
    <t>030506001103</t>
  </si>
  <si>
    <t>030506001104</t>
  </si>
  <si>
    <t>030506001105</t>
  </si>
  <si>
    <t>030506001106</t>
  </si>
  <si>
    <t>030506001107</t>
  </si>
  <si>
    <t>030506007047</t>
  </si>
  <si>
    <t>030506007048</t>
  </si>
  <si>
    <t>75寸显示屏</t>
  </si>
  <si>
    <t>1.名称:75寸显示屏
2.技术参数：不小于75英寸
分辨率不小于3840*2160
HDMI接口不少于2个，USB接口不少于2个，RJ45接口不少于1个；
含显示屏壁挂安装架
3.其它:满足完成此项工作所需要的全部工作内容，满足设计图纸、技术规范书、答疑、招标文件、现行规范、图集、验收等全部要求</t>
  </si>
  <si>
    <t>030506007049</t>
  </si>
  <si>
    <t>030506007050</t>
  </si>
  <si>
    <t>030506007051</t>
  </si>
  <si>
    <t>030506007052</t>
  </si>
  <si>
    <t>030501012021</t>
  </si>
  <si>
    <t>030506001108</t>
  </si>
  <si>
    <t>030507008028</t>
  </si>
  <si>
    <t>030507008029</t>
  </si>
  <si>
    <t>030506001109</t>
  </si>
  <si>
    <t>030501017010</t>
  </si>
  <si>
    <t>030501002019</t>
  </si>
  <si>
    <t>030501002020</t>
  </si>
  <si>
    <t>030501009012</t>
  </si>
  <si>
    <t>030501012022</t>
  </si>
  <si>
    <t>030404023007</t>
  </si>
  <si>
    <t>030502001019</t>
  </si>
  <si>
    <t>030506001110</t>
  </si>
  <si>
    <t>030404035029</t>
  </si>
  <si>
    <t>030506001111</t>
  </si>
  <si>
    <t>030506001112</t>
  </si>
  <si>
    <t>030506001113</t>
  </si>
  <si>
    <t>030506001114</t>
  </si>
  <si>
    <t>030506001115</t>
  </si>
  <si>
    <t>030506001116</t>
  </si>
  <si>
    <t>030506007053</t>
  </si>
  <si>
    <t>030506007054</t>
  </si>
  <si>
    <t>030506007055</t>
  </si>
  <si>
    <t>030506007056</t>
  </si>
  <si>
    <t>030506007057</t>
  </si>
  <si>
    <t>030506007058</t>
  </si>
  <si>
    <t>030501012023</t>
  </si>
  <si>
    <t>030506001117</t>
  </si>
  <si>
    <t>030507008030</t>
  </si>
  <si>
    <t>030507008031</t>
  </si>
  <si>
    <t>030506001118</t>
  </si>
  <si>
    <t>030501017011</t>
  </si>
  <si>
    <t>030501002021</t>
  </si>
  <si>
    <t>030501002022</t>
  </si>
  <si>
    <t>030501009013</t>
  </si>
  <si>
    <t>030501012024</t>
  </si>
  <si>
    <t>030404023008</t>
  </si>
  <si>
    <t>030502001020</t>
  </si>
  <si>
    <t>030506001119</t>
  </si>
  <si>
    <t>030404035030</t>
  </si>
  <si>
    <t>030501002023</t>
  </si>
  <si>
    <t>无纸化升降屏</t>
  </si>
  <si>
    <t>1.无纸化升降屏
2.内侧采用不小于17寸触摸电容液晶屏；
液晶屏分辨率不小于1920*1080dpi，亮度不低于250cd/㎡；
支持RS485和以太网方式控制升降、仰俯、电源管理等中控操作。
3.其它:满足完成此项工作所需要的全部工作内容，满足设计图纸、技术规范书、答疑、招标文件、现行规范、图集、验收等全部要求</t>
  </si>
  <si>
    <t>030506007059</t>
  </si>
  <si>
    <t>无纸化会议终端（含终端软件）</t>
  </si>
  <si>
    <t>1.无纸化会议终端（含终端软件）
2.支持远程Web登录管理，支持原文件编辑功能，可对分发的文件内容进行原文件编辑修改，doc、excel、ppt格式文件内嵌打开并支持分页批注功能，批注、编辑修改文件保存后自动形成新文件保存至无纸化服务器以及会议纪要，并自动分发至所有参会人，可在会议纪要中即时打开查看编辑后文件。
3.其它:满足完成此项工作所需要的全部工作内容，满足设计图纸、技术规范书、答疑、招标文件、现行规范、图集、验收等全部要求</t>
  </si>
  <si>
    <t>030506001120</t>
  </si>
  <si>
    <t>投影控制器</t>
  </si>
  <si>
    <t>1.名称:投影控制器
2.技术参数:接口类型不少于：HDMI，RJ45，USB，音频接口
内置投影控制管理软件，支持将任何一路液晶屏的桌面投放到显示大屏上。
支持切换各个终端与大屏之间的控制信号，并输出HDMI或者VGA信号到大屏幕投影等显示设备。
3.其它:满足完成此项工作所需要的全部工作内容，满足设计图纸、技术规范书、答疑、招标文件、现行规范、图集、验收等全部要求</t>
  </si>
  <si>
    <t>030501012025</t>
  </si>
  <si>
    <t>专用交换机</t>
  </si>
  <si>
    <t>1.名称:专用交换机
2.技术参数:48个10/100/1000Base-T以太网端口；
支持PoE+
可进行网络管理；
3.其它:满足完成此项工作所需要的全部工作内容，包括设计图纸、技术规范书、答疑、招标文件、现行规范、图集、验收等全部要求</t>
  </si>
  <si>
    <t>030501012026</t>
  </si>
  <si>
    <t>无纸化服务器</t>
  </si>
  <si>
    <t>1.名称:无纸化服务器
2.技术参数：处理器：≥2颗Intel 至强 4510处理器，单颗核数≥12核， ≥2.40 GHz或以上；内存：≥128G；操作系统： 支持Microsoft Windows Server 2019、 RedHat Enterprise Linux 、 SUSE Linux Enterprise Server、 CentOS、 Ubuntu、 Vmware EXSI；内置SAS硬盘，RAID5，配备4x3TB热插拔硬盘，10000rpm以上；2个千兆以太网口；冗余电源、风扇，可以365天24小时运行；1块单口8Gb HBA卡。
3.其它:满足完成此项工作所需要的全部工作内容，包括设计图纸、技术规范书、答疑、招标文件、现行规范、图集、验收等全部要求</t>
  </si>
  <si>
    <t>030501017012</t>
  </si>
  <si>
    <t>无纸化系统软件</t>
  </si>
  <si>
    <t>1.名称:无纸化系统软件
2.技术参数:会议管理者可在会前登录浏览器对会议进程进行提前规划，灵活设置主席席位，对会议概况信息、参会人员导入、可视化席位设定、会议流程、会议文件、会议投票和会议权限等进行设置和管理；
具备会议权限功能，会议主席可以控制会议现场的一切管理权限，如指定发言人、强制同步、停止信息交流等；
具备批注文件留底功能，批注内容可保存电子版手写原迹，会议后批注文件自动保存留底并自动上传至服务器。
3.其它:满足完成此项工作所需要的全部工作内容，包括设计图纸、技术规范书、答疑、招标文件、现行规范、图集、验收等全部要求</t>
  </si>
  <si>
    <t>030501012027</t>
  </si>
  <si>
    <t>1.名称:流媒体服务器
2.技术参数：处理器：≥2颗Intel 至强 4510处理器，单颗核数≥12核， ≥2.40 GHz或以上；内存：≥128G；操作系统： 支持Microsoft Windows Server 2019、 RedHat Enterprise Linux 、 SUSE Linux Enterprise Server、 CentOS、 Ubuntu、 Vmware EXSI；内置SAS硬盘，RAID5，配备4x3TB热插拔硬盘，10000rpm以上；2个千兆以太网口；冗余电源、风扇，可以365天24小时运行；1块单口8Gb HBA卡。接口类型不少于1路HDMI视频输入接口，不少于1路HDMI视频输出接口 ，不少于1路音频输入接口和1路音频输出接口，实现音视频同步输入输出；
支持音视频信号转换成网络信号，在升降屏和显示屏上进行同步显示。
3.其它:满足完成此项工作所需要的全部工作内容，包括设计图纸、技术规范书、答疑、招标文件、现行规范、图集、验收等全部要求</t>
  </si>
  <si>
    <t>030506007060</t>
  </si>
  <si>
    <t>030404035031</t>
  </si>
  <si>
    <t>030411001084</t>
  </si>
  <si>
    <t>030411001085</t>
  </si>
  <si>
    <t>030413001041</t>
  </si>
  <si>
    <t>030413002025</t>
  </si>
  <si>
    <t>030502005027</t>
  </si>
  <si>
    <t>030502005028</t>
  </si>
  <si>
    <t>1.名称：六类网线
2.规格： Cat.6 UTP
3.敷设方式：管内穿线
4.其它:满足完成此项工作所需要的全部工作内容，包括设计图纸、技术规范书、答疑、招标文件、现行规范、图集、验收等全部要求</t>
  </si>
  <si>
    <t>030502007015</t>
  </si>
  <si>
    <t>视频同轴线</t>
  </si>
  <si>
    <t>1.名称：SDI线
2.规格： WDZ-3G-SDI
3.敷设方式：桥架敷设
4.其它:满足完成此项工作所需要的全部工作内容，包括设计图纸、技术规范书、答疑、招标文件、现行规范、图集、验收等全部要求</t>
  </si>
  <si>
    <t>030502007016</t>
  </si>
  <si>
    <t>1.名称：SDI线
2.规格： WDZ-3G-SDI
3.敷设方式：管内穿线
4.其它:满足完成此项工作所需要的全部工作内容，包括设计图纸、技术规范书、答疑、招标文件、现行规范、图集、验收等全部要求</t>
  </si>
  <si>
    <t>030502007017</t>
  </si>
  <si>
    <t>信号线</t>
  </si>
  <si>
    <t>1.名称：信号线
2.规格： HDMI
3.敷设方式：桥架敷设
4.其它:满足完成此项工作所需要的全部工作内容，包括设计图纸、技术规范书、答疑、招标文件、现行规范、图集、验收等全部要求</t>
  </si>
  <si>
    <t>030502007018</t>
  </si>
  <si>
    <t>1.名称：信号线
2.规格： HDMI
3.敷设方式：管内穿线
4.其它:满足完成此项工作所需要的全部工作内容，包括设计图纸、技术规范书、答疑、招标文件、现行规范、图集、验收等全部要求</t>
  </si>
  <si>
    <t>030502007019</t>
  </si>
  <si>
    <t>手拉手话筒专用线缆</t>
  </si>
  <si>
    <t>1.名称：手拉手话筒专用线缆
2.敷设方式：桥架敷设
3.其它:满足完成此项工作所需要的全部工作内容，包括设计图纸、技术规范书、答疑、招标文件、现行规范、图集、验收等全部要求</t>
  </si>
  <si>
    <t>030411004084</t>
  </si>
  <si>
    <t>1.名称：音箱线
2.规格：WDZA-GYX-2*2.5
3.敷设方式：管内穿线
4.其它:满足完成此项工作所需要的全部工作内容，包括设计图纸、技术规范书、答疑、招标文件、现行规范、图集、验收等全部要求</t>
  </si>
  <si>
    <t>030411004085</t>
  </si>
  <si>
    <t>1.名称：音频线
2.规格：WDZA-RYVP-2*1.0
3.敷设方式：管内穿线
4.其它:满足完成此项工作所需要的全部工作内容，包括设计图纸、技术规范书、答疑、招标文件、现行规范、图集、验收等全部要求</t>
  </si>
  <si>
    <t>030411004086</t>
  </si>
  <si>
    <t>1.名称：摄像机电源线
2.规格：RVV-2*1.5
3.敷设方式：管内穿线
4.其它:满足完成此项工作所需要的全部工作内容，包括设计图纸、技术规范书、答疑、招标文件、现行规范、图集、验收等全部要求</t>
  </si>
  <si>
    <t>030502019011</t>
  </si>
  <si>
    <t>03B042</t>
  </si>
  <si>
    <t>1.清单未列项、图纸中未表示或技术规格书未做要求，但为了实现本系统各项功能必须增加的材料、设备的所有工作内容及费用；
2.施工深化设计增加的实现本系统设计功能必要的材料、设备所需的所有工作内容及费用；
3.实现设计功能所做的满足图纸、技术规格书要求的各项综合与集成，包括不限于各项检测、试验、调试、软件开发、联动等所有工作内容及费用</t>
  </si>
  <si>
    <t>03B043</t>
  </si>
  <si>
    <t>030411001086</t>
  </si>
  <si>
    <t>030411001087</t>
  </si>
  <si>
    <t>030411001088</t>
  </si>
  <si>
    <t>1.名称：紧定式镀锌钢导管
2.规格：JDG32
3.敷设方式：明配
4.其它:满足完成此项工作所需要的全部工作内容，包括设计图纸、技术规范书、答疑、招标文件、现行规范、图集、验收等全部要求</t>
  </si>
  <si>
    <t>030411001089</t>
  </si>
  <si>
    <t>1.名称：紧定式镀锌钢导管
2.规格：JDG32
3.敷设方式：暗配
4.其它:满足完成此项工作所需要的全部工作内容，包括设计图纸、技术规范书、答疑、招标文件、现行规范、图集、验收等全部要求</t>
  </si>
  <si>
    <t>030411001090</t>
  </si>
  <si>
    <t>030411001091</t>
  </si>
  <si>
    <t>030413001042</t>
  </si>
  <si>
    <t>030413002026</t>
  </si>
  <si>
    <t>030502005029</t>
  </si>
  <si>
    <t>030411004087</t>
  </si>
  <si>
    <t>1.名称：音箱线
2.规格：EVJV-2*1.5
3.敷设方式：管内穿线
4.其它:满足完成此项工作所需要的全部工作内容，包括设计图纸、技术规范书、答疑、招标文件、现行规范、图集、验收等全部要求</t>
  </si>
  <si>
    <t>030411004088</t>
  </si>
  <si>
    <t>1.名称：音箱线
2.规格：EVJV-2*2.5
3.敷设方式：管内穿线
4.其它:满足完成此项工作所需要的全部工作内容，包括设计图纸、技术规范书、答疑、招标文件、现行规范、图集、验收等全部要求</t>
  </si>
  <si>
    <t>030411004089</t>
  </si>
  <si>
    <t>1.名称：音频线
2.规格：RVVP-2*0.37/0.5
3.敷设方式：管内穿线
4.其它:满足完成此项工作所需要的全部工作内容，包括设计图纸、技术规范书、答疑、招标文件、现行规范、图集、验收等全部要求</t>
  </si>
  <si>
    <t>030502007020</t>
  </si>
  <si>
    <t>030502007021</t>
  </si>
  <si>
    <t>同轴线缆</t>
  </si>
  <si>
    <t>1.名称：同轴线缆
2.规格：SYV75-5
3.敷设方式：管内穿线
4.其它:满足完成此项工作所需要的全部工作内容，包括设计图纸、技术规范书、答疑、招标文件、现行规范、图集、验收等全部要求</t>
  </si>
  <si>
    <t>030502007022</t>
  </si>
  <si>
    <t>1.名称：同轴线缆
2.规格：SYV50-5
3.敷设方式：管内穿线
4.其它:满足完成此项工作所需要的全部工作内容，包括设计图纸、技术规范书、答疑、招标文件、现行规范、图集、验收等全部要求</t>
  </si>
  <si>
    <t>030411004090</t>
  </si>
  <si>
    <t>1.名称：电源线
2.规格：RVV-3*1.5
3.敷设方式：管内穿线
4.其它:满足完成此项工作所需要的全部工作内容，包括设计图纸、技术规范书、答疑、招标文件、现行规范、图集、验收等全部要求</t>
  </si>
  <si>
    <t>030502007023</t>
  </si>
  <si>
    <t>1.名称：USB线缆
2.规格：USB
3.敷设方式：管内穿线
4.其它:满足完成此项工作所需要的全部工作内容，包括设计图纸、技术规范书、答疑、招标文件、现行规范、图集、验收等全部要求</t>
  </si>
  <si>
    <t>030411004091</t>
  </si>
  <si>
    <t>1.名称：舞台灯光传输线缆
2.规格：RVV-3*2.5
3.敷设方式：管内穿线
4.其它:满足完成此项工作所需要的全部工作内容，包括设计图纸、技术规范书、答疑、招标文件、现行规范、图集、验收等全部要求</t>
  </si>
  <si>
    <t>030502007024</t>
  </si>
  <si>
    <t>1.名称：舞台灯光传输线缆
2.规格：DM512
3.敷设方式：管内穿线
4.其它:满足完成此项工作所需要的全部工作内容，包括设计图纸、技术规范书、答疑、招标文件、现行规范、图集、验收等全部要求</t>
  </si>
  <si>
    <t>030502019012</t>
  </si>
  <si>
    <t>03B044</t>
  </si>
  <si>
    <t>03B045</t>
  </si>
  <si>
    <t>031301017028</t>
  </si>
  <si>
    <t>03B046</t>
  </si>
  <si>
    <t>030501002024</t>
  </si>
  <si>
    <t>信息发布一体机</t>
  </si>
  <si>
    <t>1.名称：信息发布一体机（采用43寸液晶屏，画面比例 16﹕9分辨率 1920×1080）
2.含一套HDMI高清线,电源线,高清数字播放器
3.安装方式：底高1.5m壁挂或嵌墙安装，含设备支架
4.其它:满足完成此项工作所需要的全部工作内容，包括设计图纸、技术规范书、答疑、招标文件、现行规范、图集、验收等全部要求</t>
  </si>
  <si>
    <t>030505011001</t>
  </si>
  <si>
    <t>编码器安装、调试</t>
  </si>
  <si>
    <t>1.名称：编码器
2.其它:满足完成此项工作所需要的全部工作内容，包括设计图纸、技术规范书、答疑、招标文件、现行规范、图集、验收等全部要求</t>
  </si>
  <si>
    <t>030506001121</t>
  </si>
  <si>
    <t>高清数字播放器</t>
  </si>
  <si>
    <t>1.名称：高清数字播放器
2.含配套连接线、电源线
3.安装方式：屏后安装
4.其它:满足完成此项工作所需要的全部工作内容，包括设计图纸、技术规范书、答疑、招标文件、现行规范、图集、验收等全部要求</t>
  </si>
  <si>
    <t>030501013013</t>
  </si>
  <si>
    <t>系统管理服务器</t>
  </si>
  <si>
    <t>1.名称：系统管理服务器（含鼠标键盘、显示器、软件等）
2.技术参数：处理器：≥2颗Intel 至强 4510处理器，单颗核数≥12核， ≥2.40 GHz或以上；内存：≥128G；操作系统： 支持Microsoft Windows Server 2019、 RedHat Enterprise Linux 、 SUSE Linux Enterprise Server、 CentOS、 Ubuntu、 Vmware EXSI；内置SAS硬盘，RAID5，配备4x3TB热插拔硬盘，10000rpm以上；2个千兆以太网口；冗余电源、风扇，可以365天24小时运行；1块单口8Gb HBA卡。
3.其它:满足完成此项工作所需要的全部工作内容，包括设计图纸、技术规范书、答疑、招标文件、现行规范、图集、验收等全部要求</t>
  </si>
  <si>
    <t>030501013014</t>
  </si>
  <si>
    <t>信息发布系统工作站</t>
  </si>
  <si>
    <t>1.名称：信息发布系统工作站
2.含播放控制器授权许可,系统管理软件
3.其它:满足完成此项工作所需要的全部工作内容，包括设计图纸、技术规范书、答疑、招标文件、现行规范、图集、验收等全部要求</t>
  </si>
  <si>
    <t>030502003007</t>
  </si>
  <si>
    <t>030501012029</t>
  </si>
  <si>
    <t>030506007061</t>
  </si>
  <si>
    <t>LED小间距显示屏</t>
  </si>
  <si>
    <t>1.名称：LED小间距显示屏
2.规格：P1.5,尺寸12650/10210mm*4680mm，SMD模组封装，含成套视频拼接处理器、配电柜和支架
3.其它:满足完成此项工作所需要的全部工作内容，满足设计图纸、技术规范书、答疑、招标文件、现行规范、图集、验收等全部要求</t>
  </si>
  <si>
    <t>030506007062</t>
  </si>
  <si>
    <t>1.名称：LED小间距显示屏
2.规格：P1.5,尺寸10700mm*3500mm，SMD模组封装，含成套视频拼接处理器、配电柜和支架
3.其它:满足完成此项工作所需要的全部工作内容，满足设计图纸、技术规范书、答疑、招标文件、现行规范、图集、验收等全部要求</t>
  </si>
  <si>
    <t>03B051</t>
  </si>
  <si>
    <t>03B052</t>
  </si>
  <si>
    <t>03B053</t>
  </si>
  <si>
    <t>1.信息发布软件
2.其它:满足完成此项工作所需要的全部工作内容，包括设计图纸、技术规范书、答疑、招标文件、现行规范、图集、验收等全部要求</t>
  </si>
  <si>
    <t>030411001092</t>
  </si>
  <si>
    <t>030411001093</t>
  </si>
  <si>
    <t>030413001043</t>
  </si>
  <si>
    <t>030413002027</t>
  </si>
  <si>
    <t>030502005030</t>
  </si>
  <si>
    <t>030502005031</t>
  </si>
  <si>
    <t>030502012020</t>
  </si>
  <si>
    <t>信息发布点位</t>
  </si>
  <si>
    <t>1.名称：信息发布点位
2.其它:满足完成此项工作所需要的全部工作内容，包括设计图纸、技术规范书、答疑、招标文件、现行规范、图集、验收等全部要求</t>
  </si>
  <si>
    <t>030502012021</t>
  </si>
  <si>
    <t>信息发布点位底盒</t>
  </si>
  <si>
    <t>1.名称：信息发布点位底盒
2.结构：混凝土墙内
3.其它:满足完成此项工作所需要的全部工作内容，包括设计图纸、技术规范书、答疑、招标文件、现行规范、图集、验收等全部要求</t>
  </si>
  <si>
    <t>030502019013</t>
  </si>
  <si>
    <t>1.名称：信息发布点调试
2.其它:满足完成此项工作所需要的全部工作内容，包括设计图纸、技术规范书、答疑、招标文件、现行规范、图集、验收等全部要求</t>
  </si>
  <si>
    <t>030411001094</t>
  </si>
  <si>
    <t>030411001095</t>
  </si>
  <si>
    <t>030413001044</t>
  </si>
  <si>
    <t>030413002028</t>
  </si>
  <si>
    <t>030502005032</t>
  </si>
  <si>
    <t>030502005033</t>
  </si>
  <si>
    <t>030502012022</t>
  </si>
  <si>
    <t>030502012023</t>
  </si>
  <si>
    <t>030502019014</t>
  </si>
  <si>
    <t>031301017030</t>
  </si>
  <si>
    <t>03B054</t>
  </si>
  <si>
    <t>030501013001</t>
  </si>
  <si>
    <t>中心控制计算机</t>
  </si>
  <si>
    <t>1.名称:中心控制计算机
2.参数：配置  i5处理器 32G内存  1TB硬盘
3.其它:满足完成此项工作所需要的全部工作内容，包括设计图纸、技术规范书、答疑、招标文件、现行规范、图集、验收等全部要求</t>
  </si>
  <si>
    <t>030501013002</t>
  </si>
  <si>
    <t>灯光控制系统服务器</t>
  </si>
  <si>
    <t>1.名称：灯光控制系统服务器
2.技术参数：处理器：≥2颗Intel 至强 4510处理器，单颗核数≥12核， ≥2.40 GHz或以上；内存：≥128G；操作系统： 支持Microsoft Windows Server 2019、 RedHat Enterprise Linux 、 SUSE Linux Enterprise Server、 CentOS、 Ubuntu、 Vmware EXSI；内置SAS硬盘，RAID5，配备4x3TB热插拔硬盘，10000rpm以上；2个千兆以太网口；冗余电源、风扇，可以365天24小时运行；1块单口8Gb HBA卡。
3.其它:满足完成此项工作所需要的全部工作内容，包括设计图纸、技术规范书、答疑、招标文件、现行规范、图集、验收等全部要求</t>
  </si>
  <si>
    <t>030501017001</t>
  </si>
  <si>
    <t>灯光控制系统软件</t>
  </si>
  <si>
    <t>1.名称:灯光控制系统软件
2.规格:OPC
3.其它:满足完成此项工作所需要的全部工作内容，包括设计图纸、技术规范书、答疑、招标文件、现行规范、图集、验收等全部要求</t>
  </si>
  <si>
    <t>031101007001</t>
  </si>
  <si>
    <t>不间断电源设备</t>
  </si>
  <si>
    <t>1.名称:不间断电源设备
2.参数：3kVA，包含电池柜/架、散力架、连接线、电池配电箱
3.其它:满足完成此项工作所需要的全部工作内容，包括设计图纸、技术规范书、答疑、招标文件、现行规范、图集、验收等全部要求</t>
  </si>
  <si>
    <t>030501002001</t>
  </si>
  <si>
    <t>打印机</t>
  </si>
  <si>
    <t>1.名称:打印机
2.其它:满足完成此项工作所需要的全部工作内容，包括设计图纸、技术规范书、答疑、招标文件、现行规范、图集、验收等全部要求</t>
  </si>
  <si>
    <t>030502001001</t>
  </si>
  <si>
    <t>机柜、机架</t>
  </si>
  <si>
    <t>1.名称:19寸机柜
2.尺寸：600*600*2000
3.其它:满足完成此项工作所需要的全部工作内容，包括设计图纸、技术规范书、答疑、招标文件、现行规范、图集、验收等全部要求</t>
  </si>
  <si>
    <t>030404019003</t>
  </si>
  <si>
    <t>IP主交换器</t>
  </si>
  <si>
    <t>1.名称:IP主交换器
2.型号:ISM/S 5.1
3.其它:满足完成此项工作所需要的全部工作内容，包括设计图纸、技术规范书、答疑、招标文件、现行规范、图集、验收等全部要求</t>
  </si>
  <si>
    <t>031101055001</t>
  </si>
  <si>
    <t>光电转换器</t>
  </si>
  <si>
    <t>1.名称:光电转换器
2.型号:LL/S 1.1
3.其它:满足完成此项工作所需要的全部工作内容，包括设计图纸、技术规范书、答疑、招标文件、现行规范、图集、验收等全部要求</t>
  </si>
  <si>
    <t>030501009001</t>
  </si>
  <si>
    <t>IP路由器</t>
  </si>
  <si>
    <t>1.名称:IP路由器
2.型号:IPR/S 2.1
3.其它:满足完成此项工作所需要的全部工作内容，包括设计图纸、技术规范书、答疑、招标文件、现行规范、图集、验收等全部要求</t>
  </si>
  <si>
    <t>031101001001</t>
  </si>
  <si>
    <t>电源供应器</t>
  </si>
  <si>
    <t>1.名称:电源供应器
2.型号:SV/S 30.640.5
3.其它:满足完成此项工作所需要的全部工作内容，包括设计图纸、技术规范书、答疑、招标文件、现行规范、图集、验收等全部要求</t>
  </si>
  <si>
    <t>030505013001</t>
  </si>
  <si>
    <t>线路耦合器</t>
  </si>
  <si>
    <t>1.名称:线路耦合器
2.型号:LK/S 4.2
3.其它:满足完成此项工作所需要的全部工作内容，包括设计图纸、技术规范书、答疑、招标文件、现行规范、图集、验收等全部要求</t>
  </si>
  <si>
    <t>030506004001</t>
  </si>
  <si>
    <t>故障信号监视模块</t>
  </si>
  <si>
    <t>1.名称:故障信号监视模块
2.型号:SMB/S 1.1
3.其它:满足完成此项工作所需要的全部工作内容，包括设计图纸、技术规范书、答疑、招标文件、现行规范、图集、验收等全部要求</t>
  </si>
  <si>
    <t>030409010001</t>
  </si>
  <si>
    <t>浪涌保护器</t>
  </si>
  <si>
    <t>1.名称:浪涌保护器
2.规格:US/E 1
3.其它:满足完成此项工作所需要的全部工作内容，包括设计图纸、技术规范书、答疑、招标文件、现行规范、图集、验收等全部要求</t>
  </si>
  <si>
    <t>030404022001</t>
  </si>
  <si>
    <t>1.名称:定时控制器
2.型号:FW/S 8.2.1
3.其它:满足完成此项工作所需要的全部工作内容，包括设计图纸、技术规范书、答疑、招标文件、现行规范、图集、验收等全部要求</t>
  </si>
  <si>
    <t>030404019004</t>
  </si>
  <si>
    <t>系统监视单元</t>
  </si>
  <si>
    <t>1.名称:系统监视单元
2.型号:EUB/S 1.1
3.其它:满足完成此项工作所需要的全部工作内容，包括设计图纸、技术规范书、答疑、招标文件、现行规范、图集、验收等全部要求</t>
  </si>
  <si>
    <t>030404022002</t>
  </si>
  <si>
    <t>12路16A开关驱动器</t>
  </si>
  <si>
    <t>1.名称:12路16A开关驱动器
2.型号:SA/S 12.16.2.1
3.其它:满足完成此项工作所需要的全部工作内容，包括设计图纸、技术规范书、答疑、招标文件、现行规范、图集、验收等全部要求</t>
  </si>
  <si>
    <t>030404022003</t>
  </si>
  <si>
    <t>8路16A开关驱动器</t>
  </si>
  <si>
    <t>1.名称:8路16A开关驱动器
2.型号:SA/S 8.16.2.1
3.其它:满足完成此项工作所需要的全部工作内容，包括设计图纸、技术规范书、答疑、招标文件、现行规范、图集、验收等全部要求</t>
  </si>
  <si>
    <t>030502012001</t>
  </si>
  <si>
    <t>智能面板</t>
  </si>
  <si>
    <t>1.名称:智能面板
2.型号:6320/50
3.其它:满足完成此项工作所需要的全部工作内容，包括设计图纸、技术规范书、答疑、招标文件、现行规范、图集、验收等全部要求</t>
  </si>
  <si>
    <t>030501002002</t>
  </si>
  <si>
    <t>彩色触摸屏</t>
  </si>
  <si>
    <t>1.名称：彩色触摸屏
2.型号：6316/100C-102
3.其它:满足完成此项工作所需要的全部工作内容，包括设计图纸、技术规范书、答疑、招标文件、现行规范、图集、验收等全部要求</t>
  </si>
  <si>
    <t>03B012</t>
  </si>
  <si>
    <t>030411001020</t>
  </si>
  <si>
    <t>1.名称：镀锌钢管
2.规格：SC20
3.敷设方式：暗配
4.安装高度：综合考虑
5.其它:满足完成此项工作所需要的全部工作内容，包括设计图纸、技术规范书、答疑、招标文件、现行规范、图集、验收等全部要求</t>
  </si>
  <si>
    <t>030411001021</t>
  </si>
  <si>
    <t>1.名称：镀锌钢管
2.规格：SC25
3.敷设方式：明配
4.安装高度：综合考虑
5.其它:满足完成此项工作所需要的全部工作内容，包括设计图纸、技术规范书、答疑、招标文件、现行规范、图集、验收等全部要求</t>
  </si>
  <si>
    <t>030413001008</t>
  </si>
  <si>
    <t>030413002006</t>
  </si>
  <si>
    <t>030502005005</t>
  </si>
  <si>
    <t>030502007005</t>
  </si>
  <si>
    <t>1.名称：4芯多模光纤
2.敷设方式：桥架敷设
3.其它:满足完成此项工作所需要的全部工作内容，包括设计图纸、技术规范书、答疑、招标文件、现行规范、图集、验收等全部要求</t>
  </si>
  <si>
    <t>030411004013</t>
  </si>
  <si>
    <t>1.名称：智能照明控制系统总线
2.型号：J-Y(ST)YH-2x2x1.0
3.敷设方式：管内穿线
4.其它:满足完成此项工作所需要的全部工作内容，包括设计图纸、技术规范书、答疑、招标文件、现行规范、图集、验收等全部要求</t>
  </si>
  <si>
    <t>030411004014</t>
  </si>
  <si>
    <t>1.名称：智能照明控制系统总线
2.型号：J-Y(ST)YH-2x2x1.0
3.敷设方式：桥架敷设
4.其它:满足完成此项工作所需要的全部工作内容，包括设计图纸、技术规范书、答疑、招标文件、现行规范、图集、验收等全部要求</t>
  </si>
  <si>
    <t>031301017012</t>
  </si>
  <si>
    <t>03B013</t>
  </si>
  <si>
    <t>030501013003</t>
  </si>
  <si>
    <t>系统集成工作站（含软件）</t>
  </si>
  <si>
    <t>1.名称：系统集成工作站（含软件）
2.其它:满足完成此项工作所需要的全部工作内容，包括设计图纸、技术规范书、答疑、招标文件、现行规范、图集、验收等全部要求</t>
  </si>
  <si>
    <t>030506004002</t>
  </si>
  <si>
    <t>组控器</t>
  </si>
  <si>
    <t>1.名称:组控器
2.其它:满足完成此项工作所需要的全部工作内容，包括设计图纸、技术规范书、答疑、招标文件、现行规范、图集、验收等全部要求</t>
  </si>
  <si>
    <t>030404022004</t>
  </si>
  <si>
    <t>485控制模块</t>
  </si>
  <si>
    <t>1.名称:485控制模块
2.其它:满足完成此项工作所需要的全部工作内容，包括设计图纸、技术规范书、答疑、招标文件、现行规范、图集、验收等全部要求"</t>
  </si>
  <si>
    <t>030501002003</t>
  </si>
  <si>
    <t>智能控制显示屏</t>
  </si>
  <si>
    <t>1.名称:智能控制显示屏
2.放置甲方指定位置
3.其它:满足完成此项工作所需要的全部工作内容，满足设计图纸、技术规范书、答疑、招标文件、现行规范、图集、验收等全部要求</t>
  </si>
  <si>
    <t>030501009002</t>
  </si>
  <si>
    <t>03B008</t>
  </si>
  <si>
    <t>03B009</t>
  </si>
  <si>
    <t>030411001023</t>
  </si>
  <si>
    <t>030411001024</t>
  </si>
  <si>
    <t>030413001011</t>
  </si>
  <si>
    <t>030413002008</t>
  </si>
  <si>
    <t>030411004016</t>
  </si>
  <si>
    <t>1.名称:线缆
2.规格:WDZ-RVVSP-2x1.0
3.敷设方式:管内穿线
4.满足完成此项工作所需要的全部工作内容，包括设计图纸、技术规范书、答疑、招标文件、现行规范、图集、验收等全部要求</t>
  </si>
  <si>
    <t>031301017014</t>
  </si>
  <si>
    <t>03B010</t>
  </si>
  <si>
    <t>030501013004</t>
  </si>
  <si>
    <t>1.名称:中心控制计算机
2.规格:i5处理器 32G内存  1TB硬盘
3.其它:满足完成此项工作所需要的全部工作内容，包括设计图纸、技术规范书、答疑、招标文件、现行规范、图集、验收等全部要求</t>
  </si>
  <si>
    <t>030501013005</t>
  </si>
  <si>
    <t>1.名称：灯光控制系统服务器
2.技术参数：处理器：≥2颗Intel 至强 4510处理器，单颗核数≥12核， ≥2.40 GHz或以上；内存：≥128G；操作系统： 支持Microsoft Windows Server 2019、 RedHat Enterprise Linux 、 SUSE Linux Enterprise Server、 CentOS、 Ubuntu、 Vmware EXSI；内置SAS硬盘，RAID5，配备4x3TB热插拔硬盘，10000rpm以上；2个千兆以太网口；冗余电源、风扇，可以365天24小时运行；1块单口8Gb HBA卡。
3.满足完成此项工作所需要的全部工作内容，包括设计图纸、技术规范书、答疑、招标文件、现行规范、图集、验收等全部要求</t>
  </si>
  <si>
    <t>030501017002</t>
  </si>
  <si>
    <t>1.名称:灯光控制系统软件
2.规格:OPC
3.满足完成此项工作所需要的全部工作内容，包括设计图纸、技术规范书、答疑、招标文件、现行规范、图集、验收等全部要求</t>
  </si>
  <si>
    <t>031101007002</t>
  </si>
  <si>
    <t>1.名称:不间断电源设备
2.规格:3kVA，包含电池柜/架、散力架、连接线、电池配电箱
3.满足完成此项工作所需要的全部工作内容，包括设计图纸、技术规范书、答疑、招标文件、现行规范、图集、验收等全部要求</t>
  </si>
  <si>
    <t>030501002004</t>
  </si>
  <si>
    <t>1.名称:打印机
2.满足完成此项工作所需要的全部工作内容，包括设计图纸、技术规范书、答疑、招标文件、现行规范、图集、验收等全部要求</t>
  </si>
  <si>
    <t>030502001003</t>
  </si>
  <si>
    <t>1.名称:19寸机柜
2.规格:600*600*2000
3.满足完成此项工作所需要的全部工作内容，包括设计图纸、技术规范书、答疑、招标文件、现行规范、图集、验收等全部要求</t>
  </si>
  <si>
    <t>030404019006</t>
  </si>
  <si>
    <t>1.名称:IP主交换器
2.型号:ISM/S 5.1
3.满足完成此项工作所需要的全部工作内容，包括设计图纸、技术规范书、答疑、招标文件、现行规范、图集、验收等全部要求</t>
  </si>
  <si>
    <t>031101055002</t>
  </si>
  <si>
    <t>1.名称:光电转换器
2.型号:LL/S 1.1
3.满足完成此项工作所需要的全部工作内容，包括设计图纸、技术规范书、答疑、招标文件、现行规范、图集、验收等全部要求</t>
  </si>
  <si>
    <t>030501009003</t>
  </si>
  <si>
    <t>1.名称:IP路由器
2.型号:IPR/S 2.1
3.满足完成此项工作所需要的全部工作内容，包括设计图纸、技术规范书、答疑、招标文件、现行规范、图集、验收等全部要求</t>
  </si>
  <si>
    <t>031101001002</t>
  </si>
  <si>
    <t>1.名称:电源供应器
2.型号:SV/S 30.640.5
3.满足完成此项工作所需要的全部工作内容，包括设计图纸、技术规范书、答疑、招标文件、现行规范、图集、验收等全部要求</t>
  </si>
  <si>
    <t>030505013002</t>
  </si>
  <si>
    <t>1.名称:线路耦合器
2.型号:LK/S 4.2
3.满足完成此项工作所需要的全部工作内容，包括设计图纸、技术规范书、答疑、招标文件、现行规范、图集、验收等全部要求</t>
  </si>
  <si>
    <t>030506004003</t>
  </si>
  <si>
    <t>1.名称:故障信号监视模块
2.型号:SMB/S 1.1
3.满足完成此项工作所需要的全部工作内容，包括设计图纸、技术规范书、答疑、招标文件、现行规范、图集、验收等全部要求</t>
  </si>
  <si>
    <t>030409010002</t>
  </si>
  <si>
    <t>1.名称:浪涌保护器
2.规格:US/E 1
3.满足完成此项工作所需要的全部工作内容，包括设计图纸、技术规范书、答疑、招标文件、现行规范、图集、验收等全部要求</t>
  </si>
  <si>
    <t>030404022005</t>
  </si>
  <si>
    <t>1.名称:定时控制器
2.型号:FW/S 8.2.1
3.满足完成此项工作所需要的全部工作内容，包括设计图纸、技术规范书、答疑、招标文件、现行规范、图集、验收等全部要求</t>
  </si>
  <si>
    <t>030404019007</t>
  </si>
  <si>
    <t>1.名称:系统监视单元
2.型号:EUB/S 1.1
3.满足完成此项工作所需要的全部工作内容，包括设计图纸、技术规范书、答疑、招标文件、现行规范、图集、验收等全部要求</t>
  </si>
  <si>
    <t>030404022006</t>
  </si>
  <si>
    <t>1.名称:8路16A开关驱动器
2.型号:SA/S 8.16.2.1
3.满足完成此项工作所需要的全部工作内容，包括设计图纸、技术规范书、答疑、招标文件、现行规范、图集、验收等全部要求</t>
  </si>
  <si>
    <t>030502012005</t>
  </si>
  <si>
    <t>1.名称:智能面板
2.型号:6320/50
3.满足完成此项工作所需要的全部工作内容，包括设计图纸、技术规范书、答疑、招标文件、现行规范、图集、验收等全部要求</t>
  </si>
  <si>
    <t>030501002005</t>
  </si>
  <si>
    <t>1.名称：彩色触摸屏
2.型号：6316/100C-102
3.满足完成此项工作所需要的全部工作内容，包括设计图纸、技术规范书、答疑、招标文件、现行规范、图集、验收等全部要求</t>
  </si>
  <si>
    <t>030411001039</t>
  </si>
  <si>
    <t>1.名称：配管
2.规格：SC20
3.材质:镀锌钢管
4.敷设方式：暗配
5.安装高度：综合考虑
6.满足完成此项工作所需要的全部工作内容，包括设计图纸、技术规范书、答疑、招标文件、现行规范、图集、验收等全部要求</t>
  </si>
  <si>
    <t>030411001040</t>
  </si>
  <si>
    <t>1.名称：配管
2.规格：SC25
3.材质:镀锌钢管
4.敷设方式：明配
5.安装高度：综合考虑
6.满足完成此项工作所需要的全部工作内容，包括设计图纸、技术规范书、答疑、招标文件、现行规范、图集、验收等全部要求</t>
  </si>
  <si>
    <t>030413001016</t>
  </si>
  <si>
    <t>1.名称:管道支架制作安装
2.材质:热镀锌
3.安装高度:综合考虑
4.满足完成此项工作所需要的全部工作内容，包括设计图纸、技术规范书、答疑、招标文件、现行规范、图集、验收等全部要求</t>
  </si>
  <si>
    <t>030413002011</t>
  </si>
  <si>
    <t>1.名称:管线剔槽及恢复
2.满足完成此项工作所需要的全部工作内容，包括设计图纸、技术规范书、答疑、招标文件、现行规范、图集、验收等全部要求</t>
  </si>
  <si>
    <t>030502005007</t>
  </si>
  <si>
    <t>1.名称：六类网线
2.规格： Cat.6 UTP
3.敷设方式：桥架敷设
4.满足完成此项工作所需要的全部工作内容，包括设计图纸、技术规范书、答疑、招标文件、现行规范、图集、验收等全部要求</t>
  </si>
  <si>
    <t>030502007006</t>
  </si>
  <si>
    <t>1.名称：4芯多模光纤
2.敷设方式：桥架敷设
3.满足完成此项工作所需要的全部工作内容，包括设计图纸、技术规范书、答疑、招标文件、现行规范、图集、验收等全部要求</t>
  </si>
  <si>
    <t>030411004020</t>
  </si>
  <si>
    <t>1.名称：智能照明控制系统总线
2.型号：J-Y(ST)YH-2x2x1.0
3.敷设方式：管内穿线
4.满足完成此项工作所需要的全部工作内容，包括设计图纸、技术规范书、答疑、招标文件、现行规范、图集、验收等全部要求</t>
  </si>
  <si>
    <t>030411004021</t>
  </si>
  <si>
    <t>1.名称：智能照明控制系统总线
2.型号：J-Y(ST)YH-2x2x1.0
3.敷设方式：桥架敷设
4.满足完成此项工作所需要的全部工作内容，包括设计图纸、技术规范书、答疑、招标文件、现行规范、图集、验收等全部要求</t>
  </si>
  <si>
    <t>031301017020</t>
  </si>
  <si>
    <t>030501013006</t>
  </si>
  <si>
    <t>1.名称：系统集成工作站（含软件）
2.满足完成此项工作所需要的全部工作内容，包括设计图纸、技术规范书、答疑、招标文件、现行规范、图集、验收等全部要求</t>
  </si>
  <si>
    <t>030506004004</t>
  </si>
  <si>
    <t>1.名称:组控器
2.满足完成此项工作所需要的全部工作内容，包括设计图纸、技术规范书、答疑、招标文件、现行规范、图集、验收等全部要求</t>
  </si>
  <si>
    <t>030404022007</t>
  </si>
  <si>
    <t>1.名称:485控制模块
2.满足完成此项工作所需要的全部工作内容，包括设计图纸、技术规范书、答疑、招标文件、现行规范、图集、验收等全部要求</t>
  </si>
  <si>
    <t>030501002006</t>
  </si>
  <si>
    <t>1.名称:智能控制显示屏
2.放置甲方指定位置
3.满足完成此项工作所需要的全部工作内容，包括设计图纸、技术规范书、答疑、招标文件、现行规范、图集、验收等全部要求</t>
  </si>
  <si>
    <t>030501009004</t>
  </si>
  <si>
    <t>1.名称:网关
2.满足完成此项工作所需要的全部工作内容，包括设计图纸、技术规范书、答疑、招标文件、现行规范、图集、验收等全部要求</t>
  </si>
  <si>
    <t>03B014</t>
  </si>
  <si>
    <t>1.名称：平台对接
2.满足完成此项工作所需要的全部工作内容，包括设计图纸、技术规范书、答疑、招标文件、现行规范、图集、验收等全部要求</t>
  </si>
  <si>
    <t>030411001041</t>
  </si>
  <si>
    <t>1.名称：配管
2.规格：JDG20
3.敷设方式：暗配
4.安装高度：综合考虑
5.满足完成此项工作所需要的全部工作内容，包括设计图纸、技术规范书、答疑、招标文件、现行规范、图集、验收等全部要求</t>
  </si>
  <si>
    <t>030411001042</t>
  </si>
  <si>
    <t>1.名称：配管
2.规格：JDG20
3.敷设方式：明配
4.安装高度：综合考虑
5.满足完成此项工作所需要的全部工作内容，包括设计图纸、技术规范书、答疑、招标文件、现行规范、图集、验收等全部要求</t>
  </si>
  <si>
    <t>030413001017</t>
  </si>
  <si>
    <t>030413002012</t>
  </si>
  <si>
    <t>030411004022</t>
  </si>
  <si>
    <t>1.名称:线缆
2.规格:WDZ-RYYSP-2x1.0
3.敷设方式:管内穿线
4.安装高度：综合考虑
5.满足完成此项工作所需要的全部工作内容，包括设计图纸、技术规范书、答疑、招标文件、现行规范、图集、验收等全部要求</t>
  </si>
  <si>
    <t>030411004023</t>
  </si>
  <si>
    <t>031301017021</t>
  </si>
  <si>
    <t>030506007002</t>
  </si>
  <si>
    <t>视频系统设备</t>
  </si>
  <si>
    <t>1.名称：大屏
2.规格：55英寸
3.安装方式：9块 LCD屏幕3x3拼接
4.满足完成此项工作所需要的全部工作内容，包括设计图纸、技术规范书、答疑、招标文件、现行规范、图集、验收等全部要求</t>
  </si>
  <si>
    <t>030505004002</t>
  </si>
  <si>
    <t>操作台</t>
  </si>
  <si>
    <t>1.名称：操作台
2.含座椅、设备支架、2个设备托盘、1个PDU
3.满足完成此项工作所需要的全部工作内容，包括设计图纸、技术规范书、答疑、招标文件、现行规范、图集、验收等全部要求</t>
  </si>
  <si>
    <t>030502001004</t>
  </si>
  <si>
    <t>1.名称:弱电机柜600*1200*2000，含两个PDU
2.安装方式:落地安装
3.满足完成此项工作所需要的全部工作内容，包括设计图纸、技术规范书、答疑、招标文件、现行规范、图集、验收等全部要求</t>
  </si>
  <si>
    <t>030409008003</t>
  </si>
  <si>
    <t>等电位端子箱、测试板</t>
  </si>
  <si>
    <t>1.名称：局部等电位端子箱
2.安装方式：底边距地 0.3米
3.满足完成此项工作所需要的全部工作内容，包括设计图纸、技术规范书、答疑、招标文件、现行规范、图集、验收等全部要求</t>
  </si>
  <si>
    <t>030409008004</t>
  </si>
  <si>
    <t>等电位末端金属体与绝缘导线连接</t>
  </si>
  <si>
    <t>1.名称：等电位末端金属体与绝缘导线连接
2.满足完成此项工作所需要的全部工作内容，包括设计图纸、技术规范书、答疑、招标文件、现行规范、图集、验收等全部要求</t>
  </si>
  <si>
    <t>处</t>
  </si>
  <si>
    <t>030409002005</t>
  </si>
  <si>
    <t>接地母线</t>
  </si>
  <si>
    <t>1.名称：接地母线
2.材质规格：铜导线6mm2
3.满足完成此项工作所需要的全部工作内容，包括设计图纸、技术规范书、答疑、招标文件、现行规范、图集、验收等全部要求</t>
  </si>
  <si>
    <t>030409002006</t>
  </si>
  <si>
    <t>1.名称：接地电缆
2.材质规格：BVR50mm2
3.满足完成此项工作所需要的全部工作内容，包括设计图纸、技术规范书、答疑、招标文件、现行规范、图集、验收等全部要求</t>
  </si>
  <si>
    <t>030409002007</t>
  </si>
  <si>
    <t>1.名称：等电位联结网格
2.材质规格：40*4接地铜排
3.满足完成此项工作所需要的全部工作内容，包括设计图纸、技术规范书、答疑、招标文件、现行规范、图集、验收等全部要求</t>
  </si>
  <si>
    <t>080608003001</t>
  </si>
  <si>
    <t>UPS不间断电源设备</t>
  </si>
  <si>
    <t>1.名称：UPS不间断电源设备
2.材质规格：20kVA，含蓄电池2h
3.含电池柜/架、散力架、连接线、电池配电箱
4.满足完成此项工作所需要的全部工作内容，包括设计图纸、技术规范书、答疑、招标文件、现行规范、图集、验收等全部要求</t>
  </si>
  <si>
    <t>030411001043</t>
  </si>
  <si>
    <t>1.名称:配管
2.材质:JDG20
3.敷设方式:综合考虑
4.满足完成此项工作所需要的全部工作内容，满足设计图纸、技术规范书、答疑、招标文件、现行规范、图集、验收等全部要求</t>
  </si>
  <si>
    <t>030411004024</t>
  </si>
  <si>
    <t>1.名称:配线
2.规格:RYY-2*1.0
3.敷设方式:管内穿线
4.满足完成此项工作所需要的全部工作内容，包括设计图纸、技术规范书、答疑、招标文件、现行规范、图集、验收等全部要求</t>
  </si>
  <si>
    <t>030413001018</t>
  </si>
  <si>
    <t>030503003011</t>
  </si>
  <si>
    <t>动环主机</t>
  </si>
  <si>
    <t>1.名称:动环主机
2.满足完成此项工作所需要的全部工作内容，包括设计图纸、技术规范书、答疑、招标文件、现行规范、图集、验收等全部要求。</t>
  </si>
  <si>
    <t>030503006002</t>
  </si>
  <si>
    <t>温湿度监测</t>
  </si>
  <si>
    <t>1.名称:温湿度监测
2.满足完成此项工作所需要的全部工作内容，包括设计图纸、技术规范书、答疑、招标文件、现行规范、图集、验收等全部要求。</t>
  </si>
  <si>
    <t>030503006003</t>
  </si>
  <si>
    <t>电力监测</t>
  </si>
  <si>
    <t>1.名称:电力监测
2.满足完成此项工作所需要的全部工作内容，包括设计图纸、技术规范书、答疑、招标文件、现行规范、图集、验收等全部要求。</t>
  </si>
  <si>
    <t>030503009002</t>
  </si>
  <si>
    <t>动环监控系统调试</t>
  </si>
  <si>
    <t>1.名称:动环监控系统调试
2.满足完成此项工作所需要的全部工作内容，包括设计图纸、技术规范书、答疑、招标文件、现行规范、图集、验收等全部要求。</t>
  </si>
  <si>
    <t>030404017090</t>
  </si>
  <si>
    <t>配电箱15-a1ATPU-ab1</t>
  </si>
  <si>
    <t>1.名称：配电箱15-a1ATPU-ab1
2.安装方式：挂墙安装
3.满足完成此项工作所需要的全部工作内容，包括设计图纸、技术规范书、答疑、招标文件、现行规范、图集、验收等全部要求</t>
  </si>
  <si>
    <t>030408001035</t>
  </si>
  <si>
    <t>电力电缆</t>
  </si>
  <si>
    <t>1.名称：电力电缆
2.规格：WDZA-YJY-2*6+E6
3.满足完成此项工作所需要的全部工作内容，包括设计图纸、技术规范书、答疑、招标文件、现行规范、图集、验收等全部要求</t>
  </si>
  <si>
    <t>030408001036</t>
  </si>
  <si>
    <t>1.名称：电力电缆
2.规格：WDZA-YJY-2*4+E4
3.满足完成此项工作所需要的全部工作内容，包括设计图纸、技术规范书、答疑、招标文件、现行规范、图集、验收等全部要求</t>
  </si>
  <si>
    <t>030408001037</t>
  </si>
  <si>
    <t>1.名称：电力电缆
2.规格：WDZA-YJY-4x25+E16
3.满足完成此项工作所需要的全部工作内容，包括设计图纸、技术规范书、答疑、招标文件、现行规范、图集、验收等全部要求</t>
  </si>
  <si>
    <t>030408006015</t>
  </si>
  <si>
    <t>电力电缆头</t>
  </si>
  <si>
    <t>1.名称：热缩式电力电缆头
2.规格：WDZA-YJY-4x25+E16
3.满足完成此项工作所需要的全部工作内容，包括设计图纸、技术规范书、答疑、招标文件、现行规范、图集、验收等全部要求</t>
  </si>
  <si>
    <t>030408004011</t>
  </si>
  <si>
    <t>电缆槽盒</t>
  </si>
  <si>
    <t>1.名称：电缆金属槽盒
2.规格：200*100
3.满足完成此项工作所需要的全部工作内容，包括设计图纸、技术规范书、答疑、招标文件、现行规范、图集、验收等全部要求</t>
  </si>
  <si>
    <t>030413001019</t>
  </si>
  <si>
    <t>1.名称:桥架等支吊架镀锌铁构件制作与安装
2.规格:综合
3.满足完成此项工作所需要的全部工作内容，包括设计图纸、技术规范书、答疑、招标文件、现行规范、图集、验收等全部要求</t>
  </si>
  <si>
    <t>030404035018</t>
  </si>
  <si>
    <t>单相二、三极暗插座</t>
  </si>
  <si>
    <t>1.名称：单相二、三极暗插座
2.安装方式：底边距地 0.3米
3.满足完成此项工作所需要的全部工作内容，包括设计图纸、技术规范书、答疑、招标文件、现行规范、图集、验收等全部要求</t>
  </si>
  <si>
    <t>030411006007</t>
  </si>
  <si>
    <t>1.名称:接线盒
2.材质:综合
3.安装形式:满足设计及规范验收要求
4.满足完成此项工作所需要的全部工作内容，包括设计图纸、技术规范书、答疑、招标文件、现行规范、图集、验收等全部要求</t>
  </si>
  <si>
    <t>030901013001</t>
  </si>
  <si>
    <t>灭火器</t>
  </si>
  <si>
    <t>1.规格、型号:手提式灭火器 MF/ABC5
2.形式:磷酸铵盐干粉
3.满足完成此项工作所需要的全部工作内容，包括设计图纸、技术规范书、答疑、招标文件、现行规范、图集、验收等全部要求</t>
  </si>
  <si>
    <t>具</t>
  </si>
  <si>
    <t>030901013002</t>
  </si>
  <si>
    <t>灭火器箱</t>
  </si>
  <si>
    <t>1.名称:灭火器箱
2.满足完成此项工作所需要的全部工作内容，包括设计图纸、技术规范书、答疑、招标文件、现行规范、图集、验收等全部要求</t>
  </si>
  <si>
    <t>030502001005</t>
  </si>
  <si>
    <t>1.名称:弱电机柜600*1200*2000,含两个PDU
2.安装方式:落地安装
3.满足完成此项工作所需要的全部工作内容，包括设计图纸、技术规范书、答疑、招标文件、现行规范、图集、验收等全部要求</t>
  </si>
  <si>
    <t>030409008005</t>
  </si>
  <si>
    <t>030409008006</t>
  </si>
  <si>
    <t>030409002008</t>
  </si>
  <si>
    <t>030409002009</t>
  </si>
  <si>
    <t>030409002010</t>
  </si>
  <si>
    <t>080608003002</t>
  </si>
  <si>
    <t>030411001044</t>
  </si>
  <si>
    <t>030411004025</t>
  </si>
  <si>
    <t>030413001020</t>
  </si>
  <si>
    <t>030503003012</t>
  </si>
  <si>
    <t>030503006004</t>
  </si>
  <si>
    <t>030503006005</t>
  </si>
  <si>
    <t>030503009003</t>
  </si>
  <si>
    <t>011104004005</t>
  </si>
  <si>
    <t>防静电活动地板</t>
  </si>
  <si>
    <t>1.600x600X35厚架空防静电活动地板
全钢抗静电活动地板架空250mm
2.支撑腿等电位接地铜铂带50*0.5
3.安装防静电地板支撑腿及四周角钢加固
4.如有室内设备基础：室内设备基础四周及表面装修做法均同所在区域地面面层装修做法,且所有设备基础阳角做15mm斜角,防止磕碰破坏
5.满足完成此项工作所需要的全部工作内容，包括设计图纸、技术规范书、答疑、招标文件、现行规范、图集、验收等全部要求</t>
  </si>
  <si>
    <t>030404017091</t>
  </si>
  <si>
    <t>配电箱15-b2APU-hj-UPS</t>
  </si>
  <si>
    <t>1.名称：配电箱15-b2APU-hj-UPS
2.安装方式：挂墙安装
3.满足完成此项工作所需要的全部工作内容，包括设计图纸、技术规范书、答疑、招标文件、现行规范、图集、验收等全部要求</t>
  </si>
  <si>
    <t>030408001038</t>
  </si>
  <si>
    <t>1.名称：电力电缆
2.规格：WDZA-YJY-4x10+E10
3.满足完成此项工作所需要的全部工作内容，包括设计图纸、技术规范书、答疑、招标文件、现行规范、图集、验收等全部要求</t>
  </si>
  <si>
    <t>030408001039</t>
  </si>
  <si>
    <t>030408001040</t>
  </si>
  <si>
    <t>1.名称：电力电缆
2.规格：WDZA-YJY-2*2.5+E2.5
3.满足完成此项工作所需要的全部工作内容，包括设计图纸、技术规范书、答疑、招标文件、现行规范、图集、验收等全部要求</t>
  </si>
  <si>
    <t>030408001041</t>
  </si>
  <si>
    <t>1.名称：电力电缆
2.规格：WDZA-YJY-4x16+E16
3.满足完成此项工作所需要的全部工作内容，包括设计图纸、技术规范书、答疑、招标文件、现行规范、图集、验收等全部要求</t>
  </si>
  <si>
    <t>030404036007</t>
  </si>
  <si>
    <t>压铜接线端子 导线截面≤16mm2</t>
  </si>
  <si>
    <t>1.名称：压铜接线端子
2.规格：导线截面16mm2
3.满足完成此项工作所需要的全部工作内容，包括设计图纸、技术规范书、答疑、招标文件、现行规范、图集、验收等全部要求</t>
  </si>
  <si>
    <t>030408004012</t>
  </si>
  <si>
    <t>1.名称：电缆金属槽盒
2.规格：400*100
3.满足完成此项工作所需要的全部工作内容，包括设计图纸、技术规范书、答疑、招标文件、现行规范、图集、验收等全部要求</t>
  </si>
  <si>
    <t>030411003006</t>
  </si>
  <si>
    <t>1.名称：弱电热镀锌桥架
2.规格：400*80
3.满足完成此项工作所需要的全部工作内容，包括设计图纸、技术规范书、答疑、招标文件、现行规范、图集、验收等全部要求</t>
  </si>
  <si>
    <t>030411003007</t>
  </si>
  <si>
    <t>1.名称：弱电热镀锌桥架
2.规格：600*80
3.满足完成此项工作所需要的全部工作内容，包括设计图纸、技术规范书、答疑、招标文件、现行规范、图集、验收等全部要求</t>
  </si>
  <si>
    <t>030413001021</t>
  </si>
  <si>
    <t>030412001005</t>
  </si>
  <si>
    <t>普通灯具</t>
  </si>
  <si>
    <t>1.名称：单管荧光灯
2.满足完成此项工作所需要的全部工作内容，包括设计图纸、技术规范书、答疑、招标文件、现行规范、图集、验收等全部要求</t>
  </si>
  <si>
    <t>030404034017</t>
  </si>
  <si>
    <t>双极单控暗开关</t>
  </si>
  <si>
    <t>1.名称：双极单控暗开关
2.安装方式：底边距地 1.3米
3.满足完成此项工作所需要的全部工作内容，包括设计图纸、技术规范书、答疑、招标文件、现行规范、图集、验收等全部要求</t>
  </si>
  <si>
    <t>030404035019</t>
  </si>
  <si>
    <t>030411006008</t>
  </si>
  <si>
    <t>1.名称:接线盒
2.材质:综合
3.安装形式:满足设计及规范验收要求
4.其它:满足完成此项工作所需要的全部工作内容，包括设计图纸、技术规范书、答疑、招标文件、现行规范、图集、验收等全部要求</t>
  </si>
  <si>
    <t>030901013003</t>
  </si>
  <si>
    <t>030901013004</t>
  </si>
  <si>
    <t>030502001006</t>
  </si>
  <si>
    <t>030409008007</t>
  </si>
  <si>
    <t>030409008008</t>
  </si>
  <si>
    <t>030409002011</t>
  </si>
  <si>
    <t>030409002012</t>
  </si>
  <si>
    <t>030409002013</t>
  </si>
  <si>
    <t>080608003003</t>
  </si>
  <si>
    <t>030411001045</t>
  </si>
  <si>
    <t>1.名称:配管
2.材质:JDG20
3.敷设方式:综合考虑
4.满足完成此项工作所需要的全部工作内容，包括设计图纸、技术规范书、答疑、招标文件、现行规范、图集、验收等全部要求</t>
  </si>
  <si>
    <t>030411004026</t>
  </si>
  <si>
    <t>030413001022</t>
  </si>
  <si>
    <t>030503003013</t>
  </si>
  <si>
    <t>030503006006</t>
  </si>
  <si>
    <t>030503006007</t>
  </si>
  <si>
    <t>030503009004</t>
  </si>
  <si>
    <t>011104004006</t>
  </si>
  <si>
    <t>030404017092</t>
  </si>
  <si>
    <t>030408001042</t>
  </si>
  <si>
    <t>030408001043</t>
  </si>
  <si>
    <t>030408001044</t>
  </si>
  <si>
    <t>030408001045</t>
  </si>
  <si>
    <t>030404036008</t>
  </si>
  <si>
    <t>030408004013</t>
  </si>
  <si>
    <t>030411003008</t>
  </si>
  <si>
    <t>030411003009</t>
  </si>
  <si>
    <t>030413001023</t>
  </si>
  <si>
    <t>030412001006</t>
  </si>
  <si>
    <t>030404034018</t>
  </si>
  <si>
    <t>030404035020</t>
  </si>
  <si>
    <t>030411006009</t>
  </si>
  <si>
    <t>030901013005</t>
  </si>
  <si>
    <t>030901013006</t>
  </si>
  <si>
    <t>030502001007</t>
  </si>
  <si>
    <t>030409008009</t>
  </si>
  <si>
    <t>030409008010</t>
  </si>
  <si>
    <t>030409002014</t>
  </si>
  <si>
    <t>030409002015</t>
  </si>
  <si>
    <t>030409002016</t>
  </si>
  <si>
    <t>080608003004</t>
  </si>
  <si>
    <t>1.名称：UPS不间断电源设备
2.材质规格：30kVA，含蓄电池2h
3.含电池柜/架、散力架、连接线、电池配电箱
4.满足完成此项工作所需要的全部工作内容，包括设计图纸、技术规范书、答疑、招标文件、现行规范、图集、验收等全部要求</t>
  </si>
  <si>
    <t>030411001046</t>
  </si>
  <si>
    <t>030411004027</t>
  </si>
  <si>
    <t>030413001024</t>
  </si>
  <si>
    <t>030503003014</t>
  </si>
  <si>
    <t>030503006008</t>
  </si>
  <si>
    <t>030503006009</t>
  </si>
  <si>
    <t>030503009005</t>
  </si>
  <si>
    <t>011104004007</t>
  </si>
  <si>
    <t>030404017093</t>
  </si>
  <si>
    <t>配电箱15-a1APU-it-UPS</t>
  </si>
  <si>
    <t>1.名称：配电箱15-a1APU-it-UPS
2.安装方式：挂墙安装
3.满足完成此项工作所需要的全部工作内容，包括设计图纸、技术规范书、答疑、招标文件、现行规范、图集、验收等全部要求</t>
  </si>
  <si>
    <t>030408001046</t>
  </si>
  <si>
    <t>030408001047</t>
  </si>
  <si>
    <t>030408001048</t>
  </si>
  <si>
    <t>030408001049</t>
  </si>
  <si>
    <t>030408006016</t>
  </si>
  <si>
    <t>030408004014</t>
  </si>
  <si>
    <t>030411003010</t>
  </si>
  <si>
    <t>030413001025</t>
  </si>
  <si>
    <t>030412001007</t>
  </si>
  <si>
    <t>030404034019</t>
  </si>
  <si>
    <t>030404035021</t>
  </si>
  <si>
    <t>030411006010</t>
  </si>
  <si>
    <t>030901013007</t>
  </si>
  <si>
    <t>030901013008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</si>
</sst>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8">
    <font>
      <sz val="11"/>
      <color theme="1"/>
      <name val="等线"/>
      <charset val="134"/>
      <scheme val="minor"/>
    </font>
    <font>
      <b/>
      <sz val="14"/>
      <color rgb="FF000000"/>
      <name val="宋体"/>
      <charset val="134"/>
    </font>
    <font>
      <sz val="14"/>
      <color rgb="FF000000"/>
      <name val="宋体"/>
      <charset val="134"/>
    </font>
    <font>
      <sz val="10"/>
      <color rgb="FF000000"/>
      <name val="宋体"/>
      <charset val="134"/>
    </font>
    <font>
      <b/>
      <sz val="10"/>
      <color rgb="FF000000"/>
      <name val="宋体"/>
      <charset val="134"/>
    </font>
    <font>
      <sz val="11"/>
      <color rgb="FF000000"/>
      <name val="Calibri"/>
      <charset val="134"/>
    </font>
    <font>
      <sz val="11"/>
      <name val="等线"/>
      <charset val="134"/>
      <scheme val="minor"/>
    </font>
    <font>
      <sz val="10"/>
      <name val="宋体"/>
      <charset val="134"/>
    </font>
    <font>
      <sz val="14"/>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rgb="FFD9E1F2"/>
        <bgColor indexed="64"/>
      </patternFill>
    </fill>
    <fill>
      <patternFill patternType="solid">
        <fgColor rgb="FFE2EFDA"/>
        <bgColor indexed="64"/>
      </patternFill>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6"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7" borderId="7" applyNumberFormat="0" applyAlignment="0" applyProtection="0">
      <alignment vertical="center"/>
    </xf>
    <xf numFmtId="0" fontId="18" fillId="8" borderId="8" applyNumberFormat="0" applyAlignment="0" applyProtection="0">
      <alignment vertical="center"/>
    </xf>
    <xf numFmtId="0" fontId="19" fillId="8" borderId="7" applyNumberFormat="0" applyAlignment="0" applyProtection="0">
      <alignment vertical="center"/>
    </xf>
    <xf numFmtId="0" fontId="20" fillId="9"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cellStyleXfs>
  <cellXfs count="67">
    <xf numFmtId="0" fontId="0" fillId="0" borderId="0" xfId="0" applyAlignment="1">
      <alignment vertical="center"/>
    </xf>
    <xf numFmtId="0" fontId="0" fillId="0" borderId="0" xfId="0" applyFont="1" applyFill="1" applyAlignment="1">
      <alignment vertical="center"/>
    </xf>
    <xf numFmtId="0" fontId="1" fillId="0" borderId="1" xfId="0" applyFont="1" applyBorder="1" applyAlignment="1">
      <alignment horizontal="center" vertical="center" wrapText="1"/>
    </xf>
    <xf numFmtId="0" fontId="2" fillId="0"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1" xfId="0" applyFont="1" applyBorder="1" applyAlignment="1"/>
    <xf numFmtId="0" fontId="3" fillId="0" borderId="1" xfId="0" applyFont="1" applyBorder="1" applyAlignment="1">
      <alignment horizontal="left" vertical="center" wrapText="1"/>
    </xf>
    <xf numFmtId="4" fontId="3" fillId="0" borderId="1" xfId="0" applyNumberFormat="1" applyFont="1" applyBorder="1" applyAlignment="1">
      <alignment horizontal="right" vertical="center" wrapText="1"/>
    </xf>
    <xf numFmtId="0" fontId="0" fillId="0" borderId="2" xfId="0" applyFont="1" applyFill="1" applyBorder="1" applyAlignment="1">
      <alignment vertical="center"/>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4" fontId="4" fillId="3" borderId="1" xfId="0" applyNumberFormat="1" applyFont="1" applyFill="1" applyBorder="1" applyAlignment="1">
      <alignment horizontal="right" vertical="center" wrapText="1"/>
    </xf>
    <xf numFmtId="4" fontId="3" fillId="0" borderId="1" xfId="0" applyNumberFormat="1" applyFont="1" applyFill="1" applyBorder="1" applyAlignment="1">
      <alignment horizontal="right" vertical="center" wrapText="1"/>
    </xf>
    <xf numFmtId="0" fontId="0" fillId="0" borderId="2" xfId="0" applyBorder="1" applyAlignment="1">
      <alignment vertical="center"/>
    </xf>
    <xf numFmtId="0" fontId="1" fillId="0" borderId="2" xfId="0" applyFont="1" applyBorder="1" applyAlignment="1">
      <alignment horizontal="center" vertical="center" wrapText="1"/>
    </xf>
    <xf numFmtId="0" fontId="3"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0" fillId="0" borderId="0" xfId="0" applyFill="1" applyAlignment="1">
      <alignment vertical="center"/>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4" fontId="3" fillId="0" borderId="1" xfId="0" applyNumberFormat="1" applyFont="1" applyFill="1" applyBorder="1" applyAlignment="1">
      <alignment horizontal="right" vertical="center" wrapText="1"/>
    </xf>
    <xf numFmtId="0" fontId="0" fillId="0" borderId="2" xfId="0" applyFill="1" applyBorder="1" applyAlignment="1">
      <alignment vertical="center"/>
    </xf>
    <xf numFmtId="0" fontId="6" fillId="0" borderId="0" xfId="0" applyFont="1" applyFill="1" applyAlignment="1">
      <alignment vertical="center"/>
    </xf>
    <xf numFmtId="0" fontId="1" fillId="0" borderId="2"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0" borderId="2" xfId="0" applyFont="1" applyFill="1" applyBorder="1" applyAlignment="1">
      <alignment vertical="center"/>
    </xf>
    <xf numFmtId="4" fontId="3" fillId="0" borderId="1" xfId="0" applyNumberFormat="1" applyFont="1" applyFill="1" applyBorder="1" applyAlignment="1">
      <alignment horizontal="right"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4" fontId="7" fillId="0" borderId="1" xfId="0" applyNumberFormat="1" applyFont="1" applyFill="1" applyBorder="1" applyAlignment="1">
      <alignment horizontal="right" vertical="center" wrapText="1"/>
    </xf>
    <xf numFmtId="4" fontId="7" fillId="0" borderId="1" xfId="0" applyNumberFormat="1" applyFont="1" applyFill="1" applyBorder="1" applyAlignment="1">
      <alignment horizontal="right" vertical="center" wrapText="1"/>
    </xf>
    <xf numFmtId="0" fontId="0" fillId="4" borderId="2" xfId="0" applyFill="1" applyBorder="1" applyAlignment="1">
      <alignment vertical="center"/>
    </xf>
    <xf numFmtId="4" fontId="3" fillId="5" borderId="1" xfId="0" applyNumberFormat="1" applyFont="1" applyFill="1" applyBorder="1" applyAlignment="1">
      <alignment horizontal="right" vertical="center" wrapText="1"/>
    </xf>
    <xf numFmtId="0" fontId="3" fillId="5" borderId="1" xfId="0" applyFont="1" applyFill="1" applyBorder="1" applyAlignment="1">
      <alignment horizontal="center" vertical="center" wrapText="1"/>
    </xf>
    <xf numFmtId="0" fontId="0" fillId="0" borderId="0" xfId="0" applyFill="1" applyAlignment="1">
      <alignment vertical="center"/>
    </xf>
    <xf numFmtId="0" fontId="0" fillId="0" borderId="0" xfId="0" applyFill="1" applyAlignment="1">
      <alignment vertical="center"/>
    </xf>
    <xf numFmtId="0" fontId="3" fillId="0" borderId="1" xfId="0" applyFont="1" applyFill="1" applyBorder="1" applyAlignment="1">
      <alignment horizontal="left" vertical="center" wrapText="1"/>
    </xf>
    <xf numFmtId="0" fontId="0" fillId="0" borderId="2" xfId="0" applyFill="1" applyBorder="1" applyAlignment="1">
      <alignment vertical="center"/>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0" fillId="0" borderId="2" xfId="0" applyFill="1" applyBorder="1" applyAlignment="1">
      <alignment vertical="center"/>
    </xf>
    <xf numFmtId="176" fontId="0" fillId="0" borderId="2" xfId="0" applyNumberFormat="1" applyFill="1" applyBorder="1" applyAlignment="1">
      <alignment vertical="center"/>
    </xf>
    <xf numFmtId="0" fontId="5" fillId="0" borderId="1" xfId="0" applyFont="1" applyBorder="1" applyAlignment="1">
      <alignment horizontal="center"/>
    </xf>
    <xf numFmtId="4" fontId="3" fillId="0" borderId="1" xfId="0" applyNumberFormat="1" applyFont="1" applyBorder="1" applyAlignment="1">
      <alignment horizontal="center" vertical="center" wrapText="1"/>
    </xf>
    <xf numFmtId="0" fontId="0" fillId="0" borderId="2" xfId="0" applyBorder="1" applyAlignment="1">
      <alignment horizontal="center" vertical="center"/>
    </xf>
    <xf numFmtId="4" fontId="4" fillId="3" borderId="1" xfId="0" applyNumberFormat="1" applyFont="1" applyFill="1" applyBorder="1" applyAlignment="1">
      <alignment horizontal="center" vertical="center" wrapText="1"/>
    </xf>
    <xf numFmtId="0" fontId="6" fillId="0" borderId="0" xfId="0" applyFont="1" applyFill="1" applyAlignment="1">
      <alignment vertical="center"/>
    </xf>
    <xf numFmtId="0" fontId="0" fillId="5" borderId="0" xfId="0" applyFill="1" applyAlignment="1">
      <alignment vertical="center"/>
    </xf>
    <xf numFmtId="0" fontId="0" fillId="0" borderId="1" xfId="0" applyBorder="1" applyAlignment="1">
      <alignment vertical="center"/>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6" fillId="0" borderId="2" xfId="0" applyFont="1" applyFill="1" applyBorder="1" applyAlignment="1">
      <alignment vertical="center"/>
    </xf>
    <xf numFmtId="0" fontId="3" fillId="5" borderId="1" xfId="0" applyFont="1" applyFill="1" applyBorder="1" applyAlignment="1">
      <alignment horizontal="left" vertical="center" wrapText="1"/>
    </xf>
    <xf numFmtId="0" fontId="0" fillId="5" borderId="2" xfId="0" applyFill="1" applyBorder="1" applyAlignment="1">
      <alignment vertical="center"/>
    </xf>
    <xf numFmtId="0" fontId="0" fillId="0" borderId="1" xfId="0" applyFill="1" applyBorder="1" applyAlignment="1">
      <alignment vertical="center"/>
    </xf>
    <xf numFmtId="0" fontId="0" fillId="0" borderId="3" xfId="0" applyBorder="1" applyAlignment="1">
      <alignment vertical="center"/>
    </xf>
    <xf numFmtId="0" fontId="0" fillId="0" borderId="3" xfId="0" applyBorder="1" applyAlignment="1">
      <alignment horizontal="center" vertical="center"/>
    </xf>
    <xf numFmtId="0" fontId="6" fillId="0" borderId="0" xfId="0" applyFont="1" applyFill="1" applyAlignment="1">
      <alignment vertical="center"/>
    </xf>
    <xf numFmtId="0" fontId="0" fillId="0" borderId="1" xfId="0" applyFill="1" applyBorder="1" applyAlignment="1">
      <alignment vertical="center"/>
    </xf>
    <xf numFmtId="4" fontId="3" fillId="0" borderId="1" xfId="0" applyNumberFormat="1" applyFont="1" applyFill="1" applyBorder="1" applyAlignment="1">
      <alignment horizontal="right" vertical="center"/>
    </xf>
    <xf numFmtId="4" fontId="3" fillId="0" borderId="1" xfId="0" applyNumberFormat="1" applyFont="1" applyFill="1" applyBorder="1" applyAlignment="1">
      <alignment horizontal="right" vertical="center"/>
    </xf>
    <xf numFmtId="4" fontId="7" fillId="0" borderId="1" xfId="0" applyNumberFormat="1" applyFont="1" applyFill="1" applyBorder="1" applyAlignment="1">
      <alignment horizontal="right" vertical="center"/>
    </xf>
    <xf numFmtId="4" fontId="3" fillId="0" borderId="1" xfId="0" applyNumberFormat="1" applyFont="1" applyFill="1" applyBorder="1" applyAlignment="1">
      <alignment horizontal="right" vertical="center"/>
    </xf>
    <xf numFmtId="0" fontId="8"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tyles" Target="styles.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27"/>
  <sheetViews>
    <sheetView tabSelected="1" zoomScale="115" zoomScaleNormal="115" workbookViewId="0">
      <selection activeCell="D27" sqref="D27"/>
    </sheetView>
  </sheetViews>
  <sheetFormatPr defaultColWidth="8" defaultRowHeight="13.85" outlineLevelCol="2"/>
  <cols>
    <col min="1" max="1" width="6" customWidth="1"/>
    <col min="2" max="2" width="50" customWidth="1"/>
    <col min="3" max="3" width="18" style="38" customWidth="1"/>
    <col min="4" max="16380" width="8" style="20"/>
  </cols>
  <sheetData>
    <row r="1" ht="30" customHeight="1" spans="1:3">
      <c r="A1" s="2" t="s">
        <v>0</v>
      </c>
      <c r="B1" s="51"/>
      <c r="C1" s="61"/>
    </row>
    <row r="2" ht="25" customHeight="1" spans="1:3">
      <c r="A2" s="6" t="s">
        <v>1</v>
      </c>
      <c r="B2" s="6" t="s">
        <v>2</v>
      </c>
      <c r="C2" s="6" t="s">
        <v>3</v>
      </c>
    </row>
    <row r="3" ht="25" customHeight="1" spans="1:3">
      <c r="A3" s="4">
        <v>1</v>
      </c>
      <c r="B3" s="8" t="s">
        <v>4</v>
      </c>
      <c r="C3" s="62">
        <f>'1#、3#、8#、15#五方对讲系统'!N7</f>
        <v>4224</v>
      </c>
    </row>
    <row r="4" s="37" customFormat="1" ht="25" customHeight="1" spans="1:3">
      <c r="A4" s="27">
        <v>2</v>
      </c>
      <c r="B4" s="39" t="s">
        <v>5</v>
      </c>
      <c r="C4" s="63">
        <f>'1#数据中心BA系统'!N9</f>
        <v>29549.91</v>
      </c>
    </row>
    <row r="5" ht="25" customHeight="1" spans="1:3">
      <c r="A5" s="4">
        <v>3</v>
      </c>
      <c r="B5" s="8" t="s">
        <v>6</v>
      </c>
      <c r="C5" s="62">
        <f>'1#数据中心安防门禁系统'!N39</f>
        <v>209298.03</v>
      </c>
    </row>
    <row r="6" s="37" customFormat="1" ht="25" customHeight="1" spans="1:3">
      <c r="A6" s="27">
        <v>4</v>
      </c>
      <c r="B6" s="39" t="s">
        <v>7</v>
      </c>
      <c r="C6" s="63">
        <f>'1#数据中心综合布线系统'!N35</f>
        <v>68130.3</v>
      </c>
    </row>
    <row r="7" s="37" customFormat="1" ht="25" customHeight="1" spans="1:3">
      <c r="A7" s="27">
        <v>5</v>
      </c>
      <c r="B7" s="39" t="s">
        <v>8</v>
      </c>
      <c r="C7" s="63">
        <f>'3#数据中心BA系统'!N11</f>
        <v>29549.91</v>
      </c>
    </row>
    <row r="8" ht="25" customHeight="1" spans="1:3">
      <c r="A8" s="4">
        <v>6</v>
      </c>
      <c r="B8" s="8" t="s">
        <v>9</v>
      </c>
      <c r="C8" s="62">
        <f>'3#数据中心安防门禁系统'!N38</f>
        <v>200431.02</v>
      </c>
    </row>
    <row r="9" ht="25" customHeight="1" spans="1:3">
      <c r="A9" s="4">
        <v>7</v>
      </c>
      <c r="B9" s="8" t="s">
        <v>10</v>
      </c>
      <c r="C9" s="62">
        <f>'3#数据中心综合布线系统'!N34</f>
        <v>67681.33</v>
      </c>
    </row>
    <row r="10" ht="25" customHeight="1" spans="1:3">
      <c r="A10" s="4">
        <v>8</v>
      </c>
      <c r="B10" s="8" t="s">
        <v>11</v>
      </c>
      <c r="C10" s="62">
        <f>'8#、15#非管区入侵报警系统'!N56</f>
        <v>124363.36</v>
      </c>
    </row>
    <row r="11" s="37" customFormat="1" ht="25" customHeight="1" spans="1:3">
      <c r="A11" s="27">
        <v>9</v>
      </c>
      <c r="B11" s="39" t="s">
        <v>12</v>
      </c>
      <c r="C11" s="63">
        <f>'8#、15#非管区时钟同步系统'!N22</f>
        <v>255533.89</v>
      </c>
    </row>
    <row r="12" s="60" customFormat="1" ht="25" customHeight="1" spans="1:3">
      <c r="A12" s="52">
        <v>10</v>
      </c>
      <c r="B12" s="53" t="s">
        <v>13</v>
      </c>
      <c r="C12" s="64">
        <f>'8#、15#非管区视频监控系统'!N123</f>
        <v>4735454.6983</v>
      </c>
    </row>
    <row r="13" s="37" customFormat="1" ht="25" customHeight="1" spans="1:3">
      <c r="A13" s="27">
        <v>11</v>
      </c>
      <c r="B13" s="39" t="s">
        <v>14</v>
      </c>
      <c r="C13" s="63">
        <f>'8#、15#非管区巡更系统'!N14</f>
        <v>48299.94</v>
      </c>
    </row>
    <row r="14" ht="25" customHeight="1" spans="1:3">
      <c r="A14" s="4">
        <v>12</v>
      </c>
      <c r="B14" s="8" t="s">
        <v>15</v>
      </c>
      <c r="C14" s="62">
        <f>'8#、15#非管区一卡通系统'!N108</f>
        <v>846622.44</v>
      </c>
    </row>
    <row r="15" s="37" customFormat="1" ht="25" customHeight="1" spans="1:3">
      <c r="A15" s="27">
        <v>13</v>
      </c>
      <c r="B15" s="39" t="s">
        <v>16</v>
      </c>
      <c r="C15" s="63">
        <f>'8#、15#非管区园区智能化管理平台系统'!N40</f>
        <v>241713.9245</v>
      </c>
    </row>
    <row r="16" s="37" customFormat="1" ht="25" customHeight="1" spans="1:3">
      <c r="A16" s="27">
        <v>14</v>
      </c>
      <c r="B16" s="39" t="s">
        <v>17</v>
      </c>
      <c r="C16" s="63">
        <f>'8#、15#非管区综合布线系统'!N68</f>
        <v>1674589.0122</v>
      </c>
    </row>
    <row r="17" s="37" customFormat="1" ht="25" customHeight="1" spans="1:3">
      <c r="A17" s="27">
        <v>15</v>
      </c>
      <c r="B17" s="39" t="s">
        <v>18</v>
      </c>
      <c r="C17" s="63">
        <f>'8#、15#非管区BA系统'!N124</f>
        <v>496864.288</v>
      </c>
    </row>
    <row r="18" s="37" customFormat="1" ht="25" customHeight="1" spans="1:3">
      <c r="A18" s="27">
        <v>16</v>
      </c>
      <c r="B18" s="39" t="s">
        <v>19</v>
      </c>
      <c r="C18" s="63">
        <f>'8#、15#非管区多媒体系统'!N509</f>
        <v>4749832.074</v>
      </c>
    </row>
    <row r="19" s="37" customFormat="1" ht="25" customHeight="1" spans="1:3">
      <c r="A19" s="27">
        <v>17</v>
      </c>
      <c r="B19" s="39" t="s">
        <v>20</v>
      </c>
      <c r="C19" s="63">
        <f>'8#、15#非管区信息发布系统'!N45</f>
        <v>495770.623</v>
      </c>
    </row>
    <row r="20" ht="25" customHeight="1" spans="1:3">
      <c r="A20" s="21">
        <v>18</v>
      </c>
      <c r="B20" s="22" t="s">
        <v>21</v>
      </c>
      <c r="C20" s="65">
        <f>'8#楼ECC非管区灯光控制工程'!N42</f>
        <v>100300.06</v>
      </c>
    </row>
    <row r="21" ht="25" customHeight="1" spans="1:3">
      <c r="A21" s="21">
        <v>19</v>
      </c>
      <c r="B21" s="22" t="s">
        <v>22</v>
      </c>
      <c r="C21" s="65">
        <f>'8#楼ECC非管区电动窗帘控制工程'!N23</f>
        <v>76041.54</v>
      </c>
    </row>
    <row r="22" ht="25" customHeight="1" spans="1:3">
      <c r="A22" s="21">
        <v>20</v>
      </c>
      <c r="B22" s="22" t="s">
        <v>23</v>
      </c>
      <c r="C22" s="65">
        <f>'15#楼生产综合楼灯光控制工程'!N41</f>
        <v>106164.59</v>
      </c>
    </row>
    <row r="23" ht="25" customHeight="1" spans="1:3">
      <c r="A23" s="21">
        <v>21</v>
      </c>
      <c r="B23" s="22" t="s">
        <v>24</v>
      </c>
      <c r="C23" s="65">
        <f>'15#楼生产楼电动窗帘控制工程'!N24</f>
        <v>133556.53</v>
      </c>
    </row>
    <row r="24" s="37" customFormat="1" ht="25" customHeight="1" spans="1:3">
      <c r="A24" s="27">
        <v>22</v>
      </c>
      <c r="B24" s="39" t="s">
        <v>25</v>
      </c>
      <c r="C24" s="63">
        <f>'15#楼生产综合楼值班室、机房、工具间'!N151</f>
        <v>568252.22</v>
      </c>
    </row>
    <row r="25" ht="25" customHeight="1" spans="1:3">
      <c r="A25" s="4"/>
      <c r="B25" s="8" t="s">
        <v>26</v>
      </c>
      <c r="C25" s="62">
        <f>SUM(C3:C24)</f>
        <v>15262223.69</v>
      </c>
    </row>
    <row r="27" ht="17.6" spans="1:3">
      <c r="B27" s="66"/>
    </row>
  </sheetData>
  <autoFilter xmlns:etc="http://www.wps.cn/officeDocument/2017/etCustomData" ref="A2:C25" etc:filterBottomFollowUsedRange="0">
    <extLst/>
  </autoFilter>
  <mergeCells count="1">
    <mergeCell ref="A1:C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8"/>
  <sheetViews>
    <sheetView zoomScale="115" zoomScaleNormal="115" topLeftCell="D1" workbookViewId="0">
      <selection activeCell="L12" sqref="L12"/>
    </sheetView>
  </sheetViews>
  <sheetFormatPr defaultColWidth="8" defaultRowHeight="13.85" outlineLevelRow="7"/>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9.49557522123894" customWidth="1"/>
  </cols>
  <sheetData>
    <row r="1" ht="30" customHeight="1" spans="1:14">
      <c r="A1" s="2" t="s">
        <v>27</v>
      </c>
      <c r="B1" s="2"/>
      <c r="C1" s="2"/>
      <c r="D1" s="2"/>
      <c r="E1" s="2"/>
      <c r="F1" s="2"/>
      <c r="G1" s="2"/>
      <c r="H1" s="2"/>
      <c r="I1" s="2"/>
      <c r="J1" s="2"/>
      <c r="K1" s="2"/>
      <c r="L1" s="2"/>
      <c r="M1" s="2"/>
      <c r="N1" s="2"/>
    </row>
    <row r="2" ht="25" customHeight="1" spans="1:14">
      <c r="A2" s="8" t="s">
        <v>28</v>
      </c>
      <c r="B2" s="51"/>
      <c r="C2" s="51"/>
      <c r="D2" s="51"/>
      <c r="E2" s="51"/>
      <c r="F2" s="51"/>
      <c r="G2" s="8" t="s">
        <v>29</v>
      </c>
      <c r="H2" s="51"/>
      <c r="I2" s="51"/>
      <c r="J2" s="51"/>
      <c r="K2" s="51"/>
      <c r="L2" s="4" t="s">
        <v>30</v>
      </c>
      <c r="M2" s="4"/>
      <c r="N2" s="4"/>
    </row>
    <row r="3" ht="25" customHeight="1" spans="1:14">
      <c r="A3" s="6" t="s">
        <v>1</v>
      </c>
      <c r="B3" s="6" t="s">
        <v>31</v>
      </c>
      <c r="C3" s="6" t="s">
        <v>32</v>
      </c>
      <c r="D3" s="6" t="s">
        <v>33</v>
      </c>
      <c r="E3" s="6" t="s">
        <v>34</v>
      </c>
      <c r="F3" s="6" t="s">
        <v>35</v>
      </c>
      <c r="G3" s="6" t="s">
        <v>3</v>
      </c>
      <c r="H3" s="6"/>
      <c r="I3" s="6"/>
      <c r="J3" s="6"/>
      <c r="K3" s="6"/>
      <c r="L3" s="6"/>
      <c r="M3" s="6"/>
      <c r="N3" s="6"/>
    </row>
    <row r="4" ht="25" customHeight="1" spans="1:14">
      <c r="A4" s="7"/>
      <c r="B4" s="7"/>
      <c r="C4" s="7"/>
      <c r="D4" s="7"/>
      <c r="E4" s="7"/>
      <c r="F4" s="7"/>
      <c r="G4" s="6" t="s">
        <v>36</v>
      </c>
      <c r="H4" s="6" t="s">
        <v>37</v>
      </c>
      <c r="I4" s="6" t="s">
        <v>38</v>
      </c>
      <c r="J4" s="6" t="s">
        <v>39</v>
      </c>
      <c r="K4" s="6" t="s">
        <v>40</v>
      </c>
      <c r="L4" s="6" t="s">
        <v>41</v>
      </c>
      <c r="M4" s="6" t="s">
        <v>42</v>
      </c>
      <c r="N4" s="6" t="s">
        <v>43</v>
      </c>
    </row>
    <row r="5" ht="45" customHeight="1" spans="1:14">
      <c r="A5" s="4">
        <v>1</v>
      </c>
      <c r="B5" s="4" t="s">
        <v>44</v>
      </c>
      <c r="C5" s="4" t="s">
        <v>45</v>
      </c>
      <c r="D5" s="8" t="s">
        <v>46</v>
      </c>
      <c r="E5" s="4" t="s">
        <v>47</v>
      </c>
      <c r="F5" s="4">
        <v>192</v>
      </c>
      <c r="G5" s="9">
        <v>803.23</v>
      </c>
      <c r="H5" s="9">
        <v>211.38</v>
      </c>
      <c r="I5" s="9">
        <v>105.69</v>
      </c>
      <c r="J5" s="9">
        <v>591.85</v>
      </c>
      <c r="K5" s="9">
        <v>169.1</v>
      </c>
      <c r="L5" s="9">
        <v>232.51</v>
      </c>
      <c r="M5" s="9">
        <v>190.24</v>
      </c>
      <c r="N5" s="51">
        <f>SUM(G5:M5)</f>
        <v>2304</v>
      </c>
    </row>
    <row r="6" ht="45" customHeight="1" spans="1:14">
      <c r="A6" s="4">
        <v>2</v>
      </c>
      <c r="B6" s="4" t="s">
        <v>48</v>
      </c>
      <c r="C6" s="4" t="s">
        <v>45</v>
      </c>
      <c r="D6" s="8" t="s">
        <v>49</v>
      </c>
      <c r="E6" s="4" t="s">
        <v>47</v>
      </c>
      <c r="F6" s="4">
        <v>192</v>
      </c>
      <c r="G6" s="9">
        <v>669.36</v>
      </c>
      <c r="H6" s="9">
        <v>176.15</v>
      </c>
      <c r="I6" s="9">
        <v>88.07</v>
      </c>
      <c r="J6" s="9">
        <v>493.21</v>
      </c>
      <c r="K6" s="9">
        <v>140.92</v>
      </c>
      <c r="L6" s="9">
        <v>193.76</v>
      </c>
      <c r="M6" s="9">
        <v>158.53</v>
      </c>
      <c r="N6" s="51">
        <f>SUM(G6:M6)</f>
        <v>1920</v>
      </c>
    </row>
    <row r="7" ht="25" customHeight="1" spans="1:14">
      <c r="A7" s="11" t="s">
        <v>50</v>
      </c>
      <c r="B7" s="12"/>
      <c r="C7" s="11"/>
      <c r="D7" s="13"/>
      <c r="E7" s="12"/>
      <c r="F7" s="11"/>
      <c r="G7" s="14"/>
      <c r="H7" s="14"/>
      <c r="I7" s="14"/>
      <c r="J7" s="14"/>
      <c r="K7" s="14"/>
      <c r="L7" s="14"/>
      <c r="M7" s="14"/>
      <c r="N7" s="14">
        <f>SUM(N5:N6)</f>
        <v>4224</v>
      </c>
    </row>
    <row r="8" spans="1:14">
      <c r="A8" s="59" t="s">
        <v>26</v>
      </c>
      <c r="B8" s="58"/>
      <c r="C8" s="58"/>
      <c r="D8" s="58"/>
      <c r="E8" s="58"/>
      <c r="F8" s="58"/>
      <c r="G8" s="58"/>
      <c r="H8" s="58"/>
      <c r="I8" s="58"/>
      <c r="J8" s="58"/>
      <c r="K8" s="58"/>
      <c r="L8" s="58"/>
      <c r="M8" s="58"/>
      <c r="N8" s="58">
        <f>N7</f>
        <v>4224</v>
      </c>
    </row>
  </sheetData>
  <mergeCells count="11">
    <mergeCell ref="A1:N1"/>
    <mergeCell ref="A2:F2"/>
    <mergeCell ref="G2:K2"/>
    <mergeCell ref="L2:N2"/>
    <mergeCell ref="G3:N3"/>
    <mergeCell ref="A3:A4"/>
    <mergeCell ref="B3:B4"/>
    <mergeCell ref="C3:C4"/>
    <mergeCell ref="D3:D4"/>
    <mergeCell ref="E3:E4"/>
    <mergeCell ref="F3:F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0"/>
  <sheetViews>
    <sheetView zoomScale="85" zoomScaleNormal="85" topLeftCell="A3" workbookViewId="0">
      <selection activeCell="F9" sqref="F9"/>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0.5929203539823" customWidth="1"/>
  </cols>
  <sheetData>
    <row r="1" ht="30" customHeight="1" spans="1:14">
      <c r="A1" s="2" t="s">
        <v>27</v>
      </c>
      <c r="B1" s="2"/>
      <c r="C1" s="2"/>
      <c r="D1" s="2"/>
      <c r="E1" s="2"/>
      <c r="F1" s="2"/>
      <c r="G1" s="2"/>
      <c r="H1" s="2"/>
      <c r="I1" s="2"/>
      <c r="J1" s="2"/>
      <c r="K1" s="2"/>
      <c r="L1" s="2"/>
      <c r="M1" s="2"/>
      <c r="N1" s="2"/>
    </row>
    <row r="2" ht="25" customHeight="1" spans="1:14">
      <c r="A2" s="8" t="s">
        <v>51</v>
      </c>
      <c r="B2" s="51"/>
      <c r="C2" s="51"/>
      <c r="D2" s="51"/>
      <c r="E2" s="51"/>
      <c r="F2" s="51"/>
      <c r="G2" s="8" t="s">
        <v>29</v>
      </c>
      <c r="H2" s="51"/>
      <c r="I2" s="51"/>
      <c r="J2" s="51"/>
      <c r="K2" s="51"/>
      <c r="L2" s="4" t="s">
        <v>30</v>
      </c>
      <c r="M2" s="4"/>
      <c r="N2" s="4"/>
    </row>
    <row r="3" ht="25" customHeight="1" spans="1:14">
      <c r="A3" s="6" t="s">
        <v>1</v>
      </c>
      <c r="B3" s="6" t="s">
        <v>31</v>
      </c>
      <c r="C3" s="6" t="s">
        <v>32</v>
      </c>
      <c r="D3" s="6" t="s">
        <v>33</v>
      </c>
      <c r="E3" s="6" t="s">
        <v>34</v>
      </c>
      <c r="F3" s="6" t="s">
        <v>35</v>
      </c>
      <c r="G3" s="6" t="s">
        <v>3</v>
      </c>
      <c r="H3" s="6"/>
      <c r="I3" s="6"/>
      <c r="J3" s="6"/>
      <c r="K3" s="6"/>
      <c r="L3" s="6"/>
      <c r="M3" s="6"/>
      <c r="N3" s="6"/>
    </row>
    <row r="4" ht="25" customHeight="1" spans="1:14">
      <c r="A4" s="7"/>
      <c r="B4" s="7"/>
      <c r="C4" s="7"/>
      <c r="D4" s="7"/>
      <c r="E4" s="7"/>
      <c r="F4" s="7"/>
      <c r="G4" s="6" t="s">
        <v>36</v>
      </c>
      <c r="H4" s="6" t="s">
        <v>37</v>
      </c>
      <c r="I4" s="6" t="s">
        <v>38</v>
      </c>
      <c r="J4" s="6" t="s">
        <v>39</v>
      </c>
      <c r="K4" s="6" t="s">
        <v>40</v>
      </c>
      <c r="L4" s="6" t="s">
        <v>41</v>
      </c>
      <c r="M4" s="6" t="s">
        <v>42</v>
      </c>
      <c r="N4" s="6" t="s">
        <v>43</v>
      </c>
    </row>
    <row r="5" ht="97" customHeight="1" spans="1:14">
      <c r="A5" s="4">
        <v>1</v>
      </c>
      <c r="B5" s="4" t="s">
        <v>52</v>
      </c>
      <c r="C5" s="4" t="s">
        <v>53</v>
      </c>
      <c r="D5" s="8" t="s">
        <v>54</v>
      </c>
      <c r="E5" s="4" t="s">
        <v>55</v>
      </c>
      <c r="F5" s="4">
        <v>1</v>
      </c>
      <c r="G5" s="9">
        <v>2862.39</v>
      </c>
      <c r="H5" s="9">
        <v>110.09</v>
      </c>
      <c r="I5" s="9">
        <v>36.7</v>
      </c>
      <c r="J5" s="9">
        <v>146.79</v>
      </c>
      <c r="K5" s="9">
        <v>110.09</v>
      </c>
      <c r="L5" s="9">
        <v>403.67</v>
      </c>
      <c r="M5" s="9">
        <v>330.28</v>
      </c>
      <c r="N5" s="51">
        <f>SUM(G5:M5)</f>
        <v>4000.01</v>
      </c>
    </row>
    <row r="6" ht="45" customHeight="1" spans="1:14">
      <c r="A6" s="4">
        <v>2</v>
      </c>
      <c r="B6" s="4" t="s">
        <v>56</v>
      </c>
      <c r="C6" s="4" t="s">
        <v>57</v>
      </c>
      <c r="D6" s="8" t="s">
        <v>58</v>
      </c>
      <c r="E6" s="4" t="s">
        <v>55</v>
      </c>
      <c r="F6" s="4">
        <v>1</v>
      </c>
      <c r="G6" s="9">
        <v>2504.59</v>
      </c>
      <c r="H6" s="9">
        <v>96.33</v>
      </c>
      <c r="I6" s="9">
        <v>32.11</v>
      </c>
      <c r="J6" s="9">
        <v>128.44</v>
      </c>
      <c r="K6" s="9">
        <v>96.33</v>
      </c>
      <c r="L6" s="9">
        <v>353.21</v>
      </c>
      <c r="M6" s="9">
        <v>288.99</v>
      </c>
      <c r="N6" s="51">
        <f>SUM(G6:M6)</f>
        <v>3500</v>
      </c>
    </row>
    <row r="7" s="37" customFormat="1" ht="45" customHeight="1" spans="1:14">
      <c r="A7" s="27">
        <v>3</v>
      </c>
      <c r="B7" s="27" t="s">
        <v>59</v>
      </c>
      <c r="C7" s="27" t="s">
        <v>60</v>
      </c>
      <c r="D7" s="39" t="s">
        <v>61</v>
      </c>
      <c r="E7" s="27" t="s">
        <v>62</v>
      </c>
      <c r="F7" s="27">
        <v>1</v>
      </c>
      <c r="G7" s="23">
        <v>7059.6</v>
      </c>
      <c r="H7" s="23">
        <v>1857.8</v>
      </c>
      <c r="I7" s="23">
        <v>928.9</v>
      </c>
      <c r="J7" s="23">
        <v>5201.8</v>
      </c>
      <c r="K7" s="23">
        <v>1486.2</v>
      </c>
      <c r="L7" s="23">
        <v>2043.6</v>
      </c>
      <c r="M7" s="23">
        <v>1672</v>
      </c>
      <c r="N7" s="57">
        <f>SUM(G7:M7)</f>
        <v>20249.9</v>
      </c>
    </row>
    <row r="8" s="37" customFormat="1" ht="45" customHeight="1" spans="1:14">
      <c r="A8" s="27">
        <v>4</v>
      </c>
      <c r="B8" s="27" t="s">
        <v>63</v>
      </c>
      <c r="C8" s="27" t="s">
        <v>64</v>
      </c>
      <c r="D8" s="39" t="s">
        <v>65</v>
      </c>
      <c r="E8" s="27" t="s">
        <v>66</v>
      </c>
      <c r="F8" s="27">
        <v>1</v>
      </c>
      <c r="G8" s="23">
        <v>627.51</v>
      </c>
      <c r="H8" s="23">
        <v>165.15</v>
      </c>
      <c r="I8" s="23">
        <v>82.56</v>
      </c>
      <c r="J8" s="23">
        <v>462.39</v>
      </c>
      <c r="K8" s="23">
        <v>132.12</v>
      </c>
      <c r="L8" s="23">
        <v>181.65</v>
      </c>
      <c r="M8" s="23">
        <v>148.62</v>
      </c>
      <c r="N8" s="57">
        <f>SUM(G8:M8)</f>
        <v>1800</v>
      </c>
    </row>
    <row r="9" ht="25" customHeight="1" spans="1:14">
      <c r="A9" s="11" t="s">
        <v>50</v>
      </c>
      <c r="B9" s="12"/>
      <c r="C9" s="11"/>
      <c r="D9" s="13"/>
      <c r="E9" s="12"/>
      <c r="F9" s="11"/>
      <c r="G9" s="14"/>
      <c r="H9" s="14"/>
      <c r="I9" s="14"/>
      <c r="J9" s="14"/>
      <c r="K9" s="14"/>
      <c r="L9" s="14"/>
      <c r="M9" s="14"/>
      <c r="N9" s="14">
        <f>SUM(N5:N8)</f>
        <v>29549.91</v>
      </c>
    </row>
    <row r="10" spans="1:14">
      <c r="A10" s="58" t="s">
        <v>26</v>
      </c>
      <c r="B10" s="58"/>
      <c r="C10" s="58"/>
      <c r="D10" s="58"/>
      <c r="E10" s="58"/>
      <c r="F10" s="58"/>
      <c r="G10" s="58"/>
      <c r="H10" s="58"/>
      <c r="I10" s="58"/>
      <c r="J10" s="58"/>
      <c r="K10" s="58"/>
      <c r="L10" s="58"/>
      <c r="M10" s="58"/>
      <c r="N10" s="58">
        <f>N9</f>
        <v>29549.91</v>
      </c>
    </row>
  </sheetData>
  <mergeCells count="11">
    <mergeCell ref="A1:N1"/>
    <mergeCell ref="A2:F2"/>
    <mergeCell ref="G2:K2"/>
    <mergeCell ref="L2:N2"/>
    <mergeCell ref="G3:N3"/>
    <mergeCell ref="A3:A4"/>
    <mergeCell ref="B3:B4"/>
    <mergeCell ref="C3:C4"/>
    <mergeCell ref="D3:D4"/>
    <mergeCell ref="E3:E4"/>
    <mergeCell ref="F3:F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39"/>
  <sheetViews>
    <sheetView zoomScale="85" zoomScaleNormal="85" workbookViewId="0">
      <selection activeCell="S17" sqref="S17"/>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0.5309734513274"/>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ht="45" customHeight="1" spans="1:14">
      <c r="A5" s="4">
        <v>1</v>
      </c>
      <c r="B5" s="4" t="s">
        <v>67</v>
      </c>
      <c r="C5" s="4" t="s">
        <v>68</v>
      </c>
      <c r="D5" s="8" t="s">
        <v>69</v>
      </c>
      <c r="E5" s="4" t="s">
        <v>55</v>
      </c>
      <c r="F5" s="4">
        <v>2</v>
      </c>
      <c r="G5" s="9">
        <v>1452.66</v>
      </c>
      <c r="H5" s="9">
        <v>55.87</v>
      </c>
      <c r="I5" s="9">
        <v>18.62</v>
      </c>
      <c r="J5" s="9">
        <v>74.5</v>
      </c>
      <c r="K5" s="9">
        <v>55.87</v>
      </c>
      <c r="L5" s="9">
        <v>204.86</v>
      </c>
      <c r="M5" s="9">
        <v>167.61</v>
      </c>
      <c r="N5" s="16">
        <f t="shared" ref="N5:N39" si="0">SUM(G5:M5)</f>
        <v>2029.99</v>
      </c>
    </row>
    <row r="6" ht="45" customHeight="1" spans="1:14">
      <c r="A6" s="4">
        <v>2</v>
      </c>
      <c r="B6" s="4" t="s">
        <v>70</v>
      </c>
      <c r="C6" s="4" t="s">
        <v>68</v>
      </c>
      <c r="D6" s="8" t="s">
        <v>71</v>
      </c>
      <c r="E6" s="4" t="s">
        <v>55</v>
      </c>
      <c r="F6" s="4">
        <v>2</v>
      </c>
      <c r="G6" s="9">
        <v>1452.66</v>
      </c>
      <c r="H6" s="9">
        <v>55.87</v>
      </c>
      <c r="I6" s="9">
        <v>18.62</v>
      </c>
      <c r="J6" s="9">
        <v>74.5</v>
      </c>
      <c r="K6" s="9">
        <v>55.87</v>
      </c>
      <c r="L6" s="9">
        <v>204.86</v>
      </c>
      <c r="M6" s="9">
        <v>167.61</v>
      </c>
      <c r="N6" s="16">
        <f t="shared" si="0"/>
        <v>2029.99</v>
      </c>
    </row>
    <row r="7" ht="45" customHeight="1" spans="1:14">
      <c r="A7" s="4">
        <v>3</v>
      </c>
      <c r="B7" s="4" t="s">
        <v>72</v>
      </c>
      <c r="C7" s="4" t="s">
        <v>68</v>
      </c>
      <c r="D7" s="8" t="s">
        <v>73</v>
      </c>
      <c r="E7" s="4" t="s">
        <v>55</v>
      </c>
      <c r="F7" s="4">
        <v>23</v>
      </c>
      <c r="G7" s="9">
        <v>16705.6</v>
      </c>
      <c r="H7" s="9">
        <v>642.52</v>
      </c>
      <c r="I7" s="9">
        <v>214.17</v>
      </c>
      <c r="J7" s="9">
        <v>856.7</v>
      </c>
      <c r="K7" s="9">
        <v>642.52</v>
      </c>
      <c r="L7" s="9">
        <v>2355.92</v>
      </c>
      <c r="M7" s="9">
        <v>1927.57</v>
      </c>
      <c r="N7" s="16">
        <f t="shared" si="0"/>
        <v>23345</v>
      </c>
    </row>
    <row r="8" ht="45" customHeight="1" spans="1:14">
      <c r="A8" s="4">
        <v>4</v>
      </c>
      <c r="B8" s="4" t="s">
        <v>74</v>
      </c>
      <c r="C8" s="4" t="s">
        <v>68</v>
      </c>
      <c r="D8" s="8" t="s">
        <v>75</v>
      </c>
      <c r="E8" s="4" t="s">
        <v>55</v>
      </c>
      <c r="F8" s="4">
        <v>2</v>
      </c>
      <c r="G8" s="9">
        <v>1452.66</v>
      </c>
      <c r="H8" s="9">
        <v>55.87</v>
      </c>
      <c r="I8" s="9">
        <v>18.62</v>
      </c>
      <c r="J8" s="9">
        <v>74.5</v>
      </c>
      <c r="K8" s="9">
        <v>55.87</v>
      </c>
      <c r="L8" s="9">
        <v>204.86</v>
      </c>
      <c r="M8" s="9">
        <v>167.61</v>
      </c>
      <c r="N8" s="16">
        <f t="shared" si="0"/>
        <v>2029.99</v>
      </c>
    </row>
    <row r="9" ht="25" customHeight="1" spans="1:14">
      <c r="A9" s="11" t="s">
        <v>50</v>
      </c>
      <c r="B9" s="12"/>
      <c r="C9" s="11"/>
      <c r="D9" s="13"/>
      <c r="E9" s="12"/>
      <c r="F9" s="11"/>
      <c r="G9" s="14"/>
      <c r="H9" s="14"/>
      <c r="I9" s="14"/>
      <c r="J9" s="14"/>
      <c r="K9" s="14"/>
      <c r="L9" s="14"/>
      <c r="M9" s="14"/>
      <c r="N9" s="14">
        <f>SUM(N5:N8)</f>
        <v>29434.97</v>
      </c>
    </row>
    <row r="10" ht="45" customHeight="1" spans="1:14">
      <c r="A10" s="4">
        <v>5</v>
      </c>
      <c r="B10" s="4" t="s">
        <v>76</v>
      </c>
      <c r="C10" s="4" t="s">
        <v>77</v>
      </c>
      <c r="D10" s="8" t="s">
        <v>78</v>
      </c>
      <c r="E10" s="4" t="s">
        <v>55</v>
      </c>
      <c r="F10" s="4">
        <v>28</v>
      </c>
      <c r="G10" s="9">
        <v>9016.51</v>
      </c>
      <c r="H10" s="9">
        <v>346.79</v>
      </c>
      <c r="I10" s="9">
        <v>115.6</v>
      </c>
      <c r="J10" s="9">
        <v>462.39</v>
      </c>
      <c r="K10" s="9">
        <v>346.79</v>
      </c>
      <c r="L10" s="9">
        <v>1271.56</v>
      </c>
      <c r="M10" s="9">
        <v>1040.37</v>
      </c>
      <c r="N10" s="16">
        <f t="shared" si="0"/>
        <v>12600.01</v>
      </c>
    </row>
    <row r="11" ht="45" customHeight="1" spans="1:14">
      <c r="A11" s="4">
        <v>6</v>
      </c>
      <c r="B11" s="4" t="s">
        <v>79</v>
      </c>
      <c r="C11" s="4" t="s">
        <v>77</v>
      </c>
      <c r="D11" s="8" t="s">
        <v>80</v>
      </c>
      <c r="E11" s="4" t="s">
        <v>55</v>
      </c>
      <c r="F11" s="4">
        <v>3</v>
      </c>
      <c r="G11" s="9">
        <v>30.06</v>
      </c>
      <c r="H11" s="9">
        <v>1.16</v>
      </c>
      <c r="I11" s="9">
        <v>0.39</v>
      </c>
      <c r="J11" s="9">
        <v>1.54</v>
      </c>
      <c r="K11" s="9">
        <v>1.16</v>
      </c>
      <c r="L11" s="9">
        <v>4.24</v>
      </c>
      <c r="M11" s="9">
        <v>3.47</v>
      </c>
      <c r="N11" s="16">
        <f t="shared" si="0"/>
        <v>42.02</v>
      </c>
    </row>
    <row r="12" ht="45" customHeight="1" spans="1:14">
      <c r="A12" s="4">
        <v>7</v>
      </c>
      <c r="B12" s="4" t="s">
        <v>81</v>
      </c>
      <c r="C12" s="4" t="s">
        <v>77</v>
      </c>
      <c r="D12" s="8" t="s">
        <v>82</v>
      </c>
      <c r="E12" s="4" t="s">
        <v>55</v>
      </c>
      <c r="F12" s="4">
        <v>52</v>
      </c>
      <c r="G12" s="9">
        <v>5295.41</v>
      </c>
      <c r="H12" s="9">
        <v>441.28</v>
      </c>
      <c r="I12" s="9">
        <v>176.51</v>
      </c>
      <c r="J12" s="9">
        <v>1323.85</v>
      </c>
      <c r="K12" s="9">
        <v>617.8</v>
      </c>
      <c r="L12" s="9">
        <v>970.83</v>
      </c>
      <c r="M12" s="9">
        <v>794.31</v>
      </c>
      <c r="N12" s="16">
        <f t="shared" si="0"/>
        <v>9619.99</v>
      </c>
    </row>
    <row r="13" ht="45" customHeight="1" spans="1:14">
      <c r="A13" s="4">
        <v>8</v>
      </c>
      <c r="B13" s="4" t="s">
        <v>83</v>
      </c>
      <c r="C13" s="4" t="s">
        <v>77</v>
      </c>
      <c r="D13" s="8" t="s">
        <v>84</v>
      </c>
      <c r="E13" s="4" t="s">
        <v>55</v>
      </c>
      <c r="F13" s="4">
        <v>54</v>
      </c>
      <c r="G13" s="9">
        <v>1352.48</v>
      </c>
      <c r="H13" s="9">
        <v>52.02</v>
      </c>
      <c r="I13" s="9">
        <v>17.34</v>
      </c>
      <c r="J13" s="9">
        <v>69.36</v>
      </c>
      <c r="K13" s="9">
        <v>52.02</v>
      </c>
      <c r="L13" s="9">
        <v>190.73</v>
      </c>
      <c r="M13" s="9">
        <v>156.06</v>
      </c>
      <c r="N13" s="16">
        <f t="shared" si="0"/>
        <v>1890.01</v>
      </c>
    </row>
    <row r="14" ht="25" customHeight="1" spans="1:14">
      <c r="A14" s="11" t="s">
        <v>50</v>
      </c>
      <c r="B14" s="12"/>
      <c r="C14" s="11"/>
      <c r="D14" s="13"/>
      <c r="E14" s="12"/>
      <c r="F14" s="11"/>
      <c r="G14" s="14"/>
      <c r="H14" s="14"/>
      <c r="I14" s="14"/>
      <c r="J14" s="14"/>
      <c r="K14" s="14"/>
      <c r="L14" s="14"/>
      <c r="M14" s="14"/>
      <c r="N14" s="14">
        <f>SUM(N10:N13)</f>
        <v>24152.03</v>
      </c>
    </row>
    <row r="15" ht="45" customHeight="1" spans="1:14">
      <c r="A15" s="4">
        <v>9</v>
      </c>
      <c r="B15" s="4" t="s">
        <v>85</v>
      </c>
      <c r="C15" s="4" t="s">
        <v>77</v>
      </c>
      <c r="D15" s="8" t="s">
        <v>86</v>
      </c>
      <c r="E15" s="4" t="s">
        <v>55</v>
      </c>
      <c r="F15" s="4">
        <v>27</v>
      </c>
      <c r="G15" s="9">
        <v>2975.45</v>
      </c>
      <c r="H15" s="9">
        <v>114.44</v>
      </c>
      <c r="I15" s="9">
        <v>38.15</v>
      </c>
      <c r="J15" s="9">
        <v>152.59</v>
      </c>
      <c r="K15" s="9">
        <v>114.44</v>
      </c>
      <c r="L15" s="9">
        <v>419.61</v>
      </c>
      <c r="M15" s="9">
        <v>343.32</v>
      </c>
      <c r="N15" s="16">
        <f t="shared" si="0"/>
        <v>4158</v>
      </c>
    </row>
    <row r="16" ht="45" customHeight="1" spans="1:14">
      <c r="A16" s="4">
        <v>10</v>
      </c>
      <c r="B16" s="4" t="s">
        <v>87</v>
      </c>
      <c r="C16" s="4" t="s">
        <v>88</v>
      </c>
      <c r="D16" s="8" t="s">
        <v>89</v>
      </c>
      <c r="E16" s="4" t="s">
        <v>55</v>
      </c>
      <c r="F16" s="4">
        <v>25</v>
      </c>
      <c r="G16" s="9">
        <v>23793.58</v>
      </c>
      <c r="H16" s="9">
        <v>915.14</v>
      </c>
      <c r="I16" s="9">
        <v>305.05</v>
      </c>
      <c r="J16" s="9">
        <v>1220.18</v>
      </c>
      <c r="K16" s="9">
        <v>915.14</v>
      </c>
      <c r="L16" s="9">
        <v>3355.5</v>
      </c>
      <c r="M16" s="9">
        <v>2745.41</v>
      </c>
      <c r="N16" s="16">
        <f t="shared" si="0"/>
        <v>33250</v>
      </c>
    </row>
    <row r="17" ht="45" customHeight="1" spans="1:14">
      <c r="A17" s="4">
        <v>11</v>
      </c>
      <c r="B17" s="4" t="s">
        <v>90</v>
      </c>
      <c r="C17" s="4" t="s">
        <v>91</v>
      </c>
      <c r="D17" s="8" t="s">
        <v>92</v>
      </c>
      <c r="E17" s="4" t="s">
        <v>93</v>
      </c>
      <c r="F17" s="4">
        <v>25</v>
      </c>
      <c r="G17" s="9">
        <v>217.89</v>
      </c>
      <c r="H17" s="9">
        <v>57.34</v>
      </c>
      <c r="I17" s="9">
        <v>28.67</v>
      </c>
      <c r="J17" s="9">
        <v>160.55</v>
      </c>
      <c r="K17" s="9">
        <v>45.87</v>
      </c>
      <c r="L17" s="9">
        <v>63.07</v>
      </c>
      <c r="M17" s="9">
        <v>51.61</v>
      </c>
      <c r="N17" s="16">
        <f t="shared" si="0"/>
        <v>625</v>
      </c>
    </row>
    <row r="18" ht="45" customHeight="1" spans="1:14">
      <c r="A18" s="4">
        <v>12</v>
      </c>
      <c r="B18" s="4" t="s">
        <v>94</v>
      </c>
      <c r="C18" s="4" t="s">
        <v>95</v>
      </c>
      <c r="D18" s="8" t="s">
        <v>96</v>
      </c>
      <c r="E18" s="4" t="s">
        <v>47</v>
      </c>
      <c r="F18" s="4">
        <v>300</v>
      </c>
      <c r="G18" s="9">
        <v>522.94</v>
      </c>
      <c r="H18" s="9">
        <v>137.61</v>
      </c>
      <c r="I18" s="9">
        <v>68.81</v>
      </c>
      <c r="J18" s="9">
        <v>385.32</v>
      </c>
      <c r="K18" s="9">
        <v>110.09</v>
      </c>
      <c r="L18" s="9">
        <v>151.38</v>
      </c>
      <c r="M18" s="9">
        <v>123.85</v>
      </c>
      <c r="N18" s="16">
        <f t="shared" si="0"/>
        <v>1500</v>
      </c>
    </row>
    <row r="19" ht="25" customHeight="1" spans="1:14">
      <c r="A19" s="11" t="s">
        <v>50</v>
      </c>
      <c r="B19" s="12"/>
      <c r="C19" s="11"/>
      <c r="D19" s="13"/>
      <c r="E19" s="12"/>
      <c r="F19" s="11"/>
      <c r="G19" s="14"/>
      <c r="H19" s="14"/>
      <c r="I19" s="14"/>
      <c r="J19" s="14"/>
      <c r="K19" s="14"/>
      <c r="L19" s="14"/>
      <c r="M19" s="14"/>
      <c r="N19" s="14">
        <f>SUM(N15:N18)</f>
        <v>39533</v>
      </c>
    </row>
    <row r="20" ht="45" customHeight="1" spans="1:14">
      <c r="A20" s="4">
        <v>13</v>
      </c>
      <c r="B20" s="4" t="s">
        <v>97</v>
      </c>
      <c r="C20" s="4" t="s">
        <v>95</v>
      </c>
      <c r="D20" s="8" t="s">
        <v>98</v>
      </c>
      <c r="E20" s="4" t="s">
        <v>47</v>
      </c>
      <c r="F20" s="4">
        <v>300</v>
      </c>
      <c r="G20" s="9">
        <v>470.64</v>
      </c>
      <c r="H20" s="9">
        <v>123.85</v>
      </c>
      <c r="I20" s="9">
        <v>61.93</v>
      </c>
      <c r="J20" s="9">
        <v>346.79</v>
      </c>
      <c r="K20" s="9">
        <v>99.08</v>
      </c>
      <c r="L20" s="9">
        <v>136.24</v>
      </c>
      <c r="M20" s="9">
        <v>111.47</v>
      </c>
      <c r="N20" s="16">
        <f t="shared" si="0"/>
        <v>1350</v>
      </c>
    </row>
    <row r="21" ht="60" customHeight="1" spans="1:14">
      <c r="A21" s="4">
        <v>14</v>
      </c>
      <c r="B21" s="4" t="s">
        <v>99</v>
      </c>
      <c r="C21" s="4" t="s">
        <v>100</v>
      </c>
      <c r="D21" s="8" t="s">
        <v>101</v>
      </c>
      <c r="E21" s="4" t="s">
        <v>47</v>
      </c>
      <c r="F21" s="4">
        <v>200</v>
      </c>
      <c r="G21" s="9">
        <v>543.85</v>
      </c>
      <c r="H21" s="9">
        <v>143.12</v>
      </c>
      <c r="I21" s="9">
        <v>71.56</v>
      </c>
      <c r="J21" s="9">
        <v>400.73</v>
      </c>
      <c r="K21" s="9">
        <v>114.5</v>
      </c>
      <c r="L21" s="9">
        <v>157.43</v>
      </c>
      <c r="M21" s="9">
        <v>128.81</v>
      </c>
      <c r="N21" s="16">
        <f t="shared" si="0"/>
        <v>1560</v>
      </c>
    </row>
    <row r="22" ht="45" customHeight="1" spans="1:14">
      <c r="A22" s="4">
        <v>15</v>
      </c>
      <c r="B22" s="4" t="s">
        <v>102</v>
      </c>
      <c r="C22" s="4" t="s">
        <v>103</v>
      </c>
      <c r="D22" s="8" t="s">
        <v>104</v>
      </c>
      <c r="E22" s="4" t="s">
        <v>105</v>
      </c>
      <c r="F22" s="4">
        <v>120</v>
      </c>
      <c r="G22" s="9">
        <v>543.85</v>
      </c>
      <c r="H22" s="9">
        <v>143.12</v>
      </c>
      <c r="I22" s="9">
        <v>71.56</v>
      </c>
      <c r="J22" s="9">
        <v>400.73</v>
      </c>
      <c r="K22" s="9">
        <v>114.5</v>
      </c>
      <c r="L22" s="9">
        <v>157.43</v>
      </c>
      <c r="M22" s="9">
        <v>128.81</v>
      </c>
      <c r="N22" s="16">
        <f t="shared" si="0"/>
        <v>1560</v>
      </c>
    </row>
    <row r="23" ht="45" customHeight="1" spans="1:14">
      <c r="A23" s="4">
        <v>16</v>
      </c>
      <c r="B23" s="4" t="s">
        <v>106</v>
      </c>
      <c r="C23" s="4" t="s">
        <v>107</v>
      </c>
      <c r="D23" s="8" t="s">
        <v>108</v>
      </c>
      <c r="E23" s="4" t="s">
        <v>47</v>
      </c>
      <c r="F23" s="4">
        <v>2700</v>
      </c>
      <c r="G23" s="9">
        <v>7728.44</v>
      </c>
      <c r="H23" s="9">
        <v>297.25</v>
      </c>
      <c r="I23" s="9">
        <v>99.08</v>
      </c>
      <c r="J23" s="9">
        <v>396.33</v>
      </c>
      <c r="K23" s="9">
        <v>297.25</v>
      </c>
      <c r="L23" s="9">
        <v>1089.91</v>
      </c>
      <c r="M23" s="9">
        <v>891.74</v>
      </c>
      <c r="N23" s="16">
        <f t="shared" si="0"/>
        <v>10800</v>
      </c>
    </row>
    <row r="24" ht="25" customHeight="1" spans="1:14">
      <c r="A24" s="11" t="s">
        <v>50</v>
      </c>
      <c r="B24" s="12"/>
      <c r="C24" s="11"/>
      <c r="D24" s="13"/>
      <c r="E24" s="12"/>
      <c r="F24" s="11"/>
      <c r="G24" s="14"/>
      <c r="H24" s="14"/>
      <c r="I24" s="14"/>
      <c r="J24" s="14"/>
      <c r="K24" s="14"/>
      <c r="L24" s="14"/>
      <c r="M24" s="14"/>
      <c r="N24" s="14">
        <f>SUM(N20:N23)</f>
        <v>15270</v>
      </c>
    </row>
    <row r="25" ht="60" customHeight="1" spans="1:14">
      <c r="A25" s="4">
        <v>17</v>
      </c>
      <c r="B25" s="4" t="s">
        <v>109</v>
      </c>
      <c r="C25" s="4" t="s">
        <v>110</v>
      </c>
      <c r="D25" s="8" t="s">
        <v>111</v>
      </c>
      <c r="E25" s="4" t="s">
        <v>47</v>
      </c>
      <c r="F25" s="4">
        <v>3506</v>
      </c>
      <c r="G25" s="9">
        <v>5789.72</v>
      </c>
      <c r="H25" s="9">
        <v>482.48</v>
      </c>
      <c r="I25" s="9">
        <v>192.99</v>
      </c>
      <c r="J25" s="9">
        <v>1447.43</v>
      </c>
      <c r="K25" s="9">
        <v>675.47</v>
      </c>
      <c r="L25" s="9">
        <v>1061.45</v>
      </c>
      <c r="M25" s="9">
        <v>868.46</v>
      </c>
      <c r="N25" s="47">
        <f t="shared" si="0"/>
        <v>10518</v>
      </c>
    </row>
    <row r="26" ht="45" customHeight="1" spans="1:14">
      <c r="A26" s="4">
        <v>18</v>
      </c>
      <c r="B26" s="4" t="s">
        <v>112</v>
      </c>
      <c r="C26" s="4" t="s">
        <v>45</v>
      </c>
      <c r="D26" s="8" t="s">
        <v>113</v>
      </c>
      <c r="E26" s="4" t="s">
        <v>47</v>
      </c>
      <c r="F26" s="4">
        <v>2700</v>
      </c>
      <c r="G26" s="9">
        <v>4235.78</v>
      </c>
      <c r="H26" s="9">
        <v>1114.68</v>
      </c>
      <c r="I26" s="9">
        <v>557.34</v>
      </c>
      <c r="J26" s="9">
        <v>3121.1</v>
      </c>
      <c r="K26" s="9">
        <v>891.74</v>
      </c>
      <c r="L26" s="9">
        <v>1226.15</v>
      </c>
      <c r="M26" s="9">
        <v>1003.21</v>
      </c>
      <c r="N26" s="16">
        <f t="shared" si="0"/>
        <v>12150</v>
      </c>
    </row>
    <row r="27" ht="45" customHeight="1" spans="1:14">
      <c r="A27" s="4">
        <v>19</v>
      </c>
      <c r="B27" s="4" t="s">
        <v>114</v>
      </c>
      <c r="C27" s="4" t="s">
        <v>45</v>
      </c>
      <c r="D27" s="8" t="s">
        <v>115</v>
      </c>
      <c r="E27" s="4" t="s">
        <v>47</v>
      </c>
      <c r="F27" s="4">
        <v>2700</v>
      </c>
      <c r="G27" s="9">
        <v>4706.42</v>
      </c>
      <c r="H27" s="9">
        <v>1238.53</v>
      </c>
      <c r="I27" s="9">
        <v>619.27</v>
      </c>
      <c r="J27" s="9">
        <v>3467.89</v>
      </c>
      <c r="K27" s="9">
        <v>990.83</v>
      </c>
      <c r="L27" s="9">
        <v>1362.39</v>
      </c>
      <c r="M27" s="9">
        <v>1114.68</v>
      </c>
      <c r="N27" s="16">
        <f t="shared" si="0"/>
        <v>13500.01</v>
      </c>
    </row>
    <row r="28" ht="45" customHeight="1" spans="1:14">
      <c r="A28" s="4">
        <v>20</v>
      </c>
      <c r="B28" s="4" t="s">
        <v>116</v>
      </c>
      <c r="C28" s="4" t="s">
        <v>45</v>
      </c>
      <c r="D28" s="8" t="s">
        <v>117</v>
      </c>
      <c r="E28" s="4" t="s">
        <v>47</v>
      </c>
      <c r="F28" s="4">
        <v>2700</v>
      </c>
      <c r="G28" s="9">
        <v>5647.71</v>
      </c>
      <c r="H28" s="9">
        <v>1486.24</v>
      </c>
      <c r="I28" s="9">
        <v>743.12</v>
      </c>
      <c r="J28" s="9">
        <v>4161.47</v>
      </c>
      <c r="K28" s="9">
        <v>1188.99</v>
      </c>
      <c r="L28" s="9">
        <v>1634.86</v>
      </c>
      <c r="M28" s="9">
        <v>1337.61</v>
      </c>
      <c r="N28" s="16">
        <f t="shared" si="0"/>
        <v>16200</v>
      </c>
    </row>
    <row r="29" ht="25" customHeight="1" spans="1:14">
      <c r="A29" s="11" t="s">
        <v>50</v>
      </c>
      <c r="B29" s="12"/>
      <c r="C29" s="11"/>
      <c r="D29" s="13"/>
      <c r="E29" s="12"/>
      <c r="F29" s="11"/>
      <c r="G29" s="14"/>
      <c r="H29" s="14"/>
      <c r="I29" s="14"/>
      <c r="J29" s="14"/>
      <c r="K29" s="14"/>
      <c r="L29" s="14"/>
      <c r="M29" s="14"/>
      <c r="N29" s="14">
        <f>SUM(N25:N28)</f>
        <v>52368.01</v>
      </c>
    </row>
    <row r="30" ht="45" customHeight="1" spans="1:14">
      <c r="A30" s="4">
        <v>21</v>
      </c>
      <c r="B30" s="4" t="s">
        <v>118</v>
      </c>
      <c r="C30" s="4" t="s">
        <v>45</v>
      </c>
      <c r="D30" s="8" t="s">
        <v>119</v>
      </c>
      <c r="E30" s="4" t="s">
        <v>47</v>
      </c>
      <c r="F30" s="4">
        <v>2700</v>
      </c>
      <c r="G30" s="9">
        <v>7530.28</v>
      </c>
      <c r="H30" s="9">
        <v>1981.65</v>
      </c>
      <c r="I30" s="9">
        <v>990.83</v>
      </c>
      <c r="J30" s="9">
        <v>5548.62</v>
      </c>
      <c r="K30" s="9">
        <v>1585.32</v>
      </c>
      <c r="L30" s="9">
        <v>2179.82</v>
      </c>
      <c r="M30" s="9">
        <v>1783.49</v>
      </c>
      <c r="N30" s="16">
        <f t="shared" si="0"/>
        <v>21600.01</v>
      </c>
    </row>
    <row r="31" ht="45" customHeight="1" spans="1:14">
      <c r="A31" s="4">
        <v>22</v>
      </c>
      <c r="B31" s="4" t="s">
        <v>120</v>
      </c>
      <c r="C31" s="4" t="s">
        <v>45</v>
      </c>
      <c r="D31" s="8" t="s">
        <v>121</v>
      </c>
      <c r="E31" s="4" t="s">
        <v>47</v>
      </c>
      <c r="F31" s="4">
        <v>2700</v>
      </c>
      <c r="G31" s="9">
        <v>7530.28</v>
      </c>
      <c r="H31" s="9">
        <v>1981.65</v>
      </c>
      <c r="I31" s="9">
        <v>990.83</v>
      </c>
      <c r="J31" s="9">
        <v>5548.62</v>
      </c>
      <c r="K31" s="9">
        <v>1585.32</v>
      </c>
      <c r="L31" s="9">
        <v>2179.82</v>
      </c>
      <c r="M31" s="9">
        <v>1783.49</v>
      </c>
      <c r="N31" s="16">
        <f t="shared" si="0"/>
        <v>21600.01</v>
      </c>
    </row>
    <row r="32" ht="45" customHeight="1" spans="1:14">
      <c r="A32" s="4">
        <v>23</v>
      </c>
      <c r="B32" s="4" t="s">
        <v>122</v>
      </c>
      <c r="C32" s="4" t="s">
        <v>123</v>
      </c>
      <c r="D32" s="8" t="s">
        <v>124</v>
      </c>
      <c r="E32" s="4" t="s">
        <v>125</v>
      </c>
      <c r="F32" s="4">
        <v>86</v>
      </c>
      <c r="G32" s="9">
        <v>239.85</v>
      </c>
      <c r="H32" s="9">
        <v>63.12</v>
      </c>
      <c r="I32" s="9">
        <v>31.56</v>
      </c>
      <c r="J32" s="9">
        <v>176.73</v>
      </c>
      <c r="K32" s="9">
        <v>50.5</v>
      </c>
      <c r="L32" s="9">
        <v>69.43</v>
      </c>
      <c r="M32" s="9">
        <v>56.81</v>
      </c>
      <c r="N32" s="16">
        <f t="shared" si="0"/>
        <v>688</v>
      </c>
    </row>
    <row r="33" ht="45" customHeight="1" spans="1:14">
      <c r="A33" s="4">
        <v>24</v>
      </c>
      <c r="B33" s="4" t="s">
        <v>126</v>
      </c>
      <c r="C33" s="4" t="s">
        <v>127</v>
      </c>
      <c r="D33" s="8" t="s">
        <v>128</v>
      </c>
      <c r="E33" s="4" t="s">
        <v>125</v>
      </c>
      <c r="F33" s="4">
        <v>19</v>
      </c>
      <c r="G33" s="9">
        <v>52.99</v>
      </c>
      <c r="H33" s="9">
        <v>13.94</v>
      </c>
      <c r="I33" s="9">
        <v>6.97</v>
      </c>
      <c r="J33" s="9">
        <v>39.05</v>
      </c>
      <c r="K33" s="9">
        <v>11.16</v>
      </c>
      <c r="L33" s="9">
        <v>15.34</v>
      </c>
      <c r="M33" s="9">
        <v>12.55</v>
      </c>
      <c r="N33" s="16">
        <f t="shared" si="0"/>
        <v>152</v>
      </c>
    </row>
    <row r="34" ht="45" customHeight="1" spans="1:14">
      <c r="A34" s="4">
        <v>25</v>
      </c>
      <c r="B34" s="4" t="s">
        <v>129</v>
      </c>
      <c r="C34" s="4" t="s">
        <v>130</v>
      </c>
      <c r="D34" s="8" t="s">
        <v>131</v>
      </c>
      <c r="E34" s="4" t="s">
        <v>62</v>
      </c>
      <c r="F34" s="4">
        <v>1</v>
      </c>
      <c r="G34" s="9">
        <v>697.25</v>
      </c>
      <c r="H34" s="9">
        <v>183.49</v>
      </c>
      <c r="I34" s="9">
        <v>91.74</v>
      </c>
      <c r="J34" s="9">
        <v>513.76</v>
      </c>
      <c r="K34" s="9">
        <v>146.79</v>
      </c>
      <c r="L34" s="9">
        <v>201.83</v>
      </c>
      <c r="M34" s="9">
        <v>165.14</v>
      </c>
      <c r="N34" s="16">
        <f t="shared" si="0"/>
        <v>2000</v>
      </c>
    </row>
    <row r="35" ht="25" customHeight="1" spans="1:14">
      <c r="A35" s="11" t="s">
        <v>50</v>
      </c>
      <c r="B35" s="12"/>
      <c r="C35" s="11"/>
      <c r="D35" s="13"/>
      <c r="E35" s="12"/>
      <c r="F35" s="11"/>
      <c r="G35" s="14"/>
      <c r="H35" s="14"/>
      <c r="I35" s="14"/>
      <c r="J35" s="14"/>
      <c r="K35" s="14"/>
      <c r="L35" s="14"/>
      <c r="M35" s="14"/>
      <c r="N35" s="14">
        <f>SUM(N30:N34)</f>
        <v>46040.02</v>
      </c>
    </row>
    <row r="36" ht="89" customHeight="1" spans="1:14">
      <c r="A36" s="4">
        <v>26</v>
      </c>
      <c r="B36" s="4" t="s">
        <v>132</v>
      </c>
      <c r="C36" s="4" t="s">
        <v>133</v>
      </c>
      <c r="D36" s="8" t="s">
        <v>134</v>
      </c>
      <c r="E36" s="4" t="s">
        <v>66</v>
      </c>
      <c r="F36" s="4">
        <v>1</v>
      </c>
      <c r="G36" s="9">
        <v>697.25</v>
      </c>
      <c r="H36" s="9">
        <v>183.49</v>
      </c>
      <c r="I36" s="9">
        <v>91.74</v>
      </c>
      <c r="J36" s="9">
        <v>513.76</v>
      </c>
      <c r="K36" s="9">
        <v>146.79</v>
      </c>
      <c r="L36" s="9">
        <v>201.83</v>
      </c>
      <c r="M36" s="9">
        <v>165.14</v>
      </c>
      <c r="N36" s="16">
        <f t="shared" si="0"/>
        <v>2000</v>
      </c>
    </row>
    <row r="37" ht="45" customHeight="1" spans="1:14">
      <c r="A37" s="4">
        <v>27</v>
      </c>
      <c r="B37" s="4" t="s">
        <v>135</v>
      </c>
      <c r="C37" s="4" t="s">
        <v>64</v>
      </c>
      <c r="D37" s="8" t="s">
        <v>65</v>
      </c>
      <c r="E37" s="4" t="s">
        <v>66</v>
      </c>
      <c r="F37" s="4">
        <v>1</v>
      </c>
      <c r="G37" s="9">
        <v>174.31</v>
      </c>
      <c r="H37" s="9">
        <v>45.87</v>
      </c>
      <c r="I37" s="9">
        <v>22.94</v>
      </c>
      <c r="J37" s="9">
        <v>128.44</v>
      </c>
      <c r="K37" s="9">
        <v>36.7</v>
      </c>
      <c r="L37" s="9">
        <v>50.46</v>
      </c>
      <c r="M37" s="9">
        <v>41.28</v>
      </c>
      <c r="N37" s="16">
        <f t="shared" si="0"/>
        <v>500</v>
      </c>
    </row>
    <row r="38" ht="25" customHeight="1" spans="1:14">
      <c r="A38" s="11" t="s">
        <v>50</v>
      </c>
      <c r="B38" s="12"/>
      <c r="C38" s="11"/>
      <c r="D38" s="13"/>
      <c r="E38" s="12"/>
      <c r="F38" s="11"/>
      <c r="G38" s="14"/>
      <c r="H38" s="14"/>
      <c r="I38" s="14"/>
      <c r="J38" s="14"/>
      <c r="K38" s="14"/>
      <c r="L38" s="14"/>
      <c r="M38" s="14"/>
      <c r="N38" s="14">
        <f>SUM(N36:N37)</f>
        <v>2500</v>
      </c>
    </row>
    <row r="39" ht="25" customHeight="1" spans="1:14">
      <c r="A39" s="4" t="s">
        <v>26</v>
      </c>
      <c r="B39" s="4"/>
      <c r="C39" s="4"/>
      <c r="D39" s="8"/>
      <c r="E39" s="4"/>
      <c r="F39" s="4"/>
      <c r="G39" s="9"/>
      <c r="H39" s="9"/>
      <c r="I39" s="9"/>
      <c r="J39" s="9"/>
      <c r="K39" s="9"/>
      <c r="L39" s="9"/>
      <c r="M39" s="9"/>
      <c r="N39" s="16">
        <f>N9+N14+N19+N24+N29+N35+N38</f>
        <v>209298.03</v>
      </c>
    </row>
  </sheetData>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35"/>
  <sheetViews>
    <sheetView topLeftCell="D15" workbookViewId="0">
      <selection activeCell="C19" sqref="$A19:$XFD19"/>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0.3716814159292"/>
    <col min="15" max="15" width="12.6283185840708"/>
  </cols>
  <sheetData>
    <row r="1" ht="30" customHeight="1" spans="1:14">
      <c r="A1" s="2" t="s">
        <v>27</v>
      </c>
      <c r="B1" s="51"/>
      <c r="C1" s="51"/>
      <c r="D1" s="51"/>
      <c r="E1" s="51"/>
      <c r="F1" s="51"/>
      <c r="G1" s="51"/>
      <c r="H1" s="51"/>
      <c r="I1" s="51"/>
      <c r="J1" s="51"/>
      <c r="K1" s="51"/>
      <c r="L1" s="51"/>
      <c r="M1" s="51"/>
      <c r="N1" s="16"/>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ht="60" customHeight="1" spans="1:14">
      <c r="A5" s="4">
        <v>1</v>
      </c>
      <c r="B5" s="4" t="s">
        <v>136</v>
      </c>
      <c r="C5" s="4" t="s">
        <v>53</v>
      </c>
      <c r="D5" s="8" t="s">
        <v>137</v>
      </c>
      <c r="E5" s="4" t="s">
        <v>55</v>
      </c>
      <c r="F5" s="4">
        <v>2</v>
      </c>
      <c r="G5" s="9">
        <v>10733.94</v>
      </c>
      <c r="H5" s="9">
        <v>412.84</v>
      </c>
      <c r="I5" s="9">
        <v>137.61</v>
      </c>
      <c r="J5" s="9">
        <v>550.46</v>
      </c>
      <c r="K5" s="9">
        <v>412.84</v>
      </c>
      <c r="L5" s="9">
        <v>1513.76</v>
      </c>
      <c r="M5" s="9">
        <v>1238.53</v>
      </c>
      <c r="N5" s="16">
        <f t="shared" ref="N5:N8" si="0">SUM(G5:M5)</f>
        <v>14999.98</v>
      </c>
    </row>
    <row r="6" ht="45" customHeight="1" spans="1:14">
      <c r="A6" s="4">
        <v>2</v>
      </c>
      <c r="B6" s="4" t="s">
        <v>138</v>
      </c>
      <c r="C6" s="4" t="s">
        <v>53</v>
      </c>
      <c r="D6" s="8" t="s">
        <v>139</v>
      </c>
      <c r="E6" s="4" t="s">
        <v>55</v>
      </c>
      <c r="F6" s="4">
        <v>1</v>
      </c>
      <c r="G6" s="9">
        <v>2719.27</v>
      </c>
      <c r="H6" s="9">
        <v>104.59</v>
      </c>
      <c r="I6" s="9">
        <v>34.86</v>
      </c>
      <c r="J6" s="9">
        <v>139.45</v>
      </c>
      <c r="K6" s="9">
        <v>104.59</v>
      </c>
      <c r="L6" s="9">
        <v>383.49</v>
      </c>
      <c r="M6" s="9">
        <v>313.76</v>
      </c>
      <c r="N6" s="16">
        <f t="shared" si="0"/>
        <v>3800.01</v>
      </c>
    </row>
    <row r="7" ht="45" customHeight="1" spans="1:14">
      <c r="A7" s="4">
        <v>3</v>
      </c>
      <c r="B7" s="4" t="s">
        <v>140</v>
      </c>
      <c r="C7" s="4" t="s">
        <v>141</v>
      </c>
      <c r="D7" s="8" t="s">
        <v>142</v>
      </c>
      <c r="E7" s="4" t="s">
        <v>93</v>
      </c>
      <c r="F7" s="4">
        <v>2</v>
      </c>
      <c r="G7" s="9">
        <v>500.92</v>
      </c>
      <c r="H7" s="9">
        <v>19.27</v>
      </c>
      <c r="I7" s="9">
        <v>6.42</v>
      </c>
      <c r="J7" s="9">
        <v>25.69</v>
      </c>
      <c r="K7" s="9">
        <v>19.27</v>
      </c>
      <c r="L7" s="9">
        <v>70.64</v>
      </c>
      <c r="M7" s="9">
        <v>57.8</v>
      </c>
      <c r="N7" s="16">
        <f t="shared" si="0"/>
        <v>700.01</v>
      </c>
    </row>
    <row r="8" ht="60" customHeight="1" spans="1:14">
      <c r="A8" s="4">
        <v>4</v>
      </c>
      <c r="B8" s="4" t="s">
        <v>143</v>
      </c>
      <c r="C8" s="4" t="s">
        <v>141</v>
      </c>
      <c r="D8" s="8" t="s">
        <v>144</v>
      </c>
      <c r="E8" s="4" t="s">
        <v>93</v>
      </c>
      <c r="F8" s="4">
        <v>1</v>
      </c>
      <c r="G8" s="9">
        <v>286.24</v>
      </c>
      <c r="H8" s="9">
        <v>11.01</v>
      </c>
      <c r="I8" s="9">
        <v>3.67</v>
      </c>
      <c r="J8" s="9">
        <v>14.68</v>
      </c>
      <c r="K8" s="9">
        <v>11.01</v>
      </c>
      <c r="L8" s="9">
        <v>40.37</v>
      </c>
      <c r="M8" s="9">
        <v>33.03</v>
      </c>
      <c r="N8" s="16">
        <f t="shared" si="0"/>
        <v>400.01</v>
      </c>
    </row>
    <row r="9" ht="25" customHeight="1" spans="1:14">
      <c r="A9" s="11" t="s">
        <v>50</v>
      </c>
      <c r="B9" s="12"/>
      <c r="C9" s="11"/>
      <c r="D9" s="13"/>
      <c r="E9" s="12"/>
      <c r="F9" s="11"/>
      <c r="G9" s="14"/>
      <c r="H9" s="14"/>
      <c r="I9" s="14"/>
      <c r="J9" s="14"/>
      <c r="K9" s="14"/>
      <c r="L9" s="14"/>
      <c r="M9" s="14"/>
      <c r="N9" s="14">
        <f>SUM(N5:N8)</f>
        <v>19900.01</v>
      </c>
    </row>
    <row r="10" ht="45" customHeight="1" spans="1:14">
      <c r="A10" s="4">
        <v>5</v>
      </c>
      <c r="B10" s="4" t="s">
        <v>145</v>
      </c>
      <c r="C10" s="4" t="s">
        <v>146</v>
      </c>
      <c r="D10" s="8" t="s">
        <v>147</v>
      </c>
      <c r="E10" s="4" t="s">
        <v>55</v>
      </c>
      <c r="F10" s="4">
        <v>5</v>
      </c>
      <c r="G10" s="9">
        <v>6440.37</v>
      </c>
      <c r="H10" s="9">
        <v>247.71</v>
      </c>
      <c r="I10" s="9">
        <v>82.57</v>
      </c>
      <c r="J10" s="9">
        <v>330.28</v>
      </c>
      <c r="K10" s="9">
        <v>247.71</v>
      </c>
      <c r="L10" s="9">
        <v>908.26</v>
      </c>
      <c r="M10" s="9">
        <v>743.12</v>
      </c>
      <c r="N10" s="16">
        <f t="shared" ref="N10:N14" si="1">SUM(G10:M10)</f>
        <v>9000.02</v>
      </c>
    </row>
    <row r="11" ht="45" customHeight="1" spans="1:14">
      <c r="A11" s="4">
        <v>6</v>
      </c>
      <c r="B11" s="4" t="s">
        <v>148</v>
      </c>
      <c r="C11" s="4" t="s">
        <v>149</v>
      </c>
      <c r="D11" s="8" t="s">
        <v>150</v>
      </c>
      <c r="E11" s="4" t="s">
        <v>93</v>
      </c>
      <c r="F11" s="4">
        <v>3</v>
      </c>
      <c r="G11" s="9">
        <v>75.14</v>
      </c>
      <c r="H11" s="9">
        <v>2.89</v>
      </c>
      <c r="I11" s="9">
        <v>0.96</v>
      </c>
      <c r="J11" s="9">
        <v>3.85</v>
      </c>
      <c r="K11" s="9">
        <v>2.89</v>
      </c>
      <c r="L11" s="9">
        <v>10.6</v>
      </c>
      <c r="M11" s="9">
        <v>8.67</v>
      </c>
      <c r="N11" s="16">
        <f t="shared" si="1"/>
        <v>105</v>
      </c>
    </row>
    <row r="12" ht="45" customHeight="1" spans="1:14">
      <c r="A12" s="4">
        <v>7</v>
      </c>
      <c r="B12" s="4" t="s">
        <v>151</v>
      </c>
      <c r="C12" s="4" t="s">
        <v>152</v>
      </c>
      <c r="D12" s="8" t="s">
        <v>153</v>
      </c>
      <c r="E12" s="4" t="s">
        <v>93</v>
      </c>
      <c r="F12" s="4">
        <v>3</v>
      </c>
      <c r="G12" s="9">
        <v>26.15</v>
      </c>
      <c r="H12" s="9">
        <v>6.88</v>
      </c>
      <c r="I12" s="9">
        <v>3.44</v>
      </c>
      <c r="J12" s="9">
        <v>19.27</v>
      </c>
      <c r="K12" s="9">
        <v>5.5</v>
      </c>
      <c r="L12" s="9">
        <v>7.57</v>
      </c>
      <c r="M12" s="9">
        <v>6.19</v>
      </c>
      <c r="N12" s="16">
        <f t="shared" si="1"/>
        <v>75</v>
      </c>
    </row>
    <row r="13" ht="45" customHeight="1" spans="1:14">
      <c r="A13" s="4">
        <v>8</v>
      </c>
      <c r="B13" s="4" t="s">
        <v>154</v>
      </c>
      <c r="C13" s="4" t="s">
        <v>155</v>
      </c>
      <c r="D13" s="8" t="s">
        <v>156</v>
      </c>
      <c r="E13" s="4" t="s">
        <v>157</v>
      </c>
      <c r="F13" s="4">
        <v>8</v>
      </c>
      <c r="G13" s="9">
        <v>114.5</v>
      </c>
      <c r="H13" s="9">
        <v>4.4</v>
      </c>
      <c r="I13" s="9">
        <v>1.47</v>
      </c>
      <c r="J13" s="9">
        <v>5.87</v>
      </c>
      <c r="K13" s="9">
        <v>4.4</v>
      </c>
      <c r="L13" s="9">
        <v>16.15</v>
      </c>
      <c r="M13" s="9">
        <v>13.21</v>
      </c>
      <c r="N13" s="16">
        <f t="shared" si="1"/>
        <v>160</v>
      </c>
    </row>
    <row r="14" ht="45" customHeight="1" spans="1:14">
      <c r="A14" s="4">
        <v>9</v>
      </c>
      <c r="B14" s="4" t="s">
        <v>158</v>
      </c>
      <c r="C14" s="4" t="s">
        <v>159</v>
      </c>
      <c r="D14" s="8" t="s">
        <v>160</v>
      </c>
      <c r="E14" s="4" t="s">
        <v>157</v>
      </c>
      <c r="F14" s="4">
        <v>12</v>
      </c>
      <c r="G14" s="9">
        <v>386.42</v>
      </c>
      <c r="H14" s="9">
        <v>14.86</v>
      </c>
      <c r="I14" s="9">
        <v>4.95</v>
      </c>
      <c r="J14" s="9">
        <v>19.82</v>
      </c>
      <c r="K14" s="9">
        <v>14.86</v>
      </c>
      <c r="L14" s="9">
        <v>54.5</v>
      </c>
      <c r="M14" s="9">
        <v>44.59</v>
      </c>
      <c r="N14" s="16">
        <f t="shared" si="1"/>
        <v>540</v>
      </c>
    </row>
    <row r="15" ht="25" customHeight="1" spans="1:14">
      <c r="A15" s="11" t="s">
        <v>50</v>
      </c>
      <c r="B15" s="12"/>
      <c r="C15" s="11"/>
      <c r="D15" s="13"/>
      <c r="E15" s="12"/>
      <c r="F15" s="11"/>
      <c r="G15" s="14"/>
      <c r="H15" s="14"/>
      <c r="I15" s="14"/>
      <c r="J15" s="14"/>
      <c r="K15" s="14"/>
      <c r="L15" s="14"/>
      <c r="M15" s="14"/>
      <c r="N15" s="14">
        <f>SUM(N10:N14)</f>
        <v>9880.02</v>
      </c>
    </row>
    <row r="16" ht="45" customHeight="1" spans="1:14">
      <c r="A16" s="4">
        <v>10</v>
      </c>
      <c r="B16" s="4" t="s">
        <v>161</v>
      </c>
      <c r="C16" s="4" t="s">
        <v>162</v>
      </c>
      <c r="D16" s="8" t="s">
        <v>163</v>
      </c>
      <c r="E16" s="4" t="s">
        <v>157</v>
      </c>
      <c r="F16" s="4">
        <v>12</v>
      </c>
      <c r="G16" s="9">
        <v>343.49</v>
      </c>
      <c r="H16" s="9">
        <v>13.21</v>
      </c>
      <c r="I16" s="9">
        <v>4.4</v>
      </c>
      <c r="J16" s="9">
        <v>17.61</v>
      </c>
      <c r="K16" s="9">
        <v>13.21</v>
      </c>
      <c r="L16" s="9">
        <v>48.44</v>
      </c>
      <c r="M16" s="9">
        <v>39.63</v>
      </c>
      <c r="N16" s="16">
        <f>SUM(G16:M16)</f>
        <v>479.99</v>
      </c>
    </row>
    <row r="17" ht="45" customHeight="1" spans="1:14">
      <c r="A17" s="4">
        <v>11</v>
      </c>
      <c r="B17" s="4" t="s">
        <v>164</v>
      </c>
      <c r="C17" s="4" t="s">
        <v>165</v>
      </c>
      <c r="D17" s="8" t="s">
        <v>166</v>
      </c>
      <c r="E17" s="4" t="s">
        <v>157</v>
      </c>
      <c r="F17" s="4">
        <v>6</v>
      </c>
      <c r="G17" s="9">
        <v>107.34</v>
      </c>
      <c r="H17" s="9">
        <v>4.13</v>
      </c>
      <c r="I17" s="9">
        <v>1.38</v>
      </c>
      <c r="J17" s="9">
        <v>5.5</v>
      </c>
      <c r="K17" s="9">
        <v>4.13</v>
      </c>
      <c r="L17" s="9">
        <v>15.14</v>
      </c>
      <c r="M17" s="9">
        <v>12.39</v>
      </c>
      <c r="N17" s="16">
        <f>SUM(G17:M17)</f>
        <v>150.01</v>
      </c>
    </row>
    <row r="18" ht="62" customHeight="1" spans="1:14">
      <c r="A18" s="4">
        <v>12</v>
      </c>
      <c r="B18" s="4" t="s">
        <v>167</v>
      </c>
      <c r="C18" s="4" t="s">
        <v>168</v>
      </c>
      <c r="D18" s="8" t="s">
        <v>169</v>
      </c>
      <c r="E18" s="4" t="s">
        <v>47</v>
      </c>
      <c r="F18" s="4">
        <v>125</v>
      </c>
      <c r="G18" s="9">
        <v>4025.23</v>
      </c>
      <c r="H18" s="9">
        <v>154.82</v>
      </c>
      <c r="I18" s="9">
        <v>51.61</v>
      </c>
      <c r="J18" s="9">
        <v>206.42</v>
      </c>
      <c r="K18" s="9">
        <v>154.82</v>
      </c>
      <c r="L18" s="9">
        <v>567.66</v>
      </c>
      <c r="M18" s="9">
        <v>464.45</v>
      </c>
      <c r="N18" s="16">
        <f>SUM(G18:M18)</f>
        <v>5625.01</v>
      </c>
    </row>
    <row r="19" s="49" customFormat="1" ht="62" customHeight="1" spans="1:14">
      <c r="A19" s="52">
        <v>13</v>
      </c>
      <c r="B19" s="52" t="s">
        <v>170</v>
      </c>
      <c r="C19" s="52" t="s">
        <v>168</v>
      </c>
      <c r="D19" s="53" t="s">
        <v>171</v>
      </c>
      <c r="E19" s="52" t="s">
        <v>47</v>
      </c>
      <c r="F19" s="52">
        <v>85.28</v>
      </c>
      <c r="G19" s="32">
        <v>4576.95</v>
      </c>
      <c r="H19" s="32">
        <v>176.04</v>
      </c>
      <c r="I19" s="32">
        <v>58.68</v>
      </c>
      <c r="J19" s="32">
        <v>234.72</v>
      </c>
      <c r="K19" s="32">
        <v>176.04</v>
      </c>
      <c r="L19" s="32">
        <v>645.48</v>
      </c>
      <c r="M19" s="32">
        <v>528.12</v>
      </c>
      <c r="N19" s="54">
        <f>SUM(G19:M19)</f>
        <v>6396.03</v>
      </c>
    </row>
    <row r="20" ht="25" customHeight="1" spans="1:14">
      <c r="A20" s="11" t="s">
        <v>50</v>
      </c>
      <c r="B20" s="12"/>
      <c r="C20" s="11"/>
      <c r="D20" s="13"/>
      <c r="E20" s="12"/>
      <c r="F20" s="11"/>
      <c r="G20" s="14"/>
      <c r="H20" s="14"/>
      <c r="I20" s="14"/>
      <c r="J20" s="14"/>
      <c r="K20" s="14"/>
      <c r="L20" s="14"/>
      <c r="M20" s="14"/>
      <c r="N20" s="14">
        <f>SUM(N16:N19)</f>
        <v>12651.04</v>
      </c>
    </row>
    <row r="21" ht="45" customHeight="1" spans="1:14">
      <c r="A21" s="4">
        <v>14</v>
      </c>
      <c r="B21" s="4" t="s">
        <v>172</v>
      </c>
      <c r="C21" s="4" t="s">
        <v>173</v>
      </c>
      <c r="D21" s="8" t="s">
        <v>174</v>
      </c>
      <c r="E21" s="4" t="s">
        <v>105</v>
      </c>
      <c r="F21" s="4">
        <v>126.66</v>
      </c>
      <c r="G21" s="9">
        <v>529.88</v>
      </c>
      <c r="H21" s="9">
        <v>139.44</v>
      </c>
      <c r="I21" s="9">
        <v>69.72</v>
      </c>
      <c r="J21" s="9">
        <v>390.44</v>
      </c>
      <c r="K21" s="9">
        <v>111.55</v>
      </c>
      <c r="L21" s="9">
        <v>153.39</v>
      </c>
      <c r="M21" s="9">
        <v>125.5</v>
      </c>
      <c r="N21" s="16">
        <f t="shared" ref="N21:N24" si="2">SUM(G21:M21)</f>
        <v>1519.92</v>
      </c>
    </row>
    <row r="22" ht="45" customHeight="1" spans="1:14">
      <c r="A22" s="4">
        <v>15</v>
      </c>
      <c r="B22" s="4" t="s">
        <v>175</v>
      </c>
      <c r="C22" s="4" t="s">
        <v>110</v>
      </c>
      <c r="D22" s="8" t="s">
        <v>176</v>
      </c>
      <c r="E22" s="4" t="s">
        <v>47</v>
      </c>
      <c r="F22" s="4">
        <v>111</v>
      </c>
      <c r="G22" s="9">
        <v>183.3</v>
      </c>
      <c r="H22" s="9">
        <v>15.28</v>
      </c>
      <c r="I22" s="9">
        <v>6.11</v>
      </c>
      <c r="J22" s="9">
        <v>45.83</v>
      </c>
      <c r="K22" s="9">
        <v>21.39</v>
      </c>
      <c r="L22" s="9">
        <v>33.61</v>
      </c>
      <c r="M22" s="9">
        <v>27.5</v>
      </c>
      <c r="N22" s="16">
        <f t="shared" si="2"/>
        <v>333.02</v>
      </c>
    </row>
    <row r="23" ht="45" customHeight="1" spans="1:14">
      <c r="A23" s="4">
        <v>16</v>
      </c>
      <c r="B23" s="4" t="s">
        <v>177</v>
      </c>
      <c r="C23" s="4" t="s">
        <v>95</v>
      </c>
      <c r="D23" s="8" t="s">
        <v>98</v>
      </c>
      <c r="E23" s="4" t="s">
        <v>47</v>
      </c>
      <c r="F23" s="4">
        <v>15</v>
      </c>
      <c r="G23" s="9">
        <v>23.53</v>
      </c>
      <c r="H23" s="9">
        <v>6.19</v>
      </c>
      <c r="I23" s="9">
        <v>3.1</v>
      </c>
      <c r="J23" s="9">
        <v>17.34</v>
      </c>
      <c r="K23" s="9">
        <v>4.95</v>
      </c>
      <c r="L23" s="9">
        <v>6.81</v>
      </c>
      <c r="M23" s="9">
        <v>5.57</v>
      </c>
      <c r="N23" s="16">
        <f t="shared" si="2"/>
        <v>67.49</v>
      </c>
    </row>
    <row r="24" ht="60" customHeight="1" spans="1:14">
      <c r="A24" s="4">
        <v>17</v>
      </c>
      <c r="B24" s="4" t="s">
        <v>178</v>
      </c>
      <c r="C24" s="4" t="s">
        <v>100</v>
      </c>
      <c r="D24" s="8" t="s">
        <v>101</v>
      </c>
      <c r="E24" s="4" t="s">
        <v>47</v>
      </c>
      <c r="F24" s="4">
        <v>10.5</v>
      </c>
      <c r="G24" s="9">
        <v>25.62</v>
      </c>
      <c r="H24" s="9">
        <v>6.74</v>
      </c>
      <c r="I24" s="9">
        <v>3.37</v>
      </c>
      <c r="J24" s="9">
        <v>18.88</v>
      </c>
      <c r="K24" s="9">
        <v>5.39</v>
      </c>
      <c r="L24" s="9">
        <v>7.42</v>
      </c>
      <c r="M24" s="9">
        <v>6.07</v>
      </c>
      <c r="N24" s="16">
        <f t="shared" si="2"/>
        <v>73.49</v>
      </c>
    </row>
    <row r="25" ht="25" customHeight="1" spans="1:14">
      <c r="A25" s="11" t="s">
        <v>50</v>
      </c>
      <c r="B25" s="12"/>
      <c r="C25" s="11"/>
      <c r="D25" s="13"/>
      <c r="E25" s="12"/>
      <c r="F25" s="11"/>
      <c r="G25" s="14"/>
      <c r="H25" s="14"/>
      <c r="I25" s="14"/>
      <c r="J25" s="14"/>
      <c r="K25" s="14"/>
      <c r="L25" s="14"/>
      <c r="M25" s="14"/>
      <c r="N25" s="14">
        <f>SUM(N21:N24)</f>
        <v>1993.92</v>
      </c>
    </row>
    <row r="26" ht="45" customHeight="1" spans="1:14">
      <c r="A26" s="4">
        <v>18</v>
      </c>
      <c r="B26" s="4" t="s">
        <v>179</v>
      </c>
      <c r="C26" s="4" t="s">
        <v>103</v>
      </c>
      <c r="D26" s="8" t="s">
        <v>104</v>
      </c>
      <c r="E26" s="4" t="s">
        <v>105</v>
      </c>
      <c r="F26" s="4">
        <v>0.78</v>
      </c>
      <c r="G26" s="9">
        <v>3.26</v>
      </c>
      <c r="H26" s="9">
        <v>0.86</v>
      </c>
      <c r="I26" s="9">
        <v>0.43</v>
      </c>
      <c r="J26" s="9">
        <v>2.4</v>
      </c>
      <c r="K26" s="9">
        <v>0.69</v>
      </c>
      <c r="L26" s="9">
        <v>0.94</v>
      </c>
      <c r="M26" s="9">
        <v>0.77</v>
      </c>
      <c r="N26" s="16">
        <f>SUM(G26:M26)</f>
        <v>9.35</v>
      </c>
    </row>
    <row r="27" ht="45" customHeight="1" spans="1:14">
      <c r="A27" s="4">
        <v>19</v>
      </c>
      <c r="B27" s="4" t="s">
        <v>180</v>
      </c>
      <c r="C27" s="4" t="s">
        <v>107</v>
      </c>
      <c r="D27" s="8" t="s">
        <v>181</v>
      </c>
      <c r="E27" s="4" t="s">
        <v>47</v>
      </c>
      <c r="F27" s="4">
        <v>1500</v>
      </c>
      <c r="G27" s="9">
        <v>4293.58</v>
      </c>
      <c r="H27" s="9">
        <v>165.14</v>
      </c>
      <c r="I27" s="9">
        <v>55.05</v>
      </c>
      <c r="J27" s="9">
        <v>220.18</v>
      </c>
      <c r="K27" s="9">
        <v>165.14</v>
      </c>
      <c r="L27" s="9">
        <v>605.5</v>
      </c>
      <c r="M27" s="9">
        <v>495.41</v>
      </c>
      <c r="N27" s="16">
        <f>SUM(G27:M27)</f>
        <v>6000</v>
      </c>
    </row>
    <row r="28" ht="45" customHeight="1" spans="1:14">
      <c r="A28" s="4">
        <v>20</v>
      </c>
      <c r="B28" s="4" t="s">
        <v>182</v>
      </c>
      <c r="C28" s="4" t="s">
        <v>123</v>
      </c>
      <c r="D28" s="8" t="s">
        <v>183</v>
      </c>
      <c r="E28" s="4" t="s">
        <v>125</v>
      </c>
      <c r="F28" s="4">
        <v>6</v>
      </c>
      <c r="G28" s="9">
        <v>16.73</v>
      </c>
      <c r="H28" s="9">
        <v>4.4</v>
      </c>
      <c r="I28" s="9">
        <v>2.2</v>
      </c>
      <c r="J28" s="9">
        <v>12.33</v>
      </c>
      <c r="K28" s="9">
        <v>3.52</v>
      </c>
      <c r="L28" s="9">
        <v>4.84</v>
      </c>
      <c r="M28" s="9">
        <v>3.96</v>
      </c>
      <c r="N28" s="16">
        <f>SUM(G28:M28)</f>
        <v>47.98</v>
      </c>
    </row>
    <row r="29" ht="45" customHeight="1" spans="1:14">
      <c r="A29" s="4">
        <v>21</v>
      </c>
      <c r="B29" s="4" t="s">
        <v>184</v>
      </c>
      <c r="C29" s="4" t="s">
        <v>127</v>
      </c>
      <c r="D29" s="8" t="s">
        <v>185</v>
      </c>
      <c r="E29" s="4" t="s">
        <v>125</v>
      </c>
      <c r="F29" s="4">
        <v>6</v>
      </c>
      <c r="G29" s="9">
        <v>16.73</v>
      </c>
      <c r="H29" s="9">
        <v>4.4</v>
      </c>
      <c r="I29" s="9">
        <v>2.2</v>
      </c>
      <c r="J29" s="9">
        <v>12.33</v>
      </c>
      <c r="K29" s="9">
        <v>3.52</v>
      </c>
      <c r="L29" s="9">
        <v>4.84</v>
      </c>
      <c r="M29" s="9">
        <v>3.96</v>
      </c>
      <c r="N29" s="16">
        <f>SUM(G29:M29)</f>
        <v>47.98</v>
      </c>
    </row>
    <row r="30" s="50" customFormat="1" ht="45" customHeight="1" spans="1:14">
      <c r="A30" s="36">
        <v>22</v>
      </c>
      <c r="B30" s="36" t="s">
        <v>186</v>
      </c>
      <c r="C30" s="36" t="s">
        <v>60</v>
      </c>
      <c r="D30" s="55" t="s">
        <v>61</v>
      </c>
      <c r="E30" s="36" t="s">
        <v>62</v>
      </c>
      <c r="F30" s="36">
        <v>1</v>
      </c>
      <c r="G30" s="35">
        <v>5229.36</v>
      </c>
      <c r="H30" s="35">
        <v>1376.16</v>
      </c>
      <c r="I30" s="35">
        <v>688.08</v>
      </c>
      <c r="J30" s="35">
        <v>3853.2</v>
      </c>
      <c r="K30" s="35">
        <v>1100.91</v>
      </c>
      <c r="L30" s="35">
        <v>1513.77</v>
      </c>
      <c r="M30" s="35">
        <v>1238.52</v>
      </c>
      <c r="N30" s="56">
        <f>SUM(G30:M30)</f>
        <v>15000</v>
      </c>
    </row>
    <row r="31" ht="25" customHeight="1" spans="1:14">
      <c r="A31" s="11" t="s">
        <v>50</v>
      </c>
      <c r="B31" s="12"/>
      <c r="C31" s="11"/>
      <c r="D31" s="13"/>
      <c r="E31" s="12"/>
      <c r="F31" s="11"/>
      <c r="G31" s="14"/>
      <c r="H31" s="14"/>
      <c r="I31" s="14"/>
      <c r="J31" s="14"/>
      <c r="K31" s="14"/>
      <c r="L31" s="14"/>
      <c r="M31" s="14"/>
      <c r="N31" s="14">
        <f>SUM(N26:N30)</f>
        <v>21105.31</v>
      </c>
    </row>
    <row r="32" ht="89" customHeight="1" spans="1:14">
      <c r="A32" s="4">
        <v>23</v>
      </c>
      <c r="B32" s="4" t="s">
        <v>132</v>
      </c>
      <c r="C32" s="4" t="s">
        <v>133</v>
      </c>
      <c r="D32" s="8" t="s">
        <v>134</v>
      </c>
      <c r="E32" s="4" t="s">
        <v>66</v>
      </c>
      <c r="F32" s="4">
        <v>1</v>
      </c>
      <c r="G32" s="9">
        <v>697.25</v>
      </c>
      <c r="H32" s="9">
        <v>183.49</v>
      </c>
      <c r="I32" s="9">
        <v>91.74</v>
      </c>
      <c r="J32" s="9">
        <v>513.76</v>
      </c>
      <c r="K32" s="9">
        <v>146.79</v>
      </c>
      <c r="L32" s="9">
        <v>201.83</v>
      </c>
      <c r="M32" s="9">
        <v>165.14</v>
      </c>
      <c r="N32" s="16">
        <f>SUM(G32:M32)</f>
        <v>2000</v>
      </c>
    </row>
    <row r="33" ht="45" customHeight="1" spans="1:14">
      <c r="A33" s="4">
        <v>24</v>
      </c>
      <c r="B33" s="4" t="s">
        <v>187</v>
      </c>
      <c r="C33" s="4" t="s">
        <v>64</v>
      </c>
      <c r="D33" s="8" t="s">
        <v>65</v>
      </c>
      <c r="E33" s="4" t="s">
        <v>66</v>
      </c>
      <c r="F33" s="4">
        <v>1</v>
      </c>
      <c r="G33" s="9">
        <v>209.17</v>
      </c>
      <c r="H33" s="9">
        <v>55.05</v>
      </c>
      <c r="I33" s="9">
        <v>27.52</v>
      </c>
      <c r="J33" s="9">
        <v>154.13</v>
      </c>
      <c r="K33" s="9">
        <v>44.04</v>
      </c>
      <c r="L33" s="9">
        <v>60.55</v>
      </c>
      <c r="M33" s="9">
        <v>49.54</v>
      </c>
      <c r="N33" s="16">
        <f>SUM(G33:M33)</f>
        <v>600</v>
      </c>
    </row>
    <row r="34" ht="25" customHeight="1" spans="1:14">
      <c r="A34" s="11" t="s">
        <v>50</v>
      </c>
      <c r="B34" s="12"/>
      <c r="C34" s="11"/>
      <c r="D34" s="13"/>
      <c r="E34" s="12"/>
      <c r="F34" s="11"/>
      <c r="G34" s="14"/>
      <c r="H34" s="14"/>
      <c r="I34" s="14"/>
      <c r="J34" s="14"/>
      <c r="K34" s="14"/>
      <c r="L34" s="14"/>
      <c r="M34" s="14"/>
      <c r="N34" s="14">
        <f>SUM(N32:N33)</f>
        <v>2600</v>
      </c>
    </row>
    <row r="35" ht="25" customHeight="1" spans="1:14">
      <c r="A35" s="4" t="s">
        <v>188</v>
      </c>
      <c r="B35" s="4"/>
      <c r="C35" s="4"/>
      <c r="D35" s="8"/>
      <c r="E35" s="4"/>
      <c r="F35" s="4"/>
      <c r="G35" s="9"/>
      <c r="H35" s="9"/>
      <c r="I35" s="9"/>
      <c r="J35" s="9"/>
      <c r="K35" s="9"/>
      <c r="L35" s="9"/>
      <c r="M35" s="9"/>
      <c r="N35" s="16">
        <f>N9+N15+N20+N25+N31+N34</f>
        <v>68130.3</v>
      </c>
    </row>
  </sheetData>
  <mergeCells count="9">
    <mergeCell ref="A1:M1"/>
    <mergeCell ref="A2:N2"/>
    <mergeCell ref="G3:N3"/>
    <mergeCell ref="A3:A4"/>
    <mergeCell ref="B3:B4"/>
    <mergeCell ref="C3:C4"/>
    <mergeCell ref="D3:D4"/>
    <mergeCell ref="E3:E4"/>
    <mergeCell ref="F3:F4"/>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1"/>
  <sheetViews>
    <sheetView zoomScale="85" zoomScaleNormal="85" workbookViewId="0">
      <selection activeCell="A9" sqref="$A9:$XFD9"/>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0.3716814159292"/>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ht="97" customHeight="1" spans="1:14">
      <c r="A5" s="4">
        <v>1</v>
      </c>
      <c r="B5" s="4" t="s">
        <v>189</v>
      </c>
      <c r="C5" s="4" t="s">
        <v>53</v>
      </c>
      <c r="D5" s="8" t="s">
        <v>54</v>
      </c>
      <c r="E5" s="4" t="s">
        <v>55</v>
      </c>
      <c r="F5" s="4">
        <v>1</v>
      </c>
      <c r="G5" s="9">
        <v>2862.39</v>
      </c>
      <c r="H5" s="9">
        <v>110.09</v>
      </c>
      <c r="I5" s="9">
        <v>36.7</v>
      </c>
      <c r="J5" s="9">
        <v>146.79</v>
      </c>
      <c r="K5" s="9">
        <v>110.09</v>
      </c>
      <c r="L5" s="9">
        <v>403.67</v>
      </c>
      <c r="M5" s="9">
        <v>330.28</v>
      </c>
      <c r="N5" s="16">
        <f>SUM(G5:M5)</f>
        <v>4000.01</v>
      </c>
    </row>
    <row r="6" ht="45" customHeight="1" spans="1:14">
      <c r="A6" s="4">
        <v>2</v>
      </c>
      <c r="B6" s="4" t="s">
        <v>190</v>
      </c>
      <c r="C6" s="4" t="s">
        <v>57</v>
      </c>
      <c r="D6" s="8" t="s">
        <v>191</v>
      </c>
      <c r="E6" s="4" t="s">
        <v>55</v>
      </c>
      <c r="F6" s="4">
        <v>1</v>
      </c>
      <c r="G6" s="9">
        <v>2504.59</v>
      </c>
      <c r="H6" s="9">
        <v>96.33</v>
      </c>
      <c r="I6" s="9">
        <v>32.11</v>
      </c>
      <c r="J6" s="9">
        <v>128.44</v>
      </c>
      <c r="K6" s="9">
        <v>96.33</v>
      </c>
      <c r="L6" s="9">
        <v>353.21</v>
      </c>
      <c r="M6" s="9">
        <v>288.99</v>
      </c>
      <c r="N6" s="16">
        <f>SUM(G6:M6)</f>
        <v>3500</v>
      </c>
    </row>
    <row r="7" s="37" customFormat="1" ht="45" customHeight="1" spans="1:14">
      <c r="A7" s="27">
        <v>3</v>
      </c>
      <c r="B7" s="27" t="s">
        <v>192</v>
      </c>
      <c r="C7" s="27" t="s">
        <v>60</v>
      </c>
      <c r="D7" s="39" t="s">
        <v>61</v>
      </c>
      <c r="E7" s="27" t="s">
        <v>62</v>
      </c>
      <c r="F7" s="27">
        <v>1</v>
      </c>
      <c r="G7" s="23">
        <v>7059.6</v>
      </c>
      <c r="H7" s="23">
        <v>1857.8</v>
      </c>
      <c r="I7" s="23">
        <v>928.9</v>
      </c>
      <c r="J7" s="23">
        <v>5201.8</v>
      </c>
      <c r="K7" s="23">
        <v>1486.2</v>
      </c>
      <c r="L7" s="23">
        <v>2043.6</v>
      </c>
      <c r="M7" s="23">
        <v>1672</v>
      </c>
      <c r="N7" s="40">
        <f>SUM(G7:M7)</f>
        <v>20249.9</v>
      </c>
    </row>
    <row r="8" ht="25" customHeight="1" spans="1:14">
      <c r="A8" s="11" t="s">
        <v>50</v>
      </c>
      <c r="B8" s="12"/>
      <c r="C8" s="11"/>
      <c r="D8" s="13"/>
      <c r="E8" s="12"/>
      <c r="F8" s="11"/>
      <c r="G8" s="14"/>
      <c r="H8" s="14"/>
      <c r="I8" s="14"/>
      <c r="J8" s="14"/>
      <c r="K8" s="14"/>
      <c r="L8" s="14"/>
      <c r="M8" s="14"/>
      <c r="N8" s="14">
        <f>SUM(N5:N7)</f>
        <v>27749.91</v>
      </c>
    </row>
    <row r="9" s="37" customFormat="1" ht="45" customHeight="1" spans="1:14">
      <c r="A9" s="27">
        <v>4</v>
      </c>
      <c r="B9" s="27" t="s">
        <v>193</v>
      </c>
      <c r="C9" s="27" t="s">
        <v>64</v>
      </c>
      <c r="D9" s="39" t="s">
        <v>65</v>
      </c>
      <c r="E9" s="27" t="s">
        <v>66</v>
      </c>
      <c r="F9" s="27">
        <v>1</v>
      </c>
      <c r="G9" s="23">
        <v>627.51</v>
      </c>
      <c r="H9" s="23">
        <v>165.15</v>
      </c>
      <c r="I9" s="23">
        <v>82.56</v>
      </c>
      <c r="J9" s="23">
        <v>462.39</v>
      </c>
      <c r="K9" s="23">
        <v>132.12</v>
      </c>
      <c r="L9" s="23">
        <v>181.65</v>
      </c>
      <c r="M9" s="23">
        <v>148.62</v>
      </c>
      <c r="N9" s="40">
        <f>SUM(G9:M9)</f>
        <v>1800</v>
      </c>
    </row>
    <row r="10" ht="25" customHeight="1" spans="1:14">
      <c r="A10" s="11" t="s">
        <v>50</v>
      </c>
      <c r="B10" s="12"/>
      <c r="C10" s="11"/>
      <c r="D10" s="13"/>
      <c r="E10" s="12"/>
      <c r="F10" s="11"/>
      <c r="G10" s="14"/>
      <c r="H10" s="14"/>
      <c r="I10" s="14"/>
      <c r="J10" s="14"/>
      <c r="K10" s="14"/>
      <c r="L10" s="14"/>
      <c r="M10" s="14"/>
      <c r="N10" s="14">
        <f>N9</f>
        <v>1800</v>
      </c>
    </row>
    <row r="11" ht="33" customHeight="1" spans="1:14">
      <c r="A11" s="4" t="s">
        <v>188</v>
      </c>
      <c r="B11" s="4"/>
      <c r="C11" s="4"/>
      <c r="D11" s="8"/>
      <c r="E11" s="4"/>
      <c r="F11" s="4"/>
      <c r="G11" s="9"/>
      <c r="H11" s="9"/>
      <c r="I11" s="9"/>
      <c r="J11" s="9"/>
      <c r="K11" s="9"/>
      <c r="L11" s="9"/>
      <c r="M11" s="9"/>
      <c r="N11" s="16">
        <f>N8+N10</f>
        <v>29549.91</v>
      </c>
    </row>
  </sheetData>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38"/>
  <sheetViews>
    <sheetView zoomScale="85" zoomScaleNormal="85" workbookViewId="0">
      <selection activeCell="G3" sqref="G3:N4"/>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0.5309734513274"/>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ht="45" customHeight="1" spans="1:14">
      <c r="A5" s="4">
        <v>1</v>
      </c>
      <c r="B5" s="4" t="s">
        <v>194</v>
      </c>
      <c r="C5" s="4" t="s">
        <v>68</v>
      </c>
      <c r="D5" s="8" t="s">
        <v>69</v>
      </c>
      <c r="E5" s="4" t="s">
        <v>55</v>
      </c>
      <c r="F5" s="4">
        <v>2</v>
      </c>
      <c r="G5" s="9">
        <v>1452.66</v>
      </c>
      <c r="H5" s="9">
        <v>55.87</v>
      </c>
      <c r="I5" s="9">
        <v>18.62</v>
      </c>
      <c r="J5" s="9">
        <v>74.5</v>
      </c>
      <c r="K5" s="9">
        <v>55.87</v>
      </c>
      <c r="L5" s="9">
        <v>204.86</v>
      </c>
      <c r="M5" s="9">
        <v>167.61</v>
      </c>
      <c r="N5" s="16">
        <f t="shared" ref="N5:N8" si="0">SUM(G5:M5)</f>
        <v>2029.99</v>
      </c>
    </row>
    <row r="6" ht="45" customHeight="1" spans="1:14">
      <c r="A6" s="4">
        <v>2</v>
      </c>
      <c r="B6" s="4" t="s">
        <v>195</v>
      </c>
      <c r="C6" s="4" t="s">
        <v>68</v>
      </c>
      <c r="D6" s="8" t="s">
        <v>73</v>
      </c>
      <c r="E6" s="4" t="s">
        <v>55</v>
      </c>
      <c r="F6" s="4">
        <v>22</v>
      </c>
      <c r="G6" s="9">
        <v>15979.27</v>
      </c>
      <c r="H6" s="9">
        <v>614.59</v>
      </c>
      <c r="I6" s="9">
        <v>204.86</v>
      </c>
      <c r="J6" s="9">
        <v>819.45</v>
      </c>
      <c r="K6" s="9">
        <v>614.59</v>
      </c>
      <c r="L6" s="9">
        <v>2253.49</v>
      </c>
      <c r="M6" s="9">
        <v>1843.76</v>
      </c>
      <c r="N6" s="16">
        <f t="shared" si="0"/>
        <v>22330.01</v>
      </c>
    </row>
    <row r="7" ht="45" customHeight="1" spans="1:14">
      <c r="A7" s="4">
        <v>3</v>
      </c>
      <c r="B7" s="4" t="s">
        <v>196</v>
      </c>
      <c r="C7" s="4" t="s">
        <v>68</v>
      </c>
      <c r="D7" s="8" t="s">
        <v>75</v>
      </c>
      <c r="E7" s="4" t="s">
        <v>55</v>
      </c>
      <c r="F7" s="4">
        <v>4</v>
      </c>
      <c r="G7" s="9">
        <v>2905.32</v>
      </c>
      <c r="H7" s="9">
        <v>111.74</v>
      </c>
      <c r="I7" s="9">
        <v>37.25</v>
      </c>
      <c r="J7" s="9">
        <v>148.99</v>
      </c>
      <c r="K7" s="9">
        <v>111.74</v>
      </c>
      <c r="L7" s="9">
        <v>409.72</v>
      </c>
      <c r="M7" s="9">
        <v>335.23</v>
      </c>
      <c r="N7" s="16">
        <f t="shared" si="0"/>
        <v>4059.99</v>
      </c>
    </row>
    <row r="8" ht="45" customHeight="1" spans="1:14">
      <c r="A8" s="4">
        <v>4</v>
      </c>
      <c r="B8" s="4" t="s">
        <v>197</v>
      </c>
      <c r="C8" s="4" t="s">
        <v>77</v>
      </c>
      <c r="D8" s="8" t="s">
        <v>78</v>
      </c>
      <c r="E8" s="4" t="s">
        <v>55</v>
      </c>
      <c r="F8" s="4">
        <v>26</v>
      </c>
      <c r="G8" s="9">
        <v>8372.48</v>
      </c>
      <c r="H8" s="9">
        <v>322.02</v>
      </c>
      <c r="I8" s="9">
        <v>107.34</v>
      </c>
      <c r="J8" s="9">
        <v>429.36</v>
      </c>
      <c r="K8" s="9">
        <v>322.02</v>
      </c>
      <c r="L8" s="9">
        <v>1180.73</v>
      </c>
      <c r="M8" s="9">
        <v>966.06</v>
      </c>
      <c r="N8" s="16">
        <f t="shared" si="0"/>
        <v>11700.01</v>
      </c>
    </row>
    <row r="9" ht="25" customHeight="1" spans="1:14">
      <c r="A9" s="11" t="s">
        <v>50</v>
      </c>
      <c r="B9" s="12"/>
      <c r="C9" s="11"/>
      <c r="D9" s="13"/>
      <c r="E9" s="12"/>
      <c r="F9" s="11"/>
      <c r="G9" s="14"/>
      <c r="H9" s="14"/>
      <c r="I9" s="14"/>
      <c r="J9" s="14"/>
      <c r="K9" s="14"/>
      <c r="L9" s="14"/>
      <c r="M9" s="14"/>
      <c r="N9" s="14">
        <f>SUM(N5:N8)</f>
        <v>40120</v>
      </c>
    </row>
    <row r="10" ht="45" customHeight="1" spans="1:14">
      <c r="A10" s="4">
        <v>5</v>
      </c>
      <c r="B10" s="4" t="s">
        <v>198</v>
      </c>
      <c r="C10" s="4" t="s">
        <v>77</v>
      </c>
      <c r="D10" s="8" t="s">
        <v>80</v>
      </c>
      <c r="E10" s="4" t="s">
        <v>55</v>
      </c>
      <c r="F10" s="4">
        <v>2</v>
      </c>
      <c r="G10" s="9">
        <v>20.04</v>
      </c>
      <c r="H10" s="9">
        <v>0.77</v>
      </c>
      <c r="I10" s="9">
        <v>0.26</v>
      </c>
      <c r="J10" s="9">
        <v>1.03</v>
      </c>
      <c r="K10" s="9">
        <v>0.77</v>
      </c>
      <c r="L10" s="9">
        <v>2.83</v>
      </c>
      <c r="M10" s="9">
        <v>2.31</v>
      </c>
      <c r="N10" s="16">
        <f t="shared" ref="N10:N13" si="1">SUM(G10:M10)</f>
        <v>28.01</v>
      </c>
    </row>
    <row r="11" ht="45" customHeight="1" spans="1:14">
      <c r="A11" s="4">
        <v>6</v>
      </c>
      <c r="B11" s="4" t="s">
        <v>199</v>
      </c>
      <c r="C11" s="4" t="s">
        <v>77</v>
      </c>
      <c r="D11" s="8" t="s">
        <v>82</v>
      </c>
      <c r="E11" s="4" t="s">
        <v>55</v>
      </c>
      <c r="F11" s="4">
        <v>52</v>
      </c>
      <c r="G11" s="9">
        <v>5295.41</v>
      </c>
      <c r="H11" s="9">
        <v>441.28</v>
      </c>
      <c r="I11" s="9">
        <v>176.51</v>
      </c>
      <c r="J11" s="9">
        <v>1323.85</v>
      </c>
      <c r="K11" s="9">
        <v>617.8</v>
      </c>
      <c r="L11" s="9">
        <v>970.83</v>
      </c>
      <c r="M11" s="9">
        <v>794.31</v>
      </c>
      <c r="N11" s="16">
        <f t="shared" si="1"/>
        <v>9619.99</v>
      </c>
    </row>
    <row r="12" ht="45" customHeight="1" spans="1:14">
      <c r="A12" s="4">
        <v>7</v>
      </c>
      <c r="B12" s="4" t="s">
        <v>200</v>
      </c>
      <c r="C12" s="4" t="s">
        <v>77</v>
      </c>
      <c r="D12" s="8" t="s">
        <v>84</v>
      </c>
      <c r="E12" s="4" t="s">
        <v>55</v>
      </c>
      <c r="F12" s="4">
        <v>52</v>
      </c>
      <c r="G12" s="9">
        <v>1302.39</v>
      </c>
      <c r="H12" s="9">
        <v>50.09</v>
      </c>
      <c r="I12" s="9">
        <v>16.7</v>
      </c>
      <c r="J12" s="9">
        <v>66.79</v>
      </c>
      <c r="K12" s="9">
        <v>50.09</v>
      </c>
      <c r="L12" s="9">
        <v>183.67</v>
      </c>
      <c r="M12" s="9">
        <v>150.28</v>
      </c>
      <c r="N12" s="16">
        <f t="shared" si="1"/>
        <v>1820.01</v>
      </c>
    </row>
    <row r="13" ht="45" customHeight="1" spans="1:14">
      <c r="A13" s="4">
        <v>8</v>
      </c>
      <c r="B13" s="4" t="s">
        <v>201</v>
      </c>
      <c r="C13" s="4" t="s">
        <v>77</v>
      </c>
      <c r="D13" s="8" t="s">
        <v>86</v>
      </c>
      <c r="E13" s="4" t="s">
        <v>55</v>
      </c>
      <c r="F13" s="4">
        <v>25</v>
      </c>
      <c r="G13" s="9">
        <v>2755.05</v>
      </c>
      <c r="H13" s="9">
        <v>105.96</v>
      </c>
      <c r="I13" s="9">
        <v>35.32</v>
      </c>
      <c r="J13" s="9">
        <v>141.28</v>
      </c>
      <c r="K13" s="9">
        <v>105.96</v>
      </c>
      <c r="L13" s="9">
        <v>388.53</v>
      </c>
      <c r="M13" s="9">
        <v>317.89</v>
      </c>
      <c r="N13" s="16">
        <f t="shared" si="1"/>
        <v>3849.99</v>
      </c>
    </row>
    <row r="14" ht="25" customHeight="1" spans="1:14">
      <c r="A14" s="11" t="s">
        <v>50</v>
      </c>
      <c r="B14" s="12"/>
      <c r="C14" s="11"/>
      <c r="D14" s="13"/>
      <c r="E14" s="12"/>
      <c r="F14" s="11"/>
      <c r="G14" s="14"/>
      <c r="H14" s="14"/>
      <c r="I14" s="14"/>
      <c r="J14" s="14"/>
      <c r="K14" s="14"/>
      <c r="L14" s="14"/>
      <c r="M14" s="14"/>
      <c r="N14" s="14">
        <f>SUM(N10:N13)</f>
        <v>15318</v>
      </c>
    </row>
    <row r="15" ht="45" customHeight="1" spans="1:14">
      <c r="A15" s="4">
        <v>9</v>
      </c>
      <c r="B15" s="4" t="s">
        <v>202</v>
      </c>
      <c r="C15" s="4" t="s">
        <v>88</v>
      </c>
      <c r="D15" s="8" t="s">
        <v>89</v>
      </c>
      <c r="E15" s="4" t="s">
        <v>55</v>
      </c>
      <c r="F15" s="4">
        <v>25</v>
      </c>
      <c r="G15" s="9">
        <v>23793.58</v>
      </c>
      <c r="H15" s="9">
        <v>915.14</v>
      </c>
      <c r="I15" s="9">
        <v>305.05</v>
      </c>
      <c r="J15" s="9">
        <v>1220.18</v>
      </c>
      <c r="K15" s="9">
        <v>915.14</v>
      </c>
      <c r="L15" s="9">
        <v>3355.5</v>
      </c>
      <c r="M15" s="9">
        <v>2745.41</v>
      </c>
      <c r="N15" s="16">
        <f t="shared" ref="N15:N18" si="2">SUM(G15:M15)</f>
        <v>33250</v>
      </c>
    </row>
    <row r="16" ht="45" customHeight="1" spans="1:14">
      <c r="A16" s="4">
        <v>10</v>
      </c>
      <c r="B16" s="4" t="s">
        <v>203</v>
      </c>
      <c r="C16" s="4" t="s">
        <v>91</v>
      </c>
      <c r="D16" s="8" t="s">
        <v>92</v>
      </c>
      <c r="E16" s="4" t="s">
        <v>93</v>
      </c>
      <c r="F16" s="4">
        <v>25</v>
      </c>
      <c r="G16" s="9">
        <v>217.89</v>
      </c>
      <c r="H16" s="9">
        <v>57.34</v>
      </c>
      <c r="I16" s="9">
        <v>28.67</v>
      </c>
      <c r="J16" s="9">
        <v>160.55</v>
      </c>
      <c r="K16" s="9">
        <v>45.87</v>
      </c>
      <c r="L16" s="9">
        <v>63.07</v>
      </c>
      <c r="M16" s="9">
        <v>51.61</v>
      </c>
      <c r="N16" s="16">
        <f t="shared" si="2"/>
        <v>625</v>
      </c>
    </row>
    <row r="17" ht="45" customHeight="1" spans="1:14">
      <c r="A17" s="4">
        <v>11</v>
      </c>
      <c r="B17" s="4" t="s">
        <v>204</v>
      </c>
      <c r="C17" s="4" t="s">
        <v>95</v>
      </c>
      <c r="D17" s="8" t="s">
        <v>96</v>
      </c>
      <c r="E17" s="4" t="s">
        <v>47</v>
      </c>
      <c r="F17" s="4">
        <v>300</v>
      </c>
      <c r="G17" s="9">
        <v>522.94</v>
      </c>
      <c r="H17" s="9">
        <v>137.61</v>
      </c>
      <c r="I17" s="9">
        <v>68.81</v>
      </c>
      <c r="J17" s="9">
        <v>385.32</v>
      </c>
      <c r="K17" s="9">
        <v>110.09</v>
      </c>
      <c r="L17" s="9">
        <v>151.38</v>
      </c>
      <c r="M17" s="9">
        <v>123.85</v>
      </c>
      <c r="N17" s="16">
        <f t="shared" si="2"/>
        <v>1500</v>
      </c>
    </row>
    <row r="18" ht="45" customHeight="1" spans="1:14">
      <c r="A18" s="4">
        <v>12</v>
      </c>
      <c r="B18" s="4" t="s">
        <v>205</v>
      </c>
      <c r="C18" s="4" t="s">
        <v>95</v>
      </c>
      <c r="D18" s="8" t="s">
        <v>98</v>
      </c>
      <c r="E18" s="4" t="s">
        <v>47</v>
      </c>
      <c r="F18" s="4">
        <v>300</v>
      </c>
      <c r="G18" s="9">
        <v>470.64</v>
      </c>
      <c r="H18" s="9">
        <v>123.85</v>
      </c>
      <c r="I18" s="9">
        <v>61.93</v>
      </c>
      <c r="J18" s="9">
        <v>346.79</v>
      </c>
      <c r="K18" s="9">
        <v>99.08</v>
      </c>
      <c r="L18" s="9">
        <v>136.24</v>
      </c>
      <c r="M18" s="9">
        <v>111.47</v>
      </c>
      <c r="N18" s="16">
        <f t="shared" si="2"/>
        <v>1350</v>
      </c>
    </row>
    <row r="19" ht="25" customHeight="1" spans="1:14">
      <c r="A19" s="11" t="s">
        <v>50</v>
      </c>
      <c r="B19" s="12"/>
      <c r="C19" s="11"/>
      <c r="D19" s="13"/>
      <c r="E19" s="12"/>
      <c r="F19" s="11"/>
      <c r="G19" s="14"/>
      <c r="H19" s="14"/>
      <c r="I19" s="14"/>
      <c r="J19" s="14"/>
      <c r="K19" s="14"/>
      <c r="L19" s="14"/>
      <c r="M19" s="14"/>
      <c r="N19" s="14">
        <f>SUM(N15:N18)</f>
        <v>36725</v>
      </c>
    </row>
    <row r="20" ht="60" customHeight="1" spans="1:14">
      <c r="A20" s="4">
        <v>13</v>
      </c>
      <c r="B20" s="4" t="s">
        <v>206</v>
      </c>
      <c r="C20" s="4" t="s">
        <v>100</v>
      </c>
      <c r="D20" s="8" t="s">
        <v>101</v>
      </c>
      <c r="E20" s="4" t="s">
        <v>47</v>
      </c>
      <c r="F20" s="4">
        <v>200</v>
      </c>
      <c r="G20" s="9">
        <v>543.85</v>
      </c>
      <c r="H20" s="9">
        <v>143.12</v>
      </c>
      <c r="I20" s="9">
        <v>71.56</v>
      </c>
      <c r="J20" s="9">
        <v>400.73</v>
      </c>
      <c r="K20" s="9">
        <v>114.5</v>
      </c>
      <c r="L20" s="9">
        <v>157.43</v>
      </c>
      <c r="M20" s="9">
        <v>128.81</v>
      </c>
      <c r="N20" s="16">
        <f t="shared" ref="N20:N23" si="3">SUM(G20:M20)</f>
        <v>1560</v>
      </c>
    </row>
    <row r="21" ht="45" customHeight="1" spans="1:14">
      <c r="A21" s="4">
        <v>14</v>
      </c>
      <c r="B21" s="4" t="s">
        <v>207</v>
      </c>
      <c r="C21" s="4" t="s">
        <v>103</v>
      </c>
      <c r="D21" s="8" t="s">
        <v>104</v>
      </c>
      <c r="E21" s="4" t="s">
        <v>105</v>
      </c>
      <c r="F21" s="4">
        <v>120</v>
      </c>
      <c r="G21" s="9">
        <v>543.85</v>
      </c>
      <c r="H21" s="9">
        <v>143.12</v>
      </c>
      <c r="I21" s="9">
        <v>71.56</v>
      </c>
      <c r="J21" s="9">
        <v>400.73</v>
      </c>
      <c r="K21" s="9">
        <v>114.5</v>
      </c>
      <c r="L21" s="9">
        <v>157.43</v>
      </c>
      <c r="M21" s="9">
        <v>128.81</v>
      </c>
      <c r="N21" s="16">
        <f t="shared" si="3"/>
        <v>1560</v>
      </c>
    </row>
    <row r="22" ht="45" customHeight="1" spans="1:14">
      <c r="A22" s="4">
        <v>15</v>
      </c>
      <c r="B22" s="4" t="s">
        <v>208</v>
      </c>
      <c r="C22" s="4" t="s">
        <v>107</v>
      </c>
      <c r="D22" s="8" t="s">
        <v>108</v>
      </c>
      <c r="E22" s="4" t="s">
        <v>47</v>
      </c>
      <c r="F22" s="4">
        <v>2700</v>
      </c>
      <c r="G22" s="9">
        <v>7728.44</v>
      </c>
      <c r="H22" s="9">
        <v>297.25</v>
      </c>
      <c r="I22" s="9">
        <v>99.08</v>
      </c>
      <c r="J22" s="9">
        <v>396.33</v>
      </c>
      <c r="K22" s="9">
        <v>297.25</v>
      </c>
      <c r="L22" s="9">
        <v>1089.91</v>
      </c>
      <c r="M22" s="9">
        <v>891.74</v>
      </c>
      <c r="N22" s="16">
        <f t="shared" si="3"/>
        <v>10800</v>
      </c>
    </row>
    <row r="23" ht="60" customHeight="1" spans="1:14">
      <c r="A23" s="4">
        <v>16</v>
      </c>
      <c r="B23" s="4" t="s">
        <v>209</v>
      </c>
      <c r="C23" s="4" t="s">
        <v>110</v>
      </c>
      <c r="D23" s="8" t="s">
        <v>111</v>
      </c>
      <c r="E23" s="4" t="s">
        <v>47</v>
      </c>
      <c r="F23" s="4">
        <v>3506</v>
      </c>
      <c r="G23" s="9">
        <v>5789.72</v>
      </c>
      <c r="H23" s="9">
        <v>482.48</v>
      </c>
      <c r="I23" s="9">
        <v>192.99</v>
      </c>
      <c r="J23" s="9">
        <v>1447.43</v>
      </c>
      <c r="K23" s="9">
        <v>675.47</v>
      </c>
      <c r="L23" s="9">
        <v>1061.45</v>
      </c>
      <c r="M23" s="9">
        <v>868.46</v>
      </c>
      <c r="N23" s="16">
        <f t="shared" si="3"/>
        <v>10518</v>
      </c>
    </row>
    <row r="24" ht="25" customHeight="1" spans="1:14">
      <c r="A24" s="11" t="s">
        <v>50</v>
      </c>
      <c r="B24" s="12"/>
      <c r="C24" s="11"/>
      <c r="D24" s="13"/>
      <c r="E24" s="12"/>
      <c r="F24" s="11"/>
      <c r="G24" s="14"/>
      <c r="H24" s="14"/>
      <c r="I24" s="14"/>
      <c r="J24" s="14"/>
      <c r="K24" s="14"/>
      <c r="L24" s="14"/>
      <c r="M24" s="14"/>
      <c r="N24" s="14">
        <f>SUM(N20:N23)</f>
        <v>24438</v>
      </c>
    </row>
    <row r="25" ht="45" customHeight="1" spans="1:14">
      <c r="A25" s="4">
        <v>17</v>
      </c>
      <c r="B25" s="4" t="s">
        <v>210</v>
      </c>
      <c r="C25" s="4" t="s">
        <v>45</v>
      </c>
      <c r="D25" s="8" t="s">
        <v>113</v>
      </c>
      <c r="E25" s="4" t="s">
        <v>47</v>
      </c>
      <c r="F25" s="4">
        <v>2700</v>
      </c>
      <c r="G25" s="9">
        <v>4894.68</v>
      </c>
      <c r="H25" s="9">
        <v>1288.07</v>
      </c>
      <c r="I25" s="9">
        <v>644.04</v>
      </c>
      <c r="J25" s="9">
        <v>3606.61</v>
      </c>
      <c r="K25" s="9">
        <v>1030.46</v>
      </c>
      <c r="L25" s="9">
        <v>1416.88</v>
      </c>
      <c r="M25" s="9">
        <v>1159.27</v>
      </c>
      <c r="N25" s="16">
        <f t="shared" ref="N25:N29" si="4">SUM(G25:M25)</f>
        <v>14040.01</v>
      </c>
    </row>
    <row r="26" ht="45" customHeight="1" spans="1:14">
      <c r="A26" s="4">
        <v>18</v>
      </c>
      <c r="B26" s="4" t="s">
        <v>211</v>
      </c>
      <c r="C26" s="4" t="s">
        <v>45</v>
      </c>
      <c r="D26" s="8" t="s">
        <v>115</v>
      </c>
      <c r="E26" s="4" t="s">
        <v>47</v>
      </c>
      <c r="F26" s="4">
        <v>2700</v>
      </c>
      <c r="G26" s="9">
        <v>4235.78</v>
      </c>
      <c r="H26" s="9">
        <v>1114.68</v>
      </c>
      <c r="I26" s="9">
        <v>557.34</v>
      </c>
      <c r="J26" s="9">
        <v>3121.1</v>
      </c>
      <c r="K26" s="9">
        <v>891.74</v>
      </c>
      <c r="L26" s="9">
        <v>1226.15</v>
      </c>
      <c r="M26" s="9">
        <v>1003.21</v>
      </c>
      <c r="N26" s="16">
        <f t="shared" si="4"/>
        <v>12150</v>
      </c>
    </row>
    <row r="27" ht="45" customHeight="1" spans="1:14">
      <c r="A27" s="4">
        <v>19</v>
      </c>
      <c r="B27" s="4" t="s">
        <v>212</v>
      </c>
      <c r="C27" s="4" t="s">
        <v>45</v>
      </c>
      <c r="D27" s="8" t="s">
        <v>117</v>
      </c>
      <c r="E27" s="4" t="s">
        <v>47</v>
      </c>
      <c r="F27" s="4">
        <v>2700</v>
      </c>
      <c r="G27" s="9">
        <v>4706.42</v>
      </c>
      <c r="H27" s="9">
        <v>1238.53</v>
      </c>
      <c r="I27" s="9">
        <v>619.27</v>
      </c>
      <c r="J27" s="9">
        <v>3467.89</v>
      </c>
      <c r="K27" s="9">
        <v>990.83</v>
      </c>
      <c r="L27" s="9">
        <v>1362.39</v>
      </c>
      <c r="M27" s="9">
        <v>1114.68</v>
      </c>
      <c r="N27" s="16">
        <f t="shared" si="4"/>
        <v>13500.01</v>
      </c>
    </row>
    <row r="28" ht="45" customHeight="1" spans="1:14">
      <c r="A28" s="4">
        <v>20</v>
      </c>
      <c r="B28" s="4" t="s">
        <v>213</v>
      </c>
      <c r="C28" s="4" t="s">
        <v>45</v>
      </c>
      <c r="D28" s="8" t="s">
        <v>119</v>
      </c>
      <c r="E28" s="4" t="s">
        <v>47</v>
      </c>
      <c r="F28" s="4">
        <v>2700</v>
      </c>
      <c r="G28" s="9">
        <v>5647.71</v>
      </c>
      <c r="H28" s="9">
        <v>1486.24</v>
      </c>
      <c r="I28" s="9">
        <v>743.12</v>
      </c>
      <c r="J28" s="9">
        <v>4161.47</v>
      </c>
      <c r="K28" s="9">
        <v>1188.99</v>
      </c>
      <c r="L28" s="9">
        <v>1634.86</v>
      </c>
      <c r="M28" s="9">
        <v>1337.61</v>
      </c>
      <c r="N28" s="16">
        <f t="shared" si="4"/>
        <v>16200</v>
      </c>
    </row>
    <row r="29" ht="45" customHeight="1" spans="1:14">
      <c r="A29" s="4">
        <v>21</v>
      </c>
      <c r="B29" s="4" t="s">
        <v>214</v>
      </c>
      <c r="C29" s="4" t="s">
        <v>45</v>
      </c>
      <c r="D29" s="8" t="s">
        <v>121</v>
      </c>
      <c r="E29" s="4" t="s">
        <v>47</v>
      </c>
      <c r="F29" s="4">
        <v>2700</v>
      </c>
      <c r="G29" s="9">
        <v>7530.28</v>
      </c>
      <c r="H29" s="9">
        <v>1981.65</v>
      </c>
      <c r="I29" s="9">
        <v>990.83</v>
      </c>
      <c r="J29" s="9">
        <v>5548.62</v>
      </c>
      <c r="K29" s="9">
        <v>1585.32</v>
      </c>
      <c r="L29" s="9">
        <v>2179.82</v>
      </c>
      <c r="M29" s="9">
        <v>1783.49</v>
      </c>
      <c r="N29" s="16">
        <f t="shared" si="4"/>
        <v>21600.01</v>
      </c>
    </row>
    <row r="30" ht="25" customHeight="1" spans="1:14">
      <c r="A30" s="11" t="s">
        <v>50</v>
      </c>
      <c r="B30" s="12"/>
      <c r="C30" s="11"/>
      <c r="D30" s="13"/>
      <c r="E30" s="12"/>
      <c r="F30" s="11"/>
      <c r="G30" s="14"/>
      <c r="H30" s="14"/>
      <c r="I30" s="14"/>
      <c r="J30" s="14"/>
      <c r="K30" s="14"/>
      <c r="L30" s="14"/>
      <c r="M30" s="14"/>
      <c r="N30" s="14">
        <f>SUM(N25:N29)</f>
        <v>77490.03</v>
      </c>
    </row>
    <row r="31" ht="45" customHeight="1" spans="1:14">
      <c r="A31" s="4">
        <v>22</v>
      </c>
      <c r="B31" s="4" t="s">
        <v>215</v>
      </c>
      <c r="C31" s="4" t="s">
        <v>123</v>
      </c>
      <c r="D31" s="8" t="s">
        <v>124</v>
      </c>
      <c r="E31" s="4" t="s">
        <v>125</v>
      </c>
      <c r="F31" s="4">
        <v>86</v>
      </c>
      <c r="G31" s="9">
        <v>239.85</v>
      </c>
      <c r="H31" s="9">
        <v>63.12</v>
      </c>
      <c r="I31" s="9">
        <v>31.56</v>
      </c>
      <c r="J31" s="9">
        <v>176.73</v>
      </c>
      <c r="K31" s="9">
        <v>50.5</v>
      </c>
      <c r="L31" s="9">
        <v>69.43</v>
      </c>
      <c r="M31" s="9">
        <v>56.81</v>
      </c>
      <c r="N31" s="16">
        <f t="shared" ref="N31:N34" si="5">SUM(G31:M31)</f>
        <v>688</v>
      </c>
    </row>
    <row r="32" ht="45" customHeight="1" spans="1:14">
      <c r="A32" s="4">
        <v>23</v>
      </c>
      <c r="B32" s="4" t="s">
        <v>216</v>
      </c>
      <c r="C32" s="4" t="s">
        <v>127</v>
      </c>
      <c r="D32" s="8" t="s">
        <v>128</v>
      </c>
      <c r="E32" s="4" t="s">
        <v>125</v>
      </c>
      <c r="F32" s="4">
        <v>19</v>
      </c>
      <c r="G32" s="9">
        <v>52.99</v>
      </c>
      <c r="H32" s="9">
        <v>13.94</v>
      </c>
      <c r="I32" s="9">
        <v>6.97</v>
      </c>
      <c r="J32" s="9">
        <v>39.05</v>
      </c>
      <c r="K32" s="9">
        <v>11.16</v>
      </c>
      <c r="L32" s="9">
        <v>15.34</v>
      </c>
      <c r="M32" s="9">
        <v>12.55</v>
      </c>
      <c r="N32" s="16">
        <f t="shared" si="5"/>
        <v>152</v>
      </c>
    </row>
    <row r="33" ht="45" customHeight="1" spans="1:14">
      <c r="A33" s="4">
        <v>24</v>
      </c>
      <c r="B33" s="4" t="s">
        <v>217</v>
      </c>
      <c r="C33" s="4" t="s">
        <v>130</v>
      </c>
      <c r="D33" s="8" t="s">
        <v>131</v>
      </c>
      <c r="E33" s="4" t="s">
        <v>62</v>
      </c>
      <c r="F33" s="4">
        <v>1</v>
      </c>
      <c r="G33" s="9">
        <v>697.25</v>
      </c>
      <c r="H33" s="9">
        <v>183.49</v>
      </c>
      <c r="I33" s="9">
        <v>91.74</v>
      </c>
      <c r="J33" s="9">
        <v>513.76</v>
      </c>
      <c r="K33" s="9">
        <v>146.79</v>
      </c>
      <c r="L33" s="9">
        <v>201.83</v>
      </c>
      <c r="M33" s="9">
        <v>165.14</v>
      </c>
      <c r="N33" s="16">
        <f t="shared" si="5"/>
        <v>2000</v>
      </c>
    </row>
    <row r="34" ht="89" customHeight="1" spans="1:14">
      <c r="A34" s="4">
        <v>25</v>
      </c>
      <c r="B34" s="4" t="s">
        <v>218</v>
      </c>
      <c r="C34" s="4" t="s">
        <v>133</v>
      </c>
      <c r="D34" s="8" t="s">
        <v>134</v>
      </c>
      <c r="E34" s="4" t="s">
        <v>66</v>
      </c>
      <c r="F34" s="4">
        <v>1</v>
      </c>
      <c r="G34" s="9">
        <v>1045.87</v>
      </c>
      <c r="H34" s="9">
        <v>275.23</v>
      </c>
      <c r="I34" s="9">
        <v>137.61</v>
      </c>
      <c r="J34" s="9">
        <v>770.64</v>
      </c>
      <c r="K34" s="9">
        <v>220.18</v>
      </c>
      <c r="L34" s="9">
        <v>302.75</v>
      </c>
      <c r="M34" s="9">
        <v>247.71</v>
      </c>
      <c r="N34" s="16">
        <f t="shared" si="5"/>
        <v>2999.99</v>
      </c>
    </row>
    <row r="35" ht="25" customHeight="1" spans="1:14">
      <c r="A35" s="11" t="s">
        <v>50</v>
      </c>
      <c r="B35" s="12"/>
      <c r="C35" s="11"/>
      <c r="D35" s="13"/>
      <c r="E35" s="12"/>
      <c r="F35" s="11"/>
      <c r="G35" s="14"/>
      <c r="H35" s="14"/>
      <c r="I35" s="14"/>
      <c r="J35" s="14"/>
      <c r="K35" s="14"/>
      <c r="L35" s="14"/>
      <c r="M35" s="14"/>
      <c r="N35" s="14">
        <f>SUM(N31:N34)</f>
        <v>5839.99</v>
      </c>
    </row>
    <row r="36" ht="45" customHeight="1" spans="1:14">
      <c r="A36" s="4">
        <v>26</v>
      </c>
      <c r="B36" s="4" t="s">
        <v>219</v>
      </c>
      <c r="C36" s="4" t="s">
        <v>64</v>
      </c>
      <c r="D36" s="8" t="s">
        <v>65</v>
      </c>
      <c r="E36" s="4" t="s">
        <v>66</v>
      </c>
      <c r="F36" s="4">
        <v>1</v>
      </c>
      <c r="G36" s="9">
        <v>174.31</v>
      </c>
      <c r="H36" s="9">
        <v>45.87</v>
      </c>
      <c r="I36" s="9">
        <v>22.94</v>
      </c>
      <c r="J36" s="9">
        <v>128.44</v>
      </c>
      <c r="K36" s="9">
        <v>36.7</v>
      </c>
      <c r="L36" s="9">
        <v>50.46</v>
      </c>
      <c r="M36" s="9">
        <v>41.28</v>
      </c>
      <c r="N36" s="16">
        <f>SUM(G36:M36)</f>
        <v>500</v>
      </c>
    </row>
    <row r="37" ht="25" customHeight="1" spans="1:14">
      <c r="A37" s="11" t="s">
        <v>50</v>
      </c>
      <c r="B37" s="12"/>
      <c r="C37" s="11"/>
      <c r="D37" s="13"/>
      <c r="E37" s="12"/>
      <c r="F37" s="11"/>
      <c r="G37" s="14"/>
      <c r="H37" s="14"/>
      <c r="I37" s="14"/>
      <c r="J37" s="14"/>
      <c r="K37" s="14"/>
      <c r="L37" s="14"/>
      <c r="M37" s="14"/>
      <c r="N37" s="14">
        <f>N36</f>
        <v>500</v>
      </c>
    </row>
    <row r="38" ht="25" customHeight="1" spans="1:14">
      <c r="A38" s="4" t="s">
        <v>188</v>
      </c>
      <c r="B38" s="4"/>
      <c r="C38" s="4"/>
      <c r="D38" s="8"/>
      <c r="E38" s="4"/>
      <c r="F38" s="4"/>
      <c r="G38" s="9"/>
      <c r="H38" s="9"/>
      <c r="I38" s="9"/>
      <c r="J38" s="9"/>
      <c r="K38" s="9"/>
      <c r="L38" s="9"/>
      <c r="M38" s="9"/>
      <c r="N38" s="16">
        <f>N9+N14+N19+N24+N30+N35+N37</f>
        <v>200431.02</v>
      </c>
    </row>
  </sheetData>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34"/>
  <sheetViews>
    <sheetView zoomScale="85" zoomScaleNormal="85" topLeftCell="A24" workbookViewId="0">
      <selection activeCell="N34" sqref="N34"/>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0.5929203539823"/>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45"/>
      <c r="B4" s="45"/>
      <c r="C4" s="45"/>
      <c r="D4" s="45"/>
      <c r="E4" s="45"/>
      <c r="F4" s="45"/>
      <c r="G4" s="6" t="s">
        <v>36</v>
      </c>
      <c r="H4" s="6" t="s">
        <v>37</v>
      </c>
      <c r="I4" s="6" t="s">
        <v>38</v>
      </c>
      <c r="J4" s="6" t="s">
        <v>39</v>
      </c>
      <c r="K4" s="6" t="s">
        <v>40</v>
      </c>
      <c r="L4" s="6" t="s">
        <v>41</v>
      </c>
      <c r="M4" s="6" t="s">
        <v>42</v>
      </c>
      <c r="N4" s="6" t="s">
        <v>43</v>
      </c>
    </row>
    <row r="5" ht="45" customHeight="1" spans="1:14">
      <c r="A5" s="4">
        <v>1</v>
      </c>
      <c r="B5" s="4" t="s">
        <v>220</v>
      </c>
      <c r="C5" s="4" t="s">
        <v>53</v>
      </c>
      <c r="D5" s="4" t="s">
        <v>221</v>
      </c>
      <c r="E5" s="4" t="s">
        <v>55</v>
      </c>
      <c r="F5" s="4">
        <v>2</v>
      </c>
      <c r="G5" s="46">
        <v>10733.94</v>
      </c>
      <c r="H5" s="46">
        <v>412.84</v>
      </c>
      <c r="I5" s="46">
        <v>137.61</v>
      </c>
      <c r="J5" s="46">
        <v>550.46</v>
      </c>
      <c r="K5" s="46">
        <v>412.84</v>
      </c>
      <c r="L5" s="46">
        <v>1513.76</v>
      </c>
      <c r="M5" s="46">
        <v>1238.53</v>
      </c>
      <c r="N5" s="47">
        <f t="shared" ref="N5:N8" si="0">SUM(G5:M5)</f>
        <v>14999.98</v>
      </c>
    </row>
    <row r="6" ht="45" customHeight="1" spans="1:14">
      <c r="A6" s="4">
        <v>2</v>
      </c>
      <c r="B6" s="4" t="s">
        <v>222</v>
      </c>
      <c r="C6" s="4" t="s">
        <v>53</v>
      </c>
      <c r="D6" s="4" t="s">
        <v>139</v>
      </c>
      <c r="E6" s="4" t="s">
        <v>55</v>
      </c>
      <c r="F6" s="4">
        <v>1</v>
      </c>
      <c r="G6" s="46">
        <v>2719.27</v>
      </c>
      <c r="H6" s="46">
        <v>104.59</v>
      </c>
      <c r="I6" s="46">
        <v>34.86</v>
      </c>
      <c r="J6" s="46">
        <v>139.45</v>
      </c>
      <c r="K6" s="46">
        <v>104.59</v>
      </c>
      <c r="L6" s="46">
        <v>383.49</v>
      </c>
      <c r="M6" s="46">
        <v>313.76</v>
      </c>
      <c r="N6" s="47">
        <f t="shared" si="0"/>
        <v>3800.01</v>
      </c>
    </row>
    <row r="7" ht="45" customHeight="1" spans="1:14">
      <c r="A7" s="4">
        <v>3</v>
      </c>
      <c r="B7" s="4" t="s">
        <v>223</v>
      </c>
      <c r="C7" s="4" t="s">
        <v>141</v>
      </c>
      <c r="D7" s="4" t="s">
        <v>142</v>
      </c>
      <c r="E7" s="4" t="s">
        <v>93</v>
      </c>
      <c r="F7" s="4">
        <v>2</v>
      </c>
      <c r="G7" s="46">
        <v>500.92</v>
      </c>
      <c r="H7" s="46">
        <v>19.27</v>
      </c>
      <c r="I7" s="46">
        <v>6.42</v>
      </c>
      <c r="J7" s="46">
        <v>25.69</v>
      </c>
      <c r="K7" s="46">
        <v>19.27</v>
      </c>
      <c r="L7" s="46">
        <v>70.64</v>
      </c>
      <c r="M7" s="46">
        <v>57.8</v>
      </c>
      <c r="N7" s="47">
        <f t="shared" si="0"/>
        <v>700.01</v>
      </c>
    </row>
    <row r="8" ht="60" customHeight="1" spans="1:14">
      <c r="A8" s="4">
        <v>4</v>
      </c>
      <c r="B8" s="4" t="s">
        <v>224</v>
      </c>
      <c r="C8" s="4" t="s">
        <v>141</v>
      </c>
      <c r="D8" s="4" t="s">
        <v>144</v>
      </c>
      <c r="E8" s="4" t="s">
        <v>93</v>
      </c>
      <c r="F8" s="4">
        <v>1</v>
      </c>
      <c r="G8" s="46">
        <v>286.24</v>
      </c>
      <c r="H8" s="46">
        <v>11.01</v>
      </c>
      <c r="I8" s="46">
        <v>3.67</v>
      </c>
      <c r="J8" s="46">
        <v>14.68</v>
      </c>
      <c r="K8" s="46">
        <v>11.01</v>
      </c>
      <c r="L8" s="46">
        <v>40.37</v>
      </c>
      <c r="M8" s="46">
        <v>33.03</v>
      </c>
      <c r="N8" s="47">
        <f t="shared" si="0"/>
        <v>400.01</v>
      </c>
    </row>
    <row r="9" ht="25" customHeight="1" spans="1:14">
      <c r="A9" s="11" t="s">
        <v>50</v>
      </c>
      <c r="B9" s="12"/>
      <c r="C9" s="11"/>
      <c r="D9" s="12"/>
      <c r="E9" s="12"/>
      <c r="F9" s="11"/>
      <c r="G9" s="48"/>
      <c r="H9" s="48"/>
      <c r="I9" s="48"/>
      <c r="J9" s="48"/>
      <c r="K9" s="48"/>
      <c r="L9" s="48"/>
      <c r="M9" s="48"/>
      <c r="N9" s="48">
        <f>SUM(N5:N8)</f>
        <v>19900.01</v>
      </c>
    </row>
    <row r="10" ht="45" customHeight="1" spans="1:14">
      <c r="A10" s="4">
        <v>5</v>
      </c>
      <c r="B10" s="4" t="s">
        <v>225</v>
      </c>
      <c r="C10" s="4" t="s">
        <v>146</v>
      </c>
      <c r="D10" s="4" t="s">
        <v>147</v>
      </c>
      <c r="E10" s="4" t="s">
        <v>55</v>
      </c>
      <c r="F10" s="4">
        <v>5</v>
      </c>
      <c r="G10" s="46">
        <v>10018.35</v>
      </c>
      <c r="H10" s="46">
        <v>385.32</v>
      </c>
      <c r="I10" s="46">
        <v>128.44</v>
      </c>
      <c r="J10" s="46">
        <v>513.76</v>
      </c>
      <c r="K10" s="46">
        <v>385.32</v>
      </c>
      <c r="L10" s="46">
        <v>1412.84</v>
      </c>
      <c r="M10" s="46">
        <v>1155.96</v>
      </c>
      <c r="N10" s="47">
        <f t="shared" ref="N10:N14" si="1">SUM(G10:M10)</f>
        <v>13999.99</v>
      </c>
    </row>
    <row r="11" ht="45" customHeight="1" spans="1:14">
      <c r="A11" s="4">
        <v>6</v>
      </c>
      <c r="B11" s="4" t="s">
        <v>226</v>
      </c>
      <c r="C11" s="4" t="s">
        <v>149</v>
      </c>
      <c r="D11" s="4" t="s">
        <v>150</v>
      </c>
      <c r="E11" s="4" t="s">
        <v>93</v>
      </c>
      <c r="F11" s="4">
        <v>4</v>
      </c>
      <c r="G11" s="46">
        <v>343.49</v>
      </c>
      <c r="H11" s="46">
        <v>13.21</v>
      </c>
      <c r="I11" s="46">
        <v>4.4</v>
      </c>
      <c r="J11" s="46">
        <v>17.61</v>
      </c>
      <c r="K11" s="46">
        <v>13.21</v>
      </c>
      <c r="L11" s="46">
        <v>48.44</v>
      </c>
      <c r="M11" s="46">
        <v>39.63</v>
      </c>
      <c r="N11" s="47">
        <f t="shared" si="1"/>
        <v>479.99</v>
      </c>
    </row>
    <row r="12" ht="45" customHeight="1" spans="1:14">
      <c r="A12" s="4">
        <v>7</v>
      </c>
      <c r="B12" s="4" t="s">
        <v>227</v>
      </c>
      <c r="C12" s="4" t="s">
        <v>152</v>
      </c>
      <c r="D12" s="4" t="s">
        <v>153</v>
      </c>
      <c r="E12" s="4" t="s">
        <v>93</v>
      </c>
      <c r="F12" s="4">
        <v>4</v>
      </c>
      <c r="G12" s="46">
        <v>209.17</v>
      </c>
      <c r="H12" s="46">
        <v>55.05</v>
      </c>
      <c r="I12" s="46">
        <v>27.52</v>
      </c>
      <c r="J12" s="46">
        <v>154.13</v>
      </c>
      <c r="K12" s="46">
        <v>44.04</v>
      </c>
      <c r="L12" s="46">
        <v>60.55</v>
      </c>
      <c r="M12" s="46">
        <v>49.54</v>
      </c>
      <c r="N12" s="47">
        <f t="shared" si="1"/>
        <v>600</v>
      </c>
    </row>
    <row r="13" ht="45" customHeight="1" spans="1:14">
      <c r="A13" s="4">
        <v>8</v>
      </c>
      <c r="B13" s="4" t="s">
        <v>228</v>
      </c>
      <c r="C13" s="4" t="s">
        <v>159</v>
      </c>
      <c r="D13" s="4" t="s">
        <v>160</v>
      </c>
      <c r="E13" s="4" t="s">
        <v>157</v>
      </c>
      <c r="F13" s="4">
        <v>12</v>
      </c>
      <c r="G13" s="46">
        <v>386.42</v>
      </c>
      <c r="H13" s="46">
        <v>14.86</v>
      </c>
      <c r="I13" s="46">
        <v>4.95</v>
      </c>
      <c r="J13" s="46">
        <v>19.82</v>
      </c>
      <c r="K13" s="46">
        <v>14.86</v>
      </c>
      <c r="L13" s="46">
        <v>54.5</v>
      </c>
      <c r="M13" s="46">
        <v>44.59</v>
      </c>
      <c r="N13" s="47">
        <f t="shared" si="1"/>
        <v>540</v>
      </c>
    </row>
    <row r="14" ht="45" customHeight="1" spans="1:14">
      <c r="A14" s="4">
        <v>9</v>
      </c>
      <c r="B14" s="4" t="s">
        <v>229</v>
      </c>
      <c r="C14" s="4" t="s">
        <v>162</v>
      </c>
      <c r="D14" s="4" t="s">
        <v>163</v>
      </c>
      <c r="E14" s="4" t="s">
        <v>157</v>
      </c>
      <c r="F14" s="4">
        <v>12</v>
      </c>
      <c r="G14" s="46">
        <v>300.55</v>
      </c>
      <c r="H14" s="46">
        <v>11.56</v>
      </c>
      <c r="I14" s="46">
        <v>3.85</v>
      </c>
      <c r="J14" s="46">
        <v>15.41</v>
      </c>
      <c r="K14" s="46">
        <v>11.56</v>
      </c>
      <c r="L14" s="46">
        <v>42.39</v>
      </c>
      <c r="M14" s="46">
        <v>34.68</v>
      </c>
      <c r="N14" s="47">
        <f t="shared" si="1"/>
        <v>420</v>
      </c>
    </row>
    <row r="15" ht="25" customHeight="1" spans="1:14">
      <c r="A15" s="11" t="s">
        <v>50</v>
      </c>
      <c r="B15" s="12"/>
      <c r="C15" s="11"/>
      <c r="D15" s="12"/>
      <c r="E15" s="12"/>
      <c r="F15" s="11"/>
      <c r="G15" s="48"/>
      <c r="H15" s="48"/>
      <c r="I15" s="48"/>
      <c r="J15" s="48"/>
      <c r="K15" s="48"/>
      <c r="L15" s="48"/>
      <c r="M15" s="48"/>
      <c r="N15" s="48">
        <f>SUM(N10:N14)</f>
        <v>16039.98</v>
      </c>
    </row>
    <row r="16" ht="45" customHeight="1" spans="1:14">
      <c r="A16" s="4">
        <v>10</v>
      </c>
      <c r="B16" s="4" t="s">
        <v>230</v>
      </c>
      <c r="C16" s="4" t="s">
        <v>165</v>
      </c>
      <c r="D16" s="4" t="s">
        <v>166</v>
      </c>
      <c r="E16" s="4" t="s">
        <v>157</v>
      </c>
      <c r="F16" s="4">
        <v>6</v>
      </c>
      <c r="G16" s="46">
        <v>107.34</v>
      </c>
      <c r="H16" s="46">
        <v>4.13</v>
      </c>
      <c r="I16" s="46">
        <v>1.38</v>
      </c>
      <c r="J16" s="46">
        <v>5.5</v>
      </c>
      <c r="K16" s="46">
        <v>4.13</v>
      </c>
      <c r="L16" s="46">
        <v>15.14</v>
      </c>
      <c r="M16" s="46">
        <v>12.39</v>
      </c>
      <c r="N16" s="47">
        <f t="shared" ref="N16:N19" si="2">SUM(G16:M16)</f>
        <v>150.01</v>
      </c>
    </row>
    <row r="17" ht="62" customHeight="1" spans="1:14">
      <c r="A17" s="4">
        <v>11</v>
      </c>
      <c r="B17" s="4" t="s">
        <v>231</v>
      </c>
      <c r="C17" s="4" t="s">
        <v>168</v>
      </c>
      <c r="D17" s="4" t="s">
        <v>169</v>
      </c>
      <c r="E17" s="4" t="s">
        <v>47</v>
      </c>
      <c r="F17" s="4">
        <v>125</v>
      </c>
      <c r="G17" s="46">
        <v>4025.23</v>
      </c>
      <c r="H17" s="46">
        <v>154.82</v>
      </c>
      <c r="I17" s="46">
        <v>51.61</v>
      </c>
      <c r="J17" s="46">
        <v>206.42</v>
      </c>
      <c r="K17" s="46">
        <v>154.82</v>
      </c>
      <c r="L17" s="46">
        <v>567.66</v>
      </c>
      <c r="M17" s="46">
        <v>464.45</v>
      </c>
      <c r="N17" s="47">
        <f t="shared" si="2"/>
        <v>5625.01</v>
      </c>
    </row>
    <row r="18" ht="62" customHeight="1" spans="1:14">
      <c r="A18" s="4">
        <v>12</v>
      </c>
      <c r="B18" s="4" t="s">
        <v>232</v>
      </c>
      <c r="C18" s="4" t="s">
        <v>168</v>
      </c>
      <c r="D18" s="4" t="s">
        <v>171</v>
      </c>
      <c r="E18" s="4" t="s">
        <v>47</v>
      </c>
      <c r="F18" s="4">
        <v>85.28</v>
      </c>
      <c r="G18" s="46">
        <v>1525.65</v>
      </c>
      <c r="H18" s="46">
        <v>58.68</v>
      </c>
      <c r="I18" s="46">
        <v>19.56</v>
      </c>
      <c r="J18" s="46">
        <v>78.24</v>
      </c>
      <c r="K18" s="46">
        <v>58.68</v>
      </c>
      <c r="L18" s="46">
        <v>215.16</v>
      </c>
      <c r="M18" s="46">
        <v>176.04</v>
      </c>
      <c r="N18" s="47">
        <f t="shared" si="2"/>
        <v>2132.01</v>
      </c>
    </row>
    <row r="19" ht="45" customHeight="1" spans="1:14">
      <c r="A19" s="4">
        <v>13</v>
      </c>
      <c r="B19" s="4" t="s">
        <v>233</v>
      </c>
      <c r="C19" s="4" t="s">
        <v>173</v>
      </c>
      <c r="D19" s="4" t="s">
        <v>174</v>
      </c>
      <c r="E19" s="4" t="s">
        <v>105</v>
      </c>
      <c r="F19" s="4">
        <v>126.66</v>
      </c>
      <c r="G19" s="46">
        <v>529.88</v>
      </c>
      <c r="H19" s="46">
        <v>139.44</v>
      </c>
      <c r="I19" s="46">
        <v>69.72</v>
      </c>
      <c r="J19" s="46">
        <v>390.44</v>
      </c>
      <c r="K19" s="46">
        <v>111.55</v>
      </c>
      <c r="L19" s="46">
        <v>153.39</v>
      </c>
      <c r="M19" s="46">
        <v>125.5</v>
      </c>
      <c r="N19" s="47">
        <f t="shared" si="2"/>
        <v>1519.92</v>
      </c>
    </row>
    <row r="20" ht="25" customHeight="1" spans="1:14">
      <c r="A20" s="11" t="s">
        <v>50</v>
      </c>
      <c r="B20" s="12"/>
      <c r="C20" s="11"/>
      <c r="D20" s="12"/>
      <c r="E20" s="12"/>
      <c r="F20" s="11"/>
      <c r="G20" s="48"/>
      <c r="H20" s="48"/>
      <c r="I20" s="48"/>
      <c r="J20" s="48"/>
      <c r="K20" s="48"/>
      <c r="L20" s="48"/>
      <c r="M20" s="48"/>
      <c r="N20" s="48">
        <f>SUM(N16:N19)</f>
        <v>9426.95</v>
      </c>
    </row>
    <row r="21" ht="45" customHeight="1" spans="1:14">
      <c r="A21" s="4">
        <v>14</v>
      </c>
      <c r="B21" s="4" t="s">
        <v>234</v>
      </c>
      <c r="C21" s="4" t="s">
        <v>110</v>
      </c>
      <c r="D21" s="4" t="s">
        <v>176</v>
      </c>
      <c r="E21" s="4" t="s">
        <v>47</v>
      </c>
      <c r="F21" s="4">
        <v>176</v>
      </c>
      <c r="G21" s="46">
        <v>871.93</v>
      </c>
      <c r="H21" s="46">
        <v>72.66</v>
      </c>
      <c r="I21" s="46">
        <v>29.06</v>
      </c>
      <c r="J21" s="46">
        <v>217.98</v>
      </c>
      <c r="K21" s="46">
        <v>101.72</v>
      </c>
      <c r="L21" s="46">
        <v>159.85</v>
      </c>
      <c r="M21" s="46">
        <v>130.79</v>
      </c>
      <c r="N21" s="47">
        <f t="shared" ref="N21:N24" si="3">SUM(G21:M21)</f>
        <v>1583.99</v>
      </c>
    </row>
    <row r="22" ht="45" customHeight="1" spans="1:14">
      <c r="A22" s="4">
        <v>15</v>
      </c>
      <c r="B22" s="4" t="s">
        <v>235</v>
      </c>
      <c r="C22" s="4" t="s">
        <v>95</v>
      </c>
      <c r="D22" s="4" t="s">
        <v>98</v>
      </c>
      <c r="E22" s="4" t="s">
        <v>47</v>
      </c>
      <c r="F22" s="4">
        <v>20</v>
      </c>
      <c r="G22" s="46">
        <v>55.78</v>
      </c>
      <c r="H22" s="46">
        <v>14.68</v>
      </c>
      <c r="I22" s="46">
        <v>7.34</v>
      </c>
      <c r="J22" s="46">
        <v>41.1</v>
      </c>
      <c r="K22" s="46">
        <v>11.74</v>
      </c>
      <c r="L22" s="46">
        <v>16.15</v>
      </c>
      <c r="M22" s="46">
        <v>13.21</v>
      </c>
      <c r="N22" s="47">
        <f t="shared" si="3"/>
        <v>160</v>
      </c>
    </row>
    <row r="23" ht="60" customHeight="1" spans="1:14">
      <c r="A23" s="4">
        <v>16</v>
      </c>
      <c r="B23" s="4" t="s">
        <v>236</v>
      </c>
      <c r="C23" s="4" t="s">
        <v>100</v>
      </c>
      <c r="D23" s="4" t="s">
        <v>101</v>
      </c>
      <c r="E23" s="4" t="s">
        <v>47</v>
      </c>
      <c r="F23" s="4">
        <v>14</v>
      </c>
      <c r="G23" s="46">
        <v>73.21</v>
      </c>
      <c r="H23" s="46">
        <v>19.27</v>
      </c>
      <c r="I23" s="46">
        <v>9.63</v>
      </c>
      <c r="J23" s="46">
        <v>53.94</v>
      </c>
      <c r="K23" s="46">
        <v>15.41</v>
      </c>
      <c r="L23" s="46">
        <v>21.19</v>
      </c>
      <c r="M23" s="46">
        <v>17.34</v>
      </c>
      <c r="N23" s="47">
        <f t="shared" si="3"/>
        <v>209.99</v>
      </c>
    </row>
    <row r="24" ht="45" customHeight="1" spans="1:14">
      <c r="A24" s="4">
        <v>17</v>
      </c>
      <c r="B24" s="4" t="s">
        <v>237</v>
      </c>
      <c r="C24" s="4" t="s">
        <v>103</v>
      </c>
      <c r="D24" s="4" t="s">
        <v>104</v>
      </c>
      <c r="E24" s="4" t="s">
        <v>105</v>
      </c>
      <c r="F24" s="4">
        <v>1.04</v>
      </c>
      <c r="G24" s="46">
        <v>3.63</v>
      </c>
      <c r="H24" s="46">
        <v>0.95</v>
      </c>
      <c r="I24" s="46">
        <v>0.48</v>
      </c>
      <c r="J24" s="46">
        <v>2.67</v>
      </c>
      <c r="K24" s="46">
        <v>0.76</v>
      </c>
      <c r="L24" s="46">
        <v>1.05</v>
      </c>
      <c r="M24" s="46">
        <v>0.86</v>
      </c>
      <c r="N24" s="47">
        <f t="shared" si="3"/>
        <v>10.4</v>
      </c>
    </row>
    <row r="25" ht="25" customHeight="1" spans="1:14">
      <c r="A25" s="11" t="s">
        <v>50</v>
      </c>
      <c r="B25" s="12"/>
      <c r="C25" s="11"/>
      <c r="D25" s="12"/>
      <c r="E25" s="12"/>
      <c r="F25" s="11"/>
      <c r="G25" s="48"/>
      <c r="H25" s="48"/>
      <c r="I25" s="48"/>
      <c r="J25" s="48"/>
      <c r="K25" s="48"/>
      <c r="L25" s="48"/>
      <c r="M25" s="48"/>
      <c r="N25" s="48">
        <f>SUM(N21:N24)</f>
        <v>1964.38</v>
      </c>
    </row>
    <row r="26" ht="45" customHeight="1" spans="1:14">
      <c r="A26" s="4">
        <v>18</v>
      </c>
      <c r="B26" s="4" t="s">
        <v>238</v>
      </c>
      <c r="C26" s="4" t="s">
        <v>107</v>
      </c>
      <c r="D26" s="4" t="s">
        <v>239</v>
      </c>
      <c r="E26" s="4" t="s">
        <v>47</v>
      </c>
      <c r="F26" s="4">
        <v>1500</v>
      </c>
      <c r="G26" s="46">
        <v>3756.88</v>
      </c>
      <c r="H26" s="46">
        <v>144.5</v>
      </c>
      <c r="I26" s="46">
        <v>48.17</v>
      </c>
      <c r="J26" s="46">
        <v>192.66</v>
      </c>
      <c r="K26" s="46">
        <v>144.5</v>
      </c>
      <c r="L26" s="46">
        <v>529.82</v>
      </c>
      <c r="M26" s="46">
        <v>433.49</v>
      </c>
      <c r="N26" s="47">
        <f t="shared" ref="N26:N29" si="4">SUM(G26:M26)</f>
        <v>5250.02</v>
      </c>
    </row>
    <row r="27" ht="45" customHeight="1" spans="1:14">
      <c r="A27" s="4">
        <v>19</v>
      </c>
      <c r="B27" s="4" t="s">
        <v>240</v>
      </c>
      <c r="C27" s="4" t="s">
        <v>123</v>
      </c>
      <c r="D27" s="4" t="s">
        <v>241</v>
      </c>
      <c r="E27" s="4" t="s">
        <v>125</v>
      </c>
      <c r="F27" s="4">
        <v>6</v>
      </c>
      <c r="G27" s="46">
        <v>313.76</v>
      </c>
      <c r="H27" s="46">
        <v>82.57</v>
      </c>
      <c r="I27" s="46">
        <v>41.28</v>
      </c>
      <c r="J27" s="46">
        <v>231.19</v>
      </c>
      <c r="K27" s="46">
        <v>66.06</v>
      </c>
      <c r="L27" s="46">
        <v>90.83</v>
      </c>
      <c r="M27" s="46">
        <v>74.31</v>
      </c>
      <c r="N27" s="47">
        <f t="shared" si="4"/>
        <v>900</v>
      </c>
    </row>
    <row r="28" ht="45" customHeight="1" spans="1:14">
      <c r="A28" s="4">
        <v>20</v>
      </c>
      <c r="B28" s="4" t="s">
        <v>242</v>
      </c>
      <c r="C28" s="4" t="s">
        <v>127</v>
      </c>
      <c r="D28" s="4" t="s">
        <v>185</v>
      </c>
      <c r="E28" s="4" t="s">
        <v>125</v>
      </c>
      <c r="F28" s="4">
        <v>6</v>
      </c>
      <c r="G28" s="46">
        <v>418.35</v>
      </c>
      <c r="H28" s="46">
        <v>110.09</v>
      </c>
      <c r="I28" s="46">
        <v>55.05</v>
      </c>
      <c r="J28" s="46">
        <v>308.26</v>
      </c>
      <c r="K28" s="46">
        <v>88.07</v>
      </c>
      <c r="L28" s="46">
        <v>121.1</v>
      </c>
      <c r="M28" s="46">
        <v>99.08</v>
      </c>
      <c r="N28" s="47">
        <f t="shared" si="4"/>
        <v>1200</v>
      </c>
    </row>
    <row r="29" ht="45" customHeight="1" spans="1:14">
      <c r="A29" s="4">
        <v>21</v>
      </c>
      <c r="B29" s="4" t="s">
        <v>243</v>
      </c>
      <c r="C29" s="4" t="s">
        <v>60</v>
      </c>
      <c r="D29" s="4" t="s">
        <v>61</v>
      </c>
      <c r="E29" s="4" t="s">
        <v>62</v>
      </c>
      <c r="F29" s="4">
        <v>1</v>
      </c>
      <c r="G29" s="46">
        <v>1045.87</v>
      </c>
      <c r="H29" s="46">
        <v>275.23</v>
      </c>
      <c r="I29" s="46">
        <v>137.61</v>
      </c>
      <c r="J29" s="46">
        <v>770.64</v>
      </c>
      <c r="K29" s="46">
        <v>220.18</v>
      </c>
      <c r="L29" s="46">
        <v>302.75</v>
      </c>
      <c r="M29" s="46">
        <v>247.71</v>
      </c>
      <c r="N29" s="47">
        <f t="shared" si="4"/>
        <v>2999.99</v>
      </c>
    </row>
    <row r="30" ht="25" customHeight="1" spans="1:14">
      <c r="A30" s="11" t="s">
        <v>50</v>
      </c>
      <c r="B30" s="12"/>
      <c r="C30" s="11"/>
      <c r="D30" s="12"/>
      <c r="E30" s="12"/>
      <c r="F30" s="11"/>
      <c r="G30" s="48"/>
      <c r="H30" s="48"/>
      <c r="I30" s="48"/>
      <c r="J30" s="48"/>
      <c r="K30" s="48"/>
      <c r="L30" s="48"/>
      <c r="M30" s="48"/>
      <c r="N30" s="48">
        <f>SUM(N26:N29)</f>
        <v>10350.01</v>
      </c>
    </row>
    <row r="31" ht="89" customHeight="1" spans="1:14">
      <c r="A31" s="4">
        <v>22</v>
      </c>
      <c r="B31" s="4" t="s">
        <v>132</v>
      </c>
      <c r="C31" s="4" t="s">
        <v>133</v>
      </c>
      <c r="D31" s="4" t="s">
        <v>134</v>
      </c>
      <c r="E31" s="4" t="s">
        <v>66</v>
      </c>
      <c r="F31" s="4">
        <v>1</v>
      </c>
      <c r="G31" s="46">
        <v>2788.99</v>
      </c>
      <c r="H31" s="46">
        <v>733.94</v>
      </c>
      <c r="I31" s="46">
        <v>366.97</v>
      </c>
      <c r="J31" s="46">
        <v>2055.05</v>
      </c>
      <c r="K31" s="46">
        <v>587.16</v>
      </c>
      <c r="L31" s="46">
        <v>807.34</v>
      </c>
      <c r="M31" s="46">
        <v>660.55</v>
      </c>
      <c r="N31" s="47">
        <f>SUM(G31:M31)</f>
        <v>8000</v>
      </c>
    </row>
    <row r="32" ht="45" customHeight="1" spans="1:14">
      <c r="A32" s="4">
        <v>23</v>
      </c>
      <c r="B32" s="4" t="s">
        <v>244</v>
      </c>
      <c r="C32" s="4" t="s">
        <v>64</v>
      </c>
      <c r="D32" s="4" t="s">
        <v>65</v>
      </c>
      <c r="E32" s="4" t="s">
        <v>66</v>
      </c>
      <c r="F32" s="4">
        <v>1</v>
      </c>
      <c r="G32" s="46">
        <v>697.25</v>
      </c>
      <c r="H32" s="46">
        <v>183.49</v>
      </c>
      <c r="I32" s="46">
        <v>91.74</v>
      </c>
      <c r="J32" s="46">
        <v>513.76</v>
      </c>
      <c r="K32" s="46">
        <v>146.79</v>
      </c>
      <c r="L32" s="46">
        <v>201.83</v>
      </c>
      <c r="M32" s="46">
        <v>165.14</v>
      </c>
      <c r="N32" s="47">
        <f>SUM(G32:M32)</f>
        <v>2000</v>
      </c>
    </row>
    <row r="33" ht="25" customHeight="1" spans="1:14">
      <c r="A33" s="11" t="s">
        <v>50</v>
      </c>
      <c r="B33" s="12"/>
      <c r="C33" s="11"/>
      <c r="D33" s="12"/>
      <c r="E33" s="12"/>
      <c r="F33" s="11"/>
      <c r="G33" s="48"/>
      <c r="H33" s="48"/>
      <c r="I33" s="48"/>
      <c r="J33" s="48"/>
      <c r="K33" s="48"/>
      <c r="L33" s="48"/>
      <c r="M33" s="48"/>
      <c r="N33" s="48">
        <f>SUM(N31:N32)</f>
        <v>10000</v>
      </c>
    </row>
    <row r="34" ht="25" customHeight="1" spans="1:14">
      <c r="A34" s="4" t="s">
        <v>188</v>
      </c>
      <c r="B34" s="4"/>
      <c r="C34" s="4"/>
      <c r="D34" s="4"/>
      <c r="E34" s="4"/>
      <c r="F34" s="4"/>
      <c r="G34" s="46"/>
      <c r="H34" s="46"/>
      <c r="I34" s="46"/>
      <c r="J34" s="46"/>
      <c r="K34" s="46"/>
      <c r="L34" s="46"/>
      <c r="M34" s="46"/>
      <c r="N34" s="47">
        <f>N9+N15+N20+N25+N30+N33</f>
        <v>67681.33</v>
      </c>
    </row>
  </sheetData>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56"/>
  <sheetViews>
    <sheetView zoomScale="70" zoomScaleNormal="70" topLeftCell="A25" workbookViewId="0">
      <selection activeCell="P9" sqref="P9"/>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0.5309734513274"/>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ht="96" customHeight="1" spans="1:14">
      <c r="A5" s="4">
        <v>1</v>
      </c>
      <c r="B5" s="4" t="s">
        <v>245</v>
      </c>
      <c r="C5" s="4" t="s">
        <v>246</v>
      </c>
      <c r="D5" s="8" t="s">
        <v>247</v>
      </c>
      <c r="E5" s="4" t="s">
        <v>248</v>
      </c>
      <c r="F5" s="4">
        <v>62</v>
      </c>
      <c r="G5" s="9">
        <v>9760.73</v>
      </c>
      <c r="H5" s="9">
        <v>375.41</v>
      </c>
      <c r="I5" s="9">
        <v>125.14</v>
      </c>
      <c r="J5" s="9">
        <v>500.55</v>
      </c>
      <c r="K5" s="9">
        <v>375.41</v>
      </c>
      <c r="L5" s="9">
        <v>1376.51</v>
      </c>
      <c r="M5" s="9">
        <v>1126.24</v>
      </c>
      <c r="N5" s="16">
        <f t="shared" ref="N5:N7" si="0">SUM(G5:M5)</f>
        <v>13639.99</v>
      </c>
    </row>
    <row r="6" ht="45" customHeight="1" spans="1:14">
      <c r="A6" s="4">
        <v>2</v>
      </c>
      <c r="B6" s="4" t="s">
        <v>249</v>
      </c>
      <c r="C6" s="4" t="s">
        <v>250</v>
      </c>
      <c r="D6" s="8" t="s">
        <v>251</v>
      </c>
      <c r="E6" s="4" t="s">
        <v>55</v>
      </c>
      <c r="F6" s="4">
        <v>2</v>
      </c>
      <c r="G6" s="9">
        <v>257.61</v>
      </c>
      <c r="H6" s="9">
        <v>9.91</v>
      </c>
      <c r="I6" s="9">
        <v>3.3</v>
      </c>
      <c r="J6" s="9">
        <v>13.21</v>
      </c>
      <c r="K6" s="9">
        <v>9.91</v>
      </c>
      <c r="L6" s="9">
        <v>36.33</v>
      </c>
      <c r="M6" s="9">
        <v>29.72</v>
      </c>
      <c r="N6" s="16">
        <f t="shared" si="0"/>
        <v>359.99</v>
      </c>
    </row>
    <row r="7" ht="68" customHeight="1" spans="1:14">
      <c r="A7" s="4">
        <v>3</v>
      </c>
      <c r="B7" s="4" t="s">
        <v>252</v>
      </c>
      <c r="C7" s="4" t="s">
        <v>253</v>
      </c>
      <c r="D7" s="8" t="s">
        <v>254</v>
      </c>
      <c r="E7" s="4" t="s">
        <v>248</v>
      </c>
      <c r="F7" s="4">
        <v>62</v>
      </c>
      <c r="G7" s="9">
        <v>6655.05</v>
      </c>
      <c r="H7" s="9">
        <v>255.96</v>
      </c>
      <c r="I7" s="9">
        <v>85.32</v>
      </c>
      <c r="J7" s="9">
        <v>341.28</v>
      </c>
      <c r="K7" s="9">
        <v>255.96</v>
      </c>
      <c r="L7" s="9">
        <v>938.53</v>
      </c>
      <c r="M7" s="9">
        <v>767.89</v>
      </c>
      <c r="N7" s="16">
        <f t="shared" si="0"/>
        <v>9299.99</v>
      </c>
    </row>
    <row r="8" ht="25" customHeight="1" spans="1:14">
      <c r="A8" s="11" t="s">
        <v>50</v>
      </c>
      <c r="B8" s="12"/>
      <c r="C8" s="11"/>
      <c r="D8" s="13"/>
      <c r="E8" s="12"/>
      <c r="F8" s="11"/>
      <c r="G8" s="14"/>
      <c r="H8" s="14"/>
      <c r="I8" s="14"/>
      <c r="J8" s="14"/>
      <c r="K8" s="14"/>
      <c r="L8" s="14"/>
      <c r="M8" s="14"/>
      <c r="N8" s="14">
        <f>SUM(N5:N7)</f>
        <v>23299.97</v>
      </c>
    </row>
    <row r="9" ht="45" customHeight="1" spans="1:14">
      <c r="A9" s="4">
        <v>4</v>
      </c>
      <c r="B9" s="4" t="s">
        <v>255</v>
      </c>
      <c r="C9" s="4" t="s">
        <v>256</v>
      </c>
      <c r="D9" s="8" t="s">
        <v>257</v>
      </c>
      <c r="E9" s="4" t="s">
        <v>93</v>
      </c>
      <c r="F9" s="4">
        <v>14</v>
      </c>
      <c r="G9" s="9">
        <v>585.69</v>
      </c>
      <c r="H9" s="9">
        <v>154.13</v>
      </c>
      <c r="I9" s="9">
        <v>77.06</v>
      </c>
      <c r="J9" s="9">
        <v>431.56</v>
      </c>
      <c r="K9" s="9">
        <v>123.3</v>
      </c>
      <c r="L9" s="9">
        <v>169.54</v>
      </c>
      <c r="M9" s="9">
        <v>138.72</v>
      </c>
      <c r="N9" s="16">
        <f t="shared" ref="N9:N12" si="1">SUM(G9:M9)</f>
        <v>1680</v>
      </c>
    </row>
    <row r="10" ht="45" customHeight="1" spans="1:14">
      <c r="A10" s="4">
        <v>5</v>
      </c>
      <c r="B10" s="4" t="s">
        <v>258</v>
      </c>
      <c r="C10" s="4" t="s">
        <v>259</v>
      </c>
      <c r="D10" s="8" t="s">
        <v>260</v>
      </c>
      <c r="E10" s="4" t="s">
        <v>248</v>
      </c>
      <c r="F10" s="4">
        <v>13</v>
      </c>
      <c r="G10" s="9">
        <v>6046.79</v>
      </c>
      <c r="H10" s="9">
        <v>232.57</v>
      </c>
      <c r="I10" s="9">
        <v>77.52</v>
      </c>
      <c r="J10" s="9">
        <v>310.09</v>
      </c>
      <c r="K10" s="9">
        <v>232.57</v>
      </c>
      <c r="L10" s="9">
        <v>852.75</v>
      </c>
      <c r="M10" s="9">
        <v>697.71</v>
      </c>
      <c r="N10" s="16">
        <f t="shared" si="1"/>
        <v>8450</v>
      </c>
    </row>
    <row r="11" ht="45" customHeight="1" spans="1:14">
      <c r="A11" s="4">
        <v>6</v>
      </c>
      <c r="B11" s="4" t="s">
        <v>261</v>
      </c>
      <c r="C11" s="4" t="s">
        <v>262</v>
      </c>
      <c r="D11" s="8" t="s">
        <v>263</v>
      </c>
      <c r="E11" s="4" t="s">
        <v>248</v>
      </c>
      <c r="F11" s="4">
        <v>21</v>
      </c>
      <c r="G11" s="9">
        <v>12773.39</v>
      </c>
      <c r="H11" s="9">
        <v>491.28</v>
      </c>
      <c r="I11" s="9">
        <v>163.76</v>
      </c>
      <c r="J11" s="9">
        <v>655.05</v>
      </c>
      <c r="K11" s="9">
        <v>491.28</v>
      </c>
      <c r="L11" s="9">
        <v>1801.38</v>
      </c>
      <c r="M11" s="9">
        <v>1473.85</v>
      </c>
      <c r="N11" s="16">
        <f t="shared" si="1"/>
        <v>17849.99</v>
      </c>
    </row>
    <row r="12" ht="105" customHeight="1" spans="1:14">
      <c r="A12" s="4">
        <v>7</v>
      </c>
      <c r="B12" s="4" t="s">
        <v>264</v>
      </c>
      <c r="C12" s="4" t="s">
        <v>265</v>
      </c>
      <c r="D12" s="8" t="s">
        <v>266</v>
      </c>
      <c r="E12" s="4" t="s">
        <v>248</v>
      </c>
      <c r="F12" s="4">
        <v>2</v>
      </c>
      <c r="G12" s="9">
        <v>8587.16</v>
      </c>
      <c r="H12" s="9">
        <v>330.28</v>
      </c>
      <c r="I12" s="9">
        <v>110.09</v>
      </c>
      <c r="J12" s="9">
        <v>440.37</v>
      </c>
      <c r="K12" s="9">
        <v>330.28</v>
      </c>
      <c r="L12" s="9">
        <v>1211.01</v>
      </c>
      <c r="M12" s="9">
        <v>990.83</v>
      </c>
      <c r="N12" s="16">
        <f t="shared" si="1"/>
        <v>12000.02</v>
      </c>
    </row>
    <row r="13" ht="25" customHeight="1" spans="1:14">
      <c r="A13" s="11" t="s">
        <v>50</v>
      </c>
      <c r="B13" s="12"/>
      <c r="C13" s="11"/>
      <c r="D13" s="13"/>
      <c r="E13" s="12"/>
      <c r="F13" s="11"/>
      <c r="G13" s="14"/>
      <c r="H13" s="14"/>
      <c r="I13" s="14"/>
      <c r="J13" s="14"/>
      <c r="K13" s="14"/>
      <c r="L13" s="14"/>
      <c r="M13" s="14"/>
      <c r="N13" s="14">
        <f>SUM(N9:N12)</f>
        <v>39980.01</v>
      </c>
    </row>
    <row r="14" ht="60" customHeight="1" spans="1:14">
      <c r="A14" s="4">
        <v>8</v>
      </c>
      <c r="B14" s="4" t="s">
        <v>267</v>
      </c>
      <c r="C14" s="4" t="s">
        <v>268</v>
      </c>
      <c r="D14" s="8" t="s">
        <v>269</v>
      </c>
      <c r="E14" s="4" t="s">
        <v>248</v>
      </c>
      <c r="F14" s="4">
        <v>2</v>
      </c>
      <c r="G14" s="9">
        <v>500.92</v>
      </c>
      <c r="H14" s="9">
        <v>19.27</v>
      </c>
      <c r="I14" s="9">
        <v>6.42</v>
      </c>
      <c r="J14" s="9">
        <v>25.69</v>
      </c>
      <c r="K14" s="9">
        <v>19.27</v>
      </c>
      <c r="L14" s="9">
        <v>70.64</v>
      </c>
      <c r="M14" s="9">
        <v>57.8</v>
      </c>
      <c r="N14" s="16">
        <f t="shared" ref="N14:N20" si="2">SUM(G14:M14)</f>
        <v>700.01</v>
      </c>
    </row>
    <row r="15" ht="25" customHeight="1" spans="1:14">
      <c r="A15" s="11" t="s">
        <v>50</v>
      </c>
      <c r="B15" s="12"/>
      <c r="C15" s="11"/>
      <c r="D15" s="13"/>
      <c r="E15" s="12"/>
      <c r="F15" s="11"/>
      <c r="G15" s="14"/>
      <c r="H15" s="14"/>
      <c r="I15" s="14"/>
      <c r="J15" s="14"/>
      <c r="K15" s="14"/>
      <c r="L15" s="14"/>
      <c r="M15" s="14"/>
      <c r="N15" s="14">
        <f>N14</f>
        <v>700.01</v>
      </c>
    </row>
    <row r="16" ht="223" customHeight="1" spans="1:14">
      <c r="A16" s="4">
        <v>9</v>
      </c>
      <c r="B16" s="4" t="s">
        <v>270</v>
      </c>
      <c r="C16" s="4" t="s">
        <v>271</v>
      </c>
      <c r="D16" s="8" t="s">
        <v>272</v>
      </c>
      <c r="E16" s="4" t="s">
        <v>55</v>
      </c>
      <c r="F16" s="4">
        <v>2</v>
      </c>
      <c r="G16" s="9">
        <v>2576.15</v>
      </c>
      <c r="H16" s="9">
        <v>99.08</v>
      </c>
      <c r="I16" s="9">
        <v>33.03</v>
      </c>
      <c r="J16" s="9">
        <v>132.11</v>
      </c>
      <c r="K16" s="9">
        <v>99.08</v>
      </c>
      <c r="L16" s="9">
        <v>363.3</v>
      </c>
      <c r="M16" s="9">
        <v>297.25</v>
      </c>
      <c r="N16" s="16">
        <f t="shared" si="2"/>
        <v>3600</v>
      </c>
    </row>
    <row r="17" ht="25" customHeight="1" spans="1:14">
      <c r="A17" s="11" t="s">
        <v>50</v>
      </c>
      <c r="B17" s="12"/>
      <c r="C17" s="11"/>
      <c r="D17" s="13"/>
      <c r="E17" s="12"/>
      <c r="F17" s="11"/>
      <c r="G17" s="14"/>
      <c r="H17" s="14"/>
      <c r="I17" s="14"/>
      <c r="J17" s="14"/>
      <c r="K17" s="14"/>
      <c r="L17" s="14"/>
      <c r="M17" s="14"/>
      <c r="N17" s="14">
        <f>N16</f>
        <v>3600</v>
      </c>
    </row>
    <row r="18" ht="63" customHeight="1" spans="1:14">
      <c r="A18" s="4">
        <v>10</v>
      </c>
      <c r="B18" s="4" t="s">
        <v>273</v>
      </c>
      <c r="C18" s="4" t="s">
        <v>274</v>
      </c>
      <c r="D18" s="8" t="s">
        <v>275</v>
      </c>
      <c r="E18" s="4" t="s">
        <v>93</v>
      </c>
      <c r="F18" s="4">
        <v>5</v>
      </c>
      <c r="G18" s="9">
        <v>161.01</v>
      </c>
      <c r="H18" s="9">
        <v>6.19</v>
      </c>
      <c r="I18" s="9">
        <v>2.06</v>
      </c>
      <c r="J18" s="9">
        <v>8.26</v>
      </c>
      <c r="K18" s="9">
        <v>6.19</v>
      </c>
      <c r="L18" s="9">
        <v>22.71</v>
      </c>
      <c r="M18" s="9">
        <v>18.58</v>
      </c>
      <c r="N18" s="16">
        <f t="shared" si="2"/>
        <v>225</v>
      </c>
    </row>
    <row r="19" ht="45" customHeight="1" spans="1:14">
      <c r="A19" s="4">
        <v>11</v>
      </c>
      <c r="B19" s="4" t="s">
        <v>276</v>
      </c>
      <c r="C19" s="4" t="s">
        <v>277</v>
      </c>
      <c r="D19" s="8" t="s">
        <v>278</v>
      </c>
      <c r="E19" s="4" t="s">
        <v>62</v>
      </c>
      <c r="F19" s="4">
        <v>1</v>
      </c>
      <c r="G19" s="9">
        <v>41.83</v>
      </c>
      <c r="H19" s="9">
        <v>11.01</v>
      </c>
      <c r="I19" s="9">
        <v>5.5</v>
      </c>
      <c r="J19" s="9">
        <v>30.83</v>
      </c>
      <c r="K19" s="9">
        <v>8.81</v>
      </c>
      <c r="L19" s="9">
        <v>12.11</v>
      </c>
      <c r="M19" s="9">
        <v>9.91</v>
      </c>
      <c r="N19" s="16">
        <f t="shared" si="2"/>
        <v>120</v>
      </c>
    </row>
    <row r="20" ht="89" customHeight="1" spans="1:14">
      <c r="A20" s="4">
        <v>12</v>
      </c>
      <c r="B20" s="4" t="s">
        <v>279</v>
      </c>
      <c r="C20" s="4" t="s">
        <v>133</v>
      </c>
      <c r="D20" s="8" t="s">
        <v>134</v>
      </c>
      <c r="E20" s="4" t="s">
        <v>66</v>
      </c>
      <c r="F20" s="4">
        <v>1</v>
      </c>
      <c r="G20" s="9">
        <v>1394.5</v>
      </c>
      <c r="H20" s="9">
        <v>366.97</v>
      </c>
      <c r="I20" s="9">
        <v>183.49</v>
      </c>
      <c r="J20" s="9">
        <v>1027.52</v>
      </c>
      <c r="K20" s="9">
        <v>293.58</v>
      </c>
      <c r="L20" s="9">
        <v>403.67</v>
      </c>
      <c r="M20" s="9">
        <v>330.28</v>
      </c>
      <c r="N20" s="16">
        <f t="shared" si="2"/>
        <v>4000.01</v>
      </c>
    </row>
    <row r="21" ht="25" customHeight="1" spans="1:14">
      <c r="A21" s="11" t="s">
        <v>50</v>
      </c>
      <c r="B21" s="12"/>
      <c r="C21" s="11"/>
      <c r="D21" s="13"/>
      <c r="E21" s="12"/>
      <c r="F21" s="11"/>
      <c r="G21" s="14"/>
      <c r="H21" s="14"/>
      <c r="I21" s="14"/>
      <c r="J21" s="14"/>
      <c r="K21" s="14"/>
      <c r="L21" s="14"/>
      <c r="M21" s="14"/>
      <c r="N21" s="14">
        <f>SUM(N18:N20)</f>
        <v>4345.01</v>
      </c>
    </row>
    <row r="22" ht="45" customHeight="1" spans="1:14">
      <c r="A22" s="4">
        <v>13</v>
      </c>
      <c r="B22" s="4" t="s">
        <v>280</v>
      </c>
      <c r="C22" s="4" t="s">
        <v>95</v>
      </c>
      <c r="D22" s="8" t="s">
        <v>281</v>
      </c>
      <c r="E22" s="4" t="s">
        <v>47</v>
      </c>
      <c r="F22" s="4">
        <v>284.6</v>
      </c>
      <c r="G22" s="9">
        <v>446.48</v>
      </c>
      <c r="H22" s="9">
        <v>117.5</v>
      </c>
      <c r="I22" s="9">
        <v>58.75</v>
      </c>
      <c r="J22" s="9">
        <v>328.99</v>
      </c>
      <c r="K22" s="9">
        <v>94</v>
      </c>
      <c r="L22" s="9">
        <v>129.24</v>
      </c>
      <c r="M22" s="9">
        <v>105.75</v>
      </c>
      <c r="N22" s="16">
        <f t="shared" ref="N22:N26" si="3">SUM(G22:M22)</f>
        <v>1280.71</v>
      </c>
    </row>
    <row r="23" ht="45" customHeight="1" spans="1:14">
      <c r="A23" s="4">
        <v>14</v>
      </c>
      <c r="B23" s="4" t="s">
        <v>282</v>
      </c>
      <c r="C23" s="4" t="s">
        <v>95</v>
      </c>
      <c r="D23" s="8" t="s">
        <v>283</v>
      </c>
      <c r="E23" s="4" t="s">
        <v>47</v>
      </c>
      <c r="F23" s="4">
        <v>12</v>
      </c>
      <c r="G23" s="9">
        <v>18.83</v>
      </c>
      <c r="H23" s="9">
        <v>4.95</v>
      </c>
      <c r="I23" s="9">
        <v>2.48</v>
      </c>
      <c r="J23" s="9">
        <v>13.87</v>
      </c>
      <c r="K23" s="9">
        <v>3.96</v>
      </c>
      <c r="L23" s="9">
        <v>5.45</v>
      </c>
      <c r="M23" s="9">
        <v>4.46</v>
      </c>
      <c r="N23" s="16">
        <f t="shared" si="3"/>
        <v>54</v>
      </c>
    </row>
    <row r="24" ht="45" customHeight="1" spans="1:14">
      <c r="A24" s="4">
        <v>15</v>
      </c>
      <c r="B24" s="4" t="s">
        <v>284</v>
      </c>
      <c r="C24" s="4" t="s">
        <v>100</v>
      </c>
      <c r="D24" s="8" t="s">
        <v>285</v>
      </c>
      <c r="E24" s="4" t="s">
        <v>47</v>
      </c>
      <c r="F24" s="4">
        <v>12</v>
      </c>
      <c r="G24" s="9">
        <v>51.52</v>
      </c>
      <c r="H24" s="9">
        <v>4.29</v>
      </c>
      <c r="I24" s="9">
        <v>1.72</v>
      </c>
      <c r="J24" s="9">
        <v>12.88</v>
      </c>
      <c r="K24" s="9">
        <v>6.01</v>
      </c>
      <c r="L24" s="9">
        <v>9.45</v>
      </c>
      <c r="M24" s="9">
        <v>7.73</v>
      </c>
      <c r="N24" s="16">
        <f t="shared" si="3"/>
        <v>93.6</v>
      </c>
    </row>
    <row r="25" ht="45" customHeight="1" spans="1:14">
      <c r="A25" s="4">
        <v>16</v>
      </c>
      <c r="B25" s="4" t="s">
        <v>286</v>
      </c>
      <c r="C25" s="4" t="s">
        <v>103</v>
      </c>
      <c r="D25" s="8" t="s">
        <v>287</v>
      </c>
      <c r="E25" s="4" t="s">
        <v>105</v>
      </c>
      <c r="F25" s="4">
        <v>50.85</v>
      </c>
      <c r="G25" s="9">
        <v>230.46</v>
      </c>
      <c r="H25" s="9">
        <v>60.65</v>
      </c>
      <c r="I25" s="9">
        <v>30.32</v>
      </c>
      <c r="J25" s="9">
        <v>169.81</v>
      </c>
      <c r="K25" s="9">
        <v>48.52</v>
      </c>
      <c r="L25" s="9">
        <v>66.71</v>
      </c>
      <c r="M25" s="9">
        <v>54.58</v>
      </c>
      <c r="N25" s="16">
        <f t="shared" si="3"/>
        <v>661.05</v>
      </c>
    </row>
    <row r="26" ht="45" customHeight="1" spans="1:14">
      <c r="A26" s="4">
        <v>17</v>
      </c>
      <c r="B26" s="4" t="s">
        <v>288</v>
      </c>
      <c r="C26" s="4" t="s">
        <v>45</v>
      </c>
      <c r="D26" s="8" t="s">
        <v>289</v>
      </c>
      <c r="E26" s="4" t="s">
        <v>47</v>
      </c>
      <c r="F26" s="4">
        <v>237.4</v>
      </c>
      <c r="G26" s="9">
        <v>662.11</v>
      </c>
      <c r="H26" s="9">
        <v>174.24</v>
      </c>
      <c r="I26" s="9">
        <v>87.12</v>
      </c>
      <c r="J26" s="9">
        <v>487.87</v>
      </c>
      <c r="K26" s="9">
        <v>139.39</v>
      </c>
      <c r="L26" s="9">
        <v>191.66</v>
      </c>
      <c r="M26" s="9">
        <v>156.81</v>
      </c>
      <c r="N26" s="16">
        <f t="shared" si="3"/>
        <v>1899.2</v>
      </c>
    </row>
    <row r="27" ht="25" customHeight="1" spans="1:14">
      <c r="A27" s="11" t="s">
        <v>50</v>
      </c>
      <c r="B27" s="12"/>
      <c r="C27" s="11"/>
      <c r="D27" s="13"/>
      <c r="E27" s="12"/>
      <c r="F27" s="11"/>
      <c r="G27" s="14"/>
      <c r="H27" s="14"/>
      <c r="I27" s="14"/>
      <c r="J27" s="14"/>
      <c r="K27" s="14"/>
      <c r="L27" s="14"/>
      <c r="M27" s="14"/>
      <c r="N27" s="14">
        <f>SUM(N22:N26)</f>
        <v>3988.56</v>
      </c>
    </row>
    <row r="28" ht="45" customHeight="1" spans="1:14">
      <c r="A28" s="4">
        <v>18</v>
      </c>
      <c r="B28" s="4" t="s">
        <v>290</v>
      </c>
      <c r="C28" s="4" t="s">
        <v>45</v>
      </c>
      <c r="D28" s="8" t="s">
        <v>291</v>
      </c>
      <c r="E28" s="4" t="s">
        <v>47</v>
      </c>
      <c r="F28" s="4">
        <v>775.5</v>
      </c>
      <c r="G28" s="9">
        <v>2162.86</v>
      </c>
      <c r="H28" s="9">
        <v>569.17</v>
      </c>
      <c r="I28" s="9">
        <v>284.59</v>
      </c>
      <c r="J28" s="9">
        <v>1593.69</v>
      </c>
      <c r="K28" s="9">
        <v>455.34</v>
      </c>
      <c r="L28" s="9">
        <v>626.09</v>
      </c>
      <c r="M28" s="9">
        <v>512.26</v>
      </c>
      <c r="N28" s="16">
        <f t="shared" ref="N28:N31" si="4">SUM(G28:M28)</f>
        <v>6204</v>
      </c>
    </row>
    <row r="29" ht="45" customHeight="1" spans="1:14">
      <c r="A29" s="4">
        <v>19</v>
      </c>
      <c r="B29" s="4" t="s">
        <v>292</v>
      </c>
      <c r="C29" s="4" t="s">
        <v>45</v>
      </c>
      <c r="D29" s="8" t="s">
        <v>293</v>
      </c>
      <c r="E29" s="4" t="s">
        <v>47</v>
      </c>
      <c r="F29" s="4">
        <v>59.2</v>
      </c>
      <c r="G29" s="9">
        <v>92.87</v>
      </c>
      <c r="H29" s="9">
        <v>24.44</v>
      </c>
      <c r="I29" s="9">
        <v>12.22</v>
      </c>
      <c r="J29" s="9">
        <v>68.43</v>
      </c>
      <c r="K29" s="9">
        <v>19.55</v>
      </c>
      <c r="L29" s="9">
        <v>26.88</v>
      </c>
      <c r="M29" s="9">
        <v>22</v>
      </c>
      <c r="N29" s="16">
        <f t="shared" si="4"/>
        <v>266.39</v>
      </c>
    </row>
    <row r="30" ht="45" customHeight="1" spans="1:14">
      <c r="A30" s="4">
        <v>20</v>
      </c>
      <c r="B30" s="4" t="s">
        <v>294</v>
      </c>
      <c r="C30" s="4" t="s">
        <v>45</v>
      </c>
      <c r="D30" s="8" t="s">
        <v>295</v>
      </c>
      <c r="E30" s="4" t="s">
        <v>47</v>
      </c>
      <c r="F30" s="4">
        <v>156.2</v>
      </c>
      <c r="G30" s="9">
        <v>245.05</v>
      </c>
      <c r="H30" s="9">
        <v>64.49</v>
      </c>
      <c r="I30" s="9">
        <v>32.24</v>
      </c>
      <c r="J30" s="9">
        <v>180.56</v>
      </c>
      <c r="K30" s="9">
        <v>51.59</v>
      </c>
      <c r="L30" s="9">
        <v>70.93</v>
      </c>
      <c r="M30" s="9">
        <v>58.04</v>
      </c>
      <c r="N30" s="16">
        <f t="shared" si="4"/>
        <v>702.9</v>
      </c>
    </row>
    <row r="31" ht="45" customHeight="1" spans="1:14">
      <c r="A31" s="4">
        <v>21</v>
      </c>
      <c r="B31" s="4" t="s">
        <v>296</v>
      </c>
      <c r="C31" s="4" t="s">
        <v>91</v>
      </c>
      <c r="D31" s="8" t="s">
        <v>297</v>
      </c>
      <c r="E31" s="4" t="s">
        <v>93</v>
      </c>
      <c r="F31" s="4">
        <v>29</v>
      </c>
      <c r="G31" s="9">
        <v>121.32</v>
      </c>
      <c r="H31" s="9">
        <v>31.93</v>
      </c>
      <c r="I31" s="9">
        <v>15.96</v>
      </c>
      <c r="J31" s="9">
        <v>89.39</v>
      </c>
      <c r="K31" s="9">
        <v>25.54</v>
      </c>
      <c r="L31" s="9">
        <v>35.12</v>
      </c>
      <c r="M31" s="9">
        <v>28.73</v>
      </c>
      <c r="N31" s="16">
        <f t="shared" si="4"/>
        <v>347.99</v>
      </c>
    </row>
    <row r="32" ht="25" customHeight="1" spans="1:14">
      <c r="A32" s="11" t="s">
        <v>50</v>
      </c>
      <c r="B32" s="12"/>
      <c r="C32" s="11"/>
      <c r="D32" s="13"/>
      <c r="E32" s="12"/>
      <c r="F32" s="11"/>
      <c r="G32" s="14"/>
      <c r="H32" s="14"/>
      <c r="I32" s="14"/>
      <c r="J32" s="14"/>
      <c r="K32" s="14"/>
      <c r="L32" s="14"/>
      <c r="M32" s="14"/>
      <c r="N32" s="14">
        <f>SUM(N28:N31)</f>
        <v>7521.28</v>
      </c>
    </row>
    <row r="33" ht="45" customHeight="1" spans="1:14">
      <c r="A33" s="4">
        <v>22</v>
      </c>
      <c r="B33" s="4" t="s">
        <v>298</v>
      </c>
      <c r="C33" s="4" t="s">
        <v>95</v>
      </c>
      <c r="D33" s="8" t="s">
        <v>281</v>
      </c>
      <c r="E33" s="4" t="s">
        <v>47</v>
      </c>
      <c r="F33" s="4">
        <v>2.3</v>
      </c>
      <c r="G33" s="9">
        <v>3.61</v>
      </c>
      <c r="H33" s="9">
        <v>0.95</v>
      </c>
      <c r="I33" s="9">
        <v>0.47</v>
      </c>
      <c r="J33" s="9">
        <v>2.66</v>
      </c>
      <c r="K33" s="9">
        <v>0.76</v>
      </c>
      <c r="L33" s="9">
        <v>1.04</v>
      </c>
      <c r="M33" s="9">
        <v>0.85</v>
      </c>
      <c r="N33" s="16">
        <f t="shared" ref="N33:N36" si="5">SUM(G33:M33)</f>
        <v>10.34</v>
      </c>
    </row>
    <row r="34" ht="45" customHeight="1" spans="1:14">
      <c r="A34" s="4">
        <v>23</v>
      </c>
      <c r="B34" s="4" t="s">
        <v>299</v>
      </c>
      <c r="C34" s="4" t="s">
        <v>45</v>
      </c>
      <c r="D34" s="8" t="s">
        <v>289</v>
      </c>
      <c r="E34" s="4" t="s">
        <v>47</v>
      </c>
      <c r="F34" s="4">
        <v>2.3</v>
      </c>
      <c r="G34" s="9">
        <v>3.61</v>
      </c>
      <c r="H34" s="9">
        <v>0.95</v>
      </c>
      <c r="I34" s="9">
        <v>0.47</v>
      </c>
      <c r="J34" s="9">
        <v>2.66</v>
      </c>
      <c r="K34" s="9">
        <v>0.76</v>
      </c>
      <c r="L34" s="9">
        <v>1.04</v>
      </c>
      <c r="M34" s="9">
        <v>0.85</v>
      </c>
      <c r="N34" s="16">
        <f t="shared" si="5"/>
        <v>10.34</v>
      </c>
    </row>
    <row r="35" ht="45" customHeight="1" spans="1:14">
      <c r="A35" s="4">
        <v>24</v>
      </c>
      <c r="B35" s="4" t="s">
        <v>300</v>
      </c>
      <c r="C35" s="4" t="s">
        <v>45</v>
      </c>
      <c r="D35" s="8" t="s">
        <v>291</v>
      </c>
      <c r="E35" s="4" t="s">
        <v>47</v>
      </c>
      <c r="F35" s="4">
        <v>55</v>
      </c>
      <c r="G35" s="9">
        <v>86.28</v>
      </c>
      <c r="H35" s="9">
        <v>22.71</v>
      </c>
      <c r="I35" s="9">
        <v>11.35</v>
      </c>
      <c r="J35" s="9">
        <v>63.58</v>
      </c>
      <c r="K35" s="9">
        <v>18.17</v>
      </c>
      <c r="L35" s="9">
        <v>24.98</v>
      </c>
      <c r="M35" s="9">
        <v>20.44</v>
      </c>
      <c r="N35" s="16">
        <f t="shared" si="5"/>
        <v>247.51</v>
      </c>
    </row>
    <row r="36" ht="45" customHeight="1" spans="1:14">
      <c r="A36" s="4">
        <v>25</v>
      </c>
      <c r="B36" s="4" t="s">
        <v>301</v>
      </c>
      <c r="C36" s="4" t="s">
        <v>91</v>
      </c>
      <c r="D36" s="8" t="s">
        <v>297</v>
      </c>
      <c r="E36" s="4" t="s">
        <v>93</v>
      </c>
      <c r="F36" s="4">
        <v>1</v>
      </c>
      <c r="G36" s="9">
        <v>4.18</v>
      </c>
      <c r="H36" s="9">
        <v>1.1</v>
      </c>
      <c r="I36" s="9">
        <v>0.55</v>
      </c>
      <c r="J36" s="9">
        <v>3.08</v>
      </c>
      <c r="K36" s="9">
        <v>0.88</v>
      </c>
      <c r="L36" s="9">
        <v>1.21</v>
      </c>
      <c r="M36" s="9">
        <v>0.99</v>
      </c>
      <c r="N36" s="16">
        <f t="shared" si="5"/>
        <v>11.99</v>
      </c>
    </row>
    <row r="37" ht="25" customHeight="1" spans="1:14">
      <c r="A37" s="11" t="s">
        <v>50</v>
      </c>
      <c r="B37" s="12"/>
      <c r="C37" s="11"/>
      <c r="D37" s="13"/>
      <c r="E37" s="12"/>
      <c r="F37" s="11"/>
      <c r="G37" s="14"/>
      <c r="H37" s="14"/>
      <c r="I37" s="14"/>
      <c r="J37" s="14"/>
      <c r="K37" s="14"/>
      <c r="L37" s="14"/>
      <c r="M37" s="14"/>
      <c r="N37" s="14">
        <f>SUM(N33:N36)</f>
        <v>280.18</v>
      </c>
    </row>
    <row r="38" ht="45" customHeight="1" spans="1:14">
      <c r="A38" s="4">
        <v>26</v>
      </c>
      <c r="B38" s="4" t="s">
        <v>302</v>
      </c>
      <c r="C38" s="4" t="s">
        <v>95</v>
      </c>
      <c r="D38" s="8" t="s">
        <v>281</v>
      </c>
      <c r="E38" s="4" t="s">
        <v>47</v>
      </c>
      <c r="F38" s="4">
        <v>533.6</v>
      </c>
      <c r="G38" s="9">
        <v>837.12</v>
      </c>
      <c r="H38" s="9">
        <v>220.29</v>
      </c>
      <c r="I38" s="9">
        <v>110.15</v>
      </c>
      <c r="J38" s="9">
        <v>616.82</v>
      </c>
      <c r="K38" s="9">
        <v>176.23</v>
      </c>
      <c r="L38" s="9">
        <v>242.32</v>
      </c>
      <c r="M38" s="9">
        <v>198.26</v>
      </c>
      <c r="N38" s="16">
        <f t="shared" ref="N38:N42" si="6">SUM(G38:M38)</f>
        <v>2401.19</v>
      </c>
    </row>
    <row r="39" ht="45" customHeight="1" spans="1:14">
      <c r="A39" s="4">
        <v>27</v>
      </c>
      <c r="B39" s="4" t="s">
        <v>303</v>
      </c>
      <c r="C39" s="4" t="s">
        <v>95</v>
      </c>
      <c r="D39" s="8" t="s">
        <v>283</v>
      </c>
      <c r="E39" s="4" t="s">
        <v>47</v>
      </c>
      <c r="F39" s="4">
        <v>60.93</v>
      </c>
      <c r="G39" s="9">
        <v>95.59</v>
      </c>
      <c r="H39" s="9">
        <v>25.15</v>
      </c>
      <c r="I39" s="9">
        <v>12.58</v>
      </c>
      <c r="J39" s="9">
        <v>70.43</v>
      </c>
      <c r="K39" s="9">
        <v>20.12</v>
      </c>
      <c r="L39" s="9">
        <v>27.67</v>
      </c>
      <c r="M39" s="9">
        <v>22.64</v>
      </c>
      <c r="N39" s="16">
        <f t="shared" si="6"/>
        <v>274.18</v>
      </c>
    </row>
    <row r="40" ht="45" customHeight="1" spans="1:14">
      <c r="A40" s="4">
        <v>28</v>
      </c>
      <c r="B40" s="4" t="s">
        <v>304</v>
      </c>
      <c r="C40" s="4" t="s">
        <v>100</v>
      </c>
      <c r="D40" s="8" t="s">
        <v>285</v>
      </c>
      <c r="E40" s="4" t="s">
        <v>47</v>
      </c>
      <c r="F40" s="4">
        <v>60</v>
      </c>
      <c r="G40" s="9">
        <v>257.61</v>
      </c>
      <c r="H40" s="9">
        <v>21.47</v>
      </c>
      <c r="I40" s="9">
        <v>8.59</v>
      </c>
      <c r="J40" s="9">
        <v>64.4</v>
      </c>
      <c r="K40" s="9">
        <v>30.06</v>
      </c>
      <c r="L40" s="9">
        <v>47.23</v>
      </c>
      <c r="M40" s="9">
        <v>38.64</v>
      </c>
      <c r="N40" s="16">
        <f t="shared" si="6"/>
        <v>468</v>
      </c>
    </row>
    <row r="41" ht="45" customHeight="1" spans="1:14">
      <c r="A41" s="4">
        <v>29</v>
      </c>
      <c r="B41" s="4" t="s">
        <v>305</v>
      </c>
      <c r="C41" s="4" t="s">
        <v>103</v>
      </c>
      <c r="D41" s="8" t="s">
        <v>287</v>
      </c>
      <c r="E41" s="4" t="s">
        <v>105</v>
      </c>
      <c r="F41" s="4">
        <v>95.23</v>
      </c>
      <c r="G41" s="9">
        <v>398.39</v>
      </c>
      <c r="H41" s="9">
        <v>104.84</v>
      </c>
      <c r="I41" s="9">
        <v>52.42</v>
      </c>
      <c r="J41" s="9">
        <v>293.55</v>
      </c>
      <c r="K41" s="9">
        <v>83.87</v>
      </c>
      <c r="L41" s="9">
        <v>115.32</v>
      </c>
      <c r="M41" s="9">
        <v>94.36</v>
      </c>
      <c r="N41" s="16">
        <f t="shared" si="6"/>
        <v>1142.75</v>
      </c>
    </row>
    <row r="42" ht="45" customHeight="1" spans="1:14">
      <c r="A42" s="4">
        <v>30</v>
      </c>
      <c r="B42" s="4" t="s">
        <v>306</v>
      </c>
      <c r="C42" s="4" t="s">
        <v>45</v>
      </c>
      <c r="D42" s="8" t="s">
        <v>289</v>
      </c>
      <c r="E42" s="4" t="s">
        <v>47</v>
      </c>
      <c r="F42" s="4">
        <v>909.49</v>
      </c>
      <c r="G42" s="9">
        <v>1426.81</v>
      </c>
      <c r="H42" s="9">
        <v>375.48</v>
      </c>
      <c r="I42" s="9">
        <v>187.74</v>
      </c>
      <c r="J42" s="9">
        <v>1051.34</v>
      </c>
      <c r="K42" s="9">
        <v>300.38</v>
      </c>
      <c r="L42" s="9">
        <v>413.03</v>
      </c>
      <c r="M42" s="9">
        <v>337.93</v>
      </c>
      <c r="N42" s="16">
        <f t="shared" si="6"/>
        <v>4092.71</v>
      </c>
    </row>
    <row r="43" ht="25" customHeight="1" spans="1:14">
      <c r="A43" s="11" t="s">
        <v>50</v>
      </c>
      <c r="B43" s="12"/>
      <c r="C43" s="11"/>
      <c r="D43" s="13"/>
      <c r="E43" s="12"/>
      <c r="F43" s="11"/>
      <c r="G43" s="14"/>
      <c r="H43" s="14"/>
      <c r="I43" s="14"/>
      <c r="J43" s="14"/>
      <c r="K43" s="14"/>
      <c r="L43" s="14"/>
      <c r="M43" s="14"/>
      <c r="N43" s="14">
        <f>SUM(N38:N42)</f>
        <v>8378.83</v>
      </c>
    </row>
    <row r="44" ht="45" customHeight="1" spans="1:14">
      <c r="A44" s="4">
        <v>31</v>
      </c>
      <c r="B44" s="4" t="s">
        <v>307</v>
      </c>
      <c r="C44" s="4" t="s">
        <v>45</v>
      </c>
      <c r="D44" s="8" t="s">
        <v>291</v>
      </c>
      <c r="E44" s="4" t="s">
        <v>47</v>
      </c>
      <c r="F44" s="4">
        <v>5714.93</v>
      </c>
      <c r="G44" s="9">
        <v>8965.62</v>
      </c>
      <c r="H44" s="9">
        <v>2359.37</v>
      </c>
      <c r="I44" s="9">
        <v>1179.69</v>
      </c>
      <c r="J44" s="9">
        <v>6606.25</v>
      </c>
      <c r="K44" s="9">
        <v>1887.5</v>
      </c>
      <c r="L44" s="9">
        <v>2595.31</v>
      </c>
      <c r="M44" s="9">
        <v>2123.44</v>
      </c>
      <c r="N44" s="16">
        <f t="shared" ref="N44:N47" si="7">SUM(G44:M44)</f>
        <v>25717.18</v>
      </c>
    </row>
    <row r="45" ht="45" customHeight="1" spans="1:14">
      <c r="A45" s="4">
        <v>32</v>
      </c>
      <c r="B45" s="4" t="s">
        <v>308</v>
      </c>
      <c r="C45" s="4" t="s">
        <v>45</v>
      </c>
      <c r="D45" s="8" t="s">
        <v>309</v>
      </c>
      <c r="E45" s="4" t="s">
        <v>47</v>
      </c>
      <c r="F45" s="4">
        <v>78</v>
      </c>
      <c r="G45" s="9">
        <v>108.77</v>
      </c>
      <c r="H45" s="9">
        <v>28.62</v>
      </c>
      <c r="I45" s="9">
        <v>14.31</v>
      </c>
      <c r="J45" s="9">
        <v>80.15</v>
      </c>
      <c r="K45" s="9">
        <v>22.9</v>
      </c>
      <c r="L45" s="9">
        <v>31.49</v>
      </c>
      <c r="M45" s="9">
        <v>25.76</v>
      </c>
      <c r="N45" s="16">
        <f t="shared" si="7"/>
        <v>312</v>
      </c>
    </row>
    <row r="46" ht="45" customHeight="1" spans="1:14">
      <c r="A46" s="4">
        <v>33</v>
      </c>
      <c r="B46" s="4" t="s">
        <v>310</v>
      </c>
      <c r="C46" s="4" t="s">
        <v>45</v>
      </c>
      <c r="D46" s="8" t="s">
        <v>311</v>
      </c>
      <c r="E46" s="4" t="s">
        <v>47</v>
      </c>
      <c r="F46" s="4">
        <v>905</v>
      </c>
      <c r="G46" s="9">
        <v>1262.02</v>
      </c>
      <c r="H46" s="9">
        <v>332.11</v>
      </c>
      <c r="I46" s="9">
        <v>166.06</v>
      </c>
      <c r="J46" s="9">
        <v>929.91</v>
      </c>
      <c r="K46" s="9">
        <v>265.69</v>
      </c>
      <c r="L46" s="9">
        <v>365.32</v>
      </c>
      <c r="M46" s="9">
        <v>298.9</v>
      </c>
      <c r="N46" s="16">
        <f t="shared" si="7"/>
        <v>3620.01</v>
      </c>
    </row>
    <row r="47" ht="45" customHeight="1" spans="1:14">
      <c r="A47" s="4">
        <v>34</v>
      </c>
      <c r="B47" s="4" t="s">
        <v>312</v>
      </c>
      <c r="C47" s="4" t="s">
        <v>91</v>
      </c>
      <c r="D47" s="8" t="s">
        <v>297</v>
      </c>
      <c r="E47" s="4" t="s">
        <v>93</v>
      </c>
      <c r="F47" s="4">
        <v>88</v>
      </c>
      <c r="G47" s="9">
        <v>368.15</v>
      </c>
      <c r="H47" s="9">
        <v>96.88</v>
      </c>
      <c r="I47" s="9">
        <v>48.44</v>
      </c>
      <c r="J47" s="9">
        <v>271.27</v>
      </c>
      <c r="K47" s="9">
        <v>77.5</v>
      </c>
      <c r="L47" s="9">
        <v>106.57</v>
      </c>
      <c r="M47" s="9">
        <v>87.19</v>
      </c>
      <c r="N47" s="16">
        <f t="shared" si="7"/>
        <v>1056</v>
      </c>
    </row>
    <row r="48" ht="25" customHeight="1" spans="1:14">
      <c r="A48" s="11" t="s">
        <v>50</v>
      </c>
      <c r="B48" s="12"/>
      <c r="C48" s="11"/>
      <c r="D48" s="13"/>
      <c r="E48" s="12"/>
      <c r="F48" s="11"/>
      <c r="G48" s="14"/>
      <c r="H48" s="14"/>
      <c r="I48" s="14"/>
      <c r="J48" s="14"/>
      <c r="K48" s="14"/>
      <c r="L48" s="14"/>
      <c r="M48" s="14"/>
      <c r="N48" s="14">
        <f>SUM(N44:N47)</f>
        <v>30705.19</v>
      </c>
    </row>
    <row r="49" ht="45" customHeight="1" spans="1:14">
      <c r="A49" s="4">
        <v>35</v>
      </c>
      <c r="B49" s="4" t="s">
        <v>313</v>
      </c>
      <c r="C49" s="4" t="s">
        <v>95</v>
      </c>
      <c r="D49" s="8" t="s">
        <v>283</v>
      </c>
      <c r="E49" s="4" t="s">
        <v>47</v>
      </c>
      <c r="F49" s="4">
        <v>23.9</v>
      </c>
      <c r="G49" s="9">
        <v>37.49</v>
      </c>
      <c r="H49" s="9">
        <v>9.87</v>
      </c>
      <c r="I49" s="9">
        <v>4.93</v>
      </c>
      <c r="J49" s="9">
        <v>27.63</v>
      </c>
      <c r="K49" s="9">
        <v>7.89</v>
      </c>
      <c r="L49" s="9">
        <v>10.85</v>
      </c>
      <c r="M49" s="9">
        <v>8.88</v>
      </c>
      <c r="N49" s="16">
        <f t="shared" ref="N49:N54" si="8">SUM(G49:M49)</f>
        <v>107.54</v>
      </c>
    </row>
    <row r="50" ht="45" customHeight="1" spans="1:14">
      <c r="A50" s="4">
        <v>36</v>
      </c>
      <c r="B50" s="4" t="s">
        <v>314</v>
      </c>
      <c r="C50" s="4" t="s">
        <v>100</v>
      </c>
      <c r="D50" s="8" t="s">
        <v>285</v>
      </c>
      <c r="E50" s="4" t="s">
        <v>47</v>
      </c>
      <c r="F50" s="4">
        <v>23.9</v>
      </c>
      <c r="G50" s="9">
        <v>102.62</v>
      </c>
      <c r="H50" s="9">
        <v>8.55</v>
      </c>
      <c r="I50" s="9">
        <v>3.42</v>
      </c>
      <c r="J50" s="9">
        <v>25.65</v>
      </c>
      <c r="K50" s="9">
        <v>11.97</v>
      </c>
      <c r="L50" s="9">
        <v>18.81</v>
      </c>
      <c r="M50" s="9">
        <v>15.39</v>
      </c>
      <c r="N50" s="16">
        <f t="shared" si="8"/>
        <v>186.41</v>
      </c>
    </row>
    <row r="51" ht="45" customHeight="1" spans="1:14">
      <c r="A51" s="4">
        <v>37</v>
      </c>
      <c r="B51" s="4" t="s">
        <v>315</v>
      </c>
      <c r="C51" s="4" t="s">
        <v>45</v>
      </c>
      <c r="D51" s="8" t="s">
        <v>309</v>
      </c>
      <c r="E51" s="4" t="s">
        <v>47</v>
      </c>
      <c r="F51" s="4">
        <v>27.2</v>
      </c>
      <c r="G51" s="9">
        <v>42.67</v>
      </c>
      <c r="H51" s="9">
        <v>11.23</v>
      </c>
      <c r="I51" s="9">
        <v>5.61</v>
      </c>
      <c r="J51" s="9">
        <v>31.44</v>
      </c>
      <c r="K51" s="9">
        <v>8.98</v>
      </c>
      <c r="L51" s="9">
        <v>12.35</v>
      </c>
      <c r="M51" s="9">
        <v>10.11</v>
      </c>
      <c r="N51" s="16">
        <f t="shared" si="8"/>
        <v>122.39</v>
      </c>
    </row>
    <row r="52" ht="45" customHeight="1" spans="1:14">
      <c r="A52" s="4">
        <v>38</v>
      </c>
      <c r="B52" s="4" t="s">
        <v>316</v>
      </c>
      <c r="C52" s="4" t="s">
        <v>91</v>
      </c>
      <c r="D52" s="8" t="s">
        <v>297</v>
      </c>
      <c r="E52" s="4" t="s">
        <v>93</v>
      </c>
      <c r="F52" s="4">
        <v>4</v>
      </c>
      <c r="G52" s="9">
        <v>16.73</v>
      </c>
      <c r="H52" s="9">
        <v>4.4</v>
      </c>
      <c r="I52" s="9">
        <v>2.2</v>
      </c>
      <c r="J52" s="9">
        <v>12.33</v>
      </c>
      <c r="K52" s="9">
        <v>3.52</v>
      </c>
      <c r="L52" s="9">
        <v>4.84</v>
      </c>
      <c r="M52" s="9">
        <v>3.96</v>
      </c>
      <c r="N52" s="16">
        <f t="shared" si="8"/>
        <v>47.98</v>
      </c>
    </row>
    <row r="53" ht="45" customHeight="1" spans="1:14">
      <c r="A53" s="4">
        <v>39</v>
      </c>
      <c r="B53" s="4" t="s">
        <v>317</v>
      </c>
      <c r="C53" s="4" t="s">
        <v>64</v>
      </c>
      <c r="D53" s="8" t="s">
        <v>65</v>
      </c>
      <c r="E53" s="4" t="s">
        <v>66</v>
      </c>
      <c r="F53" s="4">
        <v>1</v>
      </c>
      <c r="G53" s="9">
        <v>209.17</v>
      </c>
      <c r="H53" s="9">
        <v>55.05</v>
      </c>
      <c r="I53" s="9">
        <v>27.52</v>
      </c>
      <c r="J53" s="9">
        <v>154.13</v>
      </c>
      <c r="K53" s="9">
        <v>44.04</v>
      </c>
      <c r="L53" s="9">
        <v>60.55</v>
      </c>
      <c r="M53" s="9">
        <v>49.54</v>
      </c>
      <c r="N53" s="16">
        <f t="shared" si="8"/>
        <v>600</v>
      </c>
    </row>
    <row r="54" ht="25" customHeight="1" spans="1:14">
      <c r="A54" s="4">
        <v>40</v>
      </c>
      <c r="B54" s="4" t="s">
        <v>318</v>
      </c>
      <c r="C54" s="4" t="s">
        <v>319</v>
      </c>
      <c r="D54" s="8"/>
      <c r="E54" s="4" t="s">
        <v>66</v>
      </c>
      <c r="F54" s="4">
        <v>1</v>
      </c>
      <c r="G54" s="9">
        <v>275.23</v>
      </c>
      <c r="H54" s="9">
        <v>22.94</v>
      </c>
      <c r="I54" s="9">
        <v>9.17</v>
      </c>
      <c r="J54" s="9">
        <v>68.81</v>
      </c>
      <c r="K54" s="9">
        <v>32.11</v>
      </c>
      <c r="L54" s="9">
        <v>50.46</v>
      </c>
      <c r="M54" s="9">
        <v>41.28</v>
      </c>
      <c r="N54" s="16">
        <f t="shared" si="8"/>
        <v>500</v>
      </c>
    </row>
    <row r="55" ht="25" customHeight="1" spans="1:14">
      <c r="A55" s="11" t="s">
        <v>50</v>
      </c>
      <c r="B55" s="12"/>
      <c r="C55" s="11"/>
      <c r="D55" s="13"/>
      <c r="E55" s="12"/>
      <c r="F55" s="11"/>
      <c r="G55" s="14"/>
      <c r="H55" s="14"/>
      <c r="I55" s="14"/>
      <c r="J55" s="14"/>
      <c r="K55" s="14"/>
      <c r="L55" s="14"/>
      <c r="M55" s="14"/>
      <c r="N55" s="14">
        <f>SUM(N49:N54)</f>
        <v>1564.32</v>
      </c>
    </row>
    <row r="56" ht="25" customHeight="1" spans="1:14">
      <c r="A56" s="4" t="s">
        <v>188</v>
      </c>
      <c r="B56" s="4"/>
      <c r="C56" s="4"/>
      <c r="D56" s="8"/>
      <c r="E56" s="4"/>
      <c r="F56" s="4"/>
      <c r="G56" s="9"/>
      <c r="H56" s="9"/>
      <c r="I56" s="9"/>
      <c r="J56" s="9"/>
      <c r="K56" s="9"/>
      <c r="L56" s="9"/>
      <c r="M56" s="9"/>
      <c r="N56" s="16">
        <f>N8+N13+N15+N17+N21+N27+N32+N37+N43+N48+N55</f>
        <v>124363.36</v>
      </c>
    </row>
  </sheetData>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22"/>
  <sheetViews>
    <sheetView zoomScale="55" zoomScaleNormal="55" workbookViewId="0">
      <selection activeCell="P8" sqref="P8"/>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1.5044247787611"/>
    <col min="15" max="15" width="19.9557522123894" customWidth="1"/>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s="37" customFormat="1" ht="170" customHeight="1" spans="1:14">
      <c r="A5" s="27">
        <v>1</v>
      </c>
      <c r="B5" s="27" t="s">
        <v>320</v>
      </c>
      <c r="C5" s="27" t="s">
        <v>321</v>
      </c>
      <c r="D5" s="39" t="s">
        <v>322</v>
      </c>
      <c r="E5" s="27" t="s">
        <v>55</v>
      </c>
      <c r="F5" s="27">
        <v>2</v>
      </c>
      <c r="G5" s="23">
        <v>51522.94</v>
      </c>
      <c r="H5" s="23">
        <v>1981.66</v>
      </c>
      <c r="I5" s="23">
        <v>660.56</v>
      </c>
      <c r="J5" s="23">
        <v>2642.2</v>
      </c>
      <c r="K5" s="23">
        <v>1981.66</v>
      </c>
      <c r="L5" s="23">
        <v>7266.06</v>
      </c>
      <c r="M5" s="23">
        <v>5944.96</v>
      </c>
      <c r="N5" s="40">
        <f>SUM(G5:M5)</f>
        <v>72000.04</v>
      </c>
    </row>
    <row r="6" s="37" customFormat="1" ht="45" customHeight="1" spans="1:14">
      <c r="A6" s="27">
        <v>2</v>
      </c>
      <c r="B6" s="27" t="s">
        <v>323</v>
      </c>
      <c r="C6" s="27" t="s">
        <v>324</v>
      </c>
      <c r="D6" s="39" t="s">
        <v>325</v>
      </c>
      <c r="E6" s="27" t="s">
        <v>55</v>
      </c>
      <c r="F6" s="27">
        <v>2</v>
      </c>
      <c r="G6" s="23">
        <v>66055.04</v>
      </c>
      <c r="H6" s="23">
        <v>5504.58</v>
      </c>
      <c r="I6" s="23">
        <v>2201.84</v>
      </c>
      <c r="J6" s="23">
        <v>16513.76</v>
      </c>
      <c r="K6" s="23">
        <v>7706.42</v>
      </c>
      <c r="L6" s="23">
        <v>12110.1</v>
      </c>
      <c r="M6" s="23">
        <v>9908.26</v>
      </c>
      <c r="N6" s="40">
        <f>SUM(G6:M6)</f>
        <v>120000</v>
      </c>
    </row>
    <row r="7" s="37" customFormat="1" ht="45" customHeight="1" spans="1:14">
      <c r="A7" s="27">
        <v>3</v>
      </c>
      <c r="B7" s="27" t="s">
        <v>326</v>
      </c>
      <c r="C7" s="27" t="s">
        <v>327</v>
      </c>
      <c r="D7" s="39" t="s">
        <v>328</v>
      </c>
      <c r="E7" s="27" t="s">
        <v>55</v>
      </c>
      <c r="F7" s="27">
        <v>1</v>
      </c>
      <c r="G7" s="23">
        <v>3522.94</v>
      </c>
      <c r="H7" s="23">
        <v>293.58</v>
      </c>
      <c r="I7" s="23">
        <v>117.44</v>
      </c>
      <c r="J7" s="23">
        <v>880.74</v>
      </c>
      <c r="K7" s="23">
        <v>411</v>
      </c>
      <c r="L7" s="23">
        <v>645.88</v>
      </c>
      <c r="M7" s="23">
        <v>528.44</v>
      </c>
      <c r="N7" s="40">
        <f>SUM(G7:M7)</f>
        <v>6400.02</v>
      </c>
    </row>
    <row r="8" ht="25" customHeight="1" spans="1:14">
      <c r="A8" s="11" t="s">
        <v>50</v>
      </c>
      <c r="B8" s="12"/>
      <c r="C8" s="11"/>
      <c r="D8" s="13"/>
      <c r="E8" s="12"/>
      <c r="F8" s="11"/>
      <c r="G8" s="14"/>
      <c r="H8" s="14"/>
      <c r="I8" s="14"/>
      <c r="J8" s="14"/>
      <c r="K8" s="14"/>
      <c r="L8" s="14"/>
      <c r="M8" s="14"/>
      <c r="N8" s="14">
        <f>SUM(N5:N7)</f>
        <v>198400.06</v>
      </c>
    </row>
    <row r="9" s="37" customFormat="1" ht="45" customHeight="1" spans="1:14">
      <c r="A9" s="27">
        <v>4</v>
      </c>
      <c r="B9" s="27" t="s">
        <v>329</v>
      </c>
      <c r="C9" s="27" t="s">
        <v>330</v>
      </c>
      <c r="D9" s="39" t="s">
        <v>331</v>
      </c>
      <c r="E9" s="27" t="s">
        <v>332</v>
      </c>
      <c r="F9" s="27">
        <v>2</v>
      </c>
      <c r="G9" s="23">
        <v>5944.95</v>
      </c>
      <c r="H9" s="23">
        <v>495.42</v>
      </c>
      <c r="I9" s="23">
        <v>198.18</v>
      </c>
      <c r="J9" s="23">
        <v>1486.23</v>
      </c>
      <c r="K9" s="23">
        <v>693.57</v>
      </c>
      <c r="L9" s="23">
        <v>1089.9</v>
      </c>
      <c r="M9" s="23">
        <v>891.75</v>
      </c>
      <c r="N9" s="40">
        <f>SUM(G9:M9)</f>
        <v>10800</v>
      </c>
    </row>
    <row r="10" s="37" customFormat="1" ht="45" customHeight="1" spans="1:14">
      <c r="A10" s="27">
        <v>5</v>
      </c>
      <c r="B10" s="27" t="s">
        <v>333</v>
      </c>
      <c r="C10" s="27" t="s">
        <v>334</v>
      </c>
      <c r="D10" s="39" t="s">
        <v>335</v>
      </c>
      <c r="E10" s="27" t="s">
        <v>47</v>
      </c>
      <c r="F10" s="27">
        <v>500</v>
      </c>
      <c r="G10" s="23">
        <v>8256.87</v>
      </c>
      <c r="H10" s="23">
        <v>688.08</v>
      </c>
      <c r="I10" s="23">
        <v>275.22</v>
      </c>
      <c r="J10" s="23">
        <v>2064.21</v>
      </c>
      <c r="K10" s="23">
        <v>963.3</v>
      </c>
      <c r="L10" s="23">
        <v>1513.77</v>
      </c>
      <c r="M10" s="23">
        <v>1238.52</v>
      </c>
      <c r="N10" s="40">
        <f>SUM(G10:M10)</f>
        <v>14999.97</v>
      </c>
    </row>
    <row r="11" s="37" customFormat="1" ht="45" customHeight="1" spans="1:14">
      <c r="A11" s="27">
        <v>6</v>
      </c>
      <c r="B11" s="27" t="s">
        <v>336</v>
      </c>
      <c r="C11" s="27" t="s">
        <v>337</v>
      </c>
      <c r="D11" s="39" t="s">
        <v>338</v>
      </c>
      <c r="E11" s="27" t="s">
        <v>55</v>
      </c>
      <c r="F11" s="27">
        <v>1</v>
      </c>
      <c r="G11" s="23">
        <v>3853.22</v>
      </c>
      <c r="H11" s="23">
        <v>321.1</v>
      </c>
      <c r="I11" s="23">
        <v>128.44</v>
      </c>
      <c r="J11" s="23">
        <v>963.3</v>
      </c>
      <c r="K11" s="23">
        <v>449.54</v>
      </c>
      <c r="L11" s="23">
        <v>706.42</v>
      </c>
      <c r="M11" s="23">
        <v>577.98</v>
      </c>
      <c r="N11" s="40">
        <f>SUM(G11:M11)</f>
        <v>7000</v>
      </c>
    </row>
    <row r="12" ht="45" customHeight="1" spans="1:14">
      <c r="A12" s="4">
        <v>7</v>
      </c>
      <c r="B12" s="4" t="s">
        <v>339</v>
      </c>
      <c r="C12" s="4" t="s">
        <v>340</v>
      </c>
      <c r="D12" s="8" t="s">
        <v>341</v>
      </c>
      <c r="E12" s="4" t="s">
        <v>93</v>
      </c>
      <c r="F12" s="4">
        <v>1</v>
      </c>
      <c r="G12" s="9">
        <v>3743.12</v>
      </c>
      <c r="H12" s="9">
        <v>311.93</v>
      </c>
      <c r="I12" s="9">
        <v>124.77</v>
      </c>
      <c r="J12" s="9">
        <v>935.78</v>
      </c>
      <c r="K12" s="9">
        <v>436.7</v>
      </c>
      <c r="L12" s="9">
        <v>686.24</v>
      </c>
      <c r="M12" s="9">
        <v>561.47</v>
      </c>
      <c r="N12" s="16">
        <f>SUM(G12:M12)</f>
        <v>6800.01</v>
      </c>
    </row>
    <row r="13" ht="45" customHeight="1" spans="1:14">
      <c r="A13" s="4">
        <v>8</v>
      </c>
      <c r="B13" s="4" t="s">
        <v>342</v>
      </c>
      <c r="C13" s="4" t="s">
        <v>343</v>
      </c>
      <c r="D13" s="8" t="s">
        <v>344</v>
      </c>
      <c r="E13" s="4" t="s">
        <v>55</v>
      </c>
      <c r="F13" s="4">
        <v>2</v>
      </c>
      <c r="G13" s="9">
        <v>3317.53</v>
      </c>
      <c r="H13" s="9">
        <v>127.6</v>
      </c>
      <c r="I13" s="9">
        <v>42.53</v>
      </c>
      <c r="J13" s="9">
        <v>170.13</v>
      </c>
      <c r="K13" s="9">
        <v>127.6</v>
      </c>
      <c r="L13" s="9">
        <v>467.86</v>
      </c>
      <c r="M13" s="9">
        <v>382.79</v>
      </c>
      <c r="N13" s="16">
        <f>SUM(G13:M13)</f>
        <v>4636.04</v>
      </c>
    </row>
    <row r="14" ht="25" customHeight="1" spans="1:14">
      <c r="A14" s="11" t="s">
        <v>50</v>
      </c>
      <c r="B14" s="12"/>
      <c r="C14" s="11"/>
      <c r="D14" s="13"/>
      <c r="E14" s="12"/>
      <c r="F14" s="11"/>
      <c r="G14" s="14"/>
      <c r="H14" s="14"/>
      <c r="I14" s="14"/>
      <c r="J14" s="14"/>
      <c r="K14" s="14"/>
      <c r="L14" s="14"/>
      <c r="M14" s="14"/>
      <c r="N14" s="14">
        <f>SUM(N9:N13)</f>
        <v>44236.02</v>
      </c>
    </row>
    <row r="15" ht="89" customHeight="1" spans="1:14">
      <c r="A15" s="4">
        <v>9</v>
      </c>
      <c r="B15" s="4" t="s">
        <v>345</v>
      </c>
      <c r="C15" s="4" t="s">
        <v>133</v>
      </c>
      <c r="D15" s="8" t="s">
        <v>134</v>
      </c>
      <c r="E15" s="4" t="s">
        <v>66</v>
      </c>
      <c r="F15" s="4">
        <v>1</v>
      </c>
      <c r="G15" s="9">
        <v>697.25</v>
      </c>
      <c r="H15" s="9">
        <v>183.49</v>
      </c>
      <c r="I15" s="9">
        <v>91.74</v>
      </c>
      <c r="J15" s="9">
        <v>513.76</v>
      </c>
      <c r="K15" s="9">
        <v>146.79</v>
      </c>
      <c r="L15" s="9">
        <v>201.83</v>
      </c>
      <c r="M15" s="9">
        <v>165.14</v>
      </c>
      <c r="N15" s="16">
        <f t="shared" ref="N15:N18" si="0">SUM(G15:M15)</f>
        <v>2000</v>
      </c>
    </row>
    <row r="16" ht="45" customHeight="1" spans="1:14">
      <c r="A16" s="4">
        <v>10</v>
      </c>
      <c r="B16" s="4" t="s">
        <v>346</v>
      </c>
      <c r="C16" s="4" t="s">
        <v>347</v>
      </c>
      <c r="D16" s="8" t="s">
        <v>348</v>
      </c>
      <c r="E16" s="4" t="s">
        <v>66</v>
      </c>
      <c r="F16" s="4">
        <v>1</v>
      </c>
      <c r="G16" s="9">
        <v>2752.29</v>
      </c>
      <c r="H16" s="9">
        <v>229.36</v>
      </c>
      <c r="I16" s="9">
        <v>91.74</v>
      </c>
      <c r="J16" s="9">
        <v>688.07</v>
      </c>
      <c r="K16" s="9">
        <v>321.1</v>
      </c>
      <c r="L16" s="9">
        <v>504.59</v>
      </c>
      <c r="M16" s="9">
        <v>412.84</v>
      </c>
      <c r="N16" s="16">
        <f t="shared" si="0"/>
        <v>4999.99</v>
      </c>
    </row>
    <row r="17" ht="45" customHeight="1" spans="1:14">
      <c r="A17" s="4">
        <v>11</v>
      </c>
      <c r="B17" s="4" t="s">
        <v>349</v>
      </c>
      <c r="C17" s="4" t="s">
        <v>350</v>
      </c>
      <c r="D17" s="8" t="s">
        <v>351</v>
      </c>
      <c r="E17" s="4" t="s">
        <v>66</v>
      </c>
      <c r="F17" s="4">
        <v>1</v>
      </c>
      <c r="G17" s="9">
        <v>2752.29</v>
      </c>
      <c r="H17" s="9">
        <v>229.36</v>
      </c>
      <c r="I17" s="9">
        <v>91.74</v>
      </c>
      <c r="J17" s="9">
        <v>688.07</v>
      </c>
      <c r="K17" s="9">
        <v>321.1</v>
      </c>
      <c r="L17" s="9">
        <v>504.59</v>
      </c>
      <c r="M17" s="9">
        <v>412.84</v>
      </c>
      <c r="N17" s="16">
        <f t="shared" si="0"/>
        <v>4999.99</v>
      </c>
    </row>
    <row r="18" ht="45" customHeight="1" spans="1:14">
      <c r="A18" s="4">
        <v>12</v>
      </c>
      <c r="B18" s="4" t="s">
        <v>352</v>
      </c>
      <c r="C18" s="4" t="s">
        <v>64</v>
      </c>
      <c r="D18" s="8" t="s">
        <v>353</v>
      </c>
      <c r="E18" s="4" t="s">
        <v>66</v>
      </c>
      <c r="F18" s="4">
        <v>1</v>
      </c>
      <c r="G18" s="9">
        <v>45.58</v>
      </c>
      <c r="H18" s="9">
        <v>12</v>
      </c>
      <c r="I18" s="9">
        <v>6</v>
      </c>
      <c r="J18" s="9">
        <v>33.59</v>
      </c>
      <c r="K18" s="9">
        <v>9.6</v>
      </c>
      <c r="L18" s="9">
        <v>13.19</v>
      </c>
      <c r="M18" s="9">
        <v>10.8</v>
      </c>
      <c r="N18" s="16">
        <f t="shared" si="0"/>
        <v>130.76</v>
      </c>
    </row>
    <row r="19" ht="25" customHeight="1" spans="1:14">
      <c r="A19" s="11" t="s">
        <v>50</v>
      </c>
      <c r="B19" s="12"/>
      <c r="C19" s="11"/>
      <c r="D19" s="13"/>
      <c r="E19" s="12"/>
      <c r="F19" s="11"/>
      <c r="G19" s="14"/>
      <c r="H19" s="14"/>
      <c r="I19" s="14"/>
      <c r="J19" s="14"/>
      <c r="K19" s="14"/>
      <c r="L19" s="14"/>
      <c r="M19" s="14"/>
      <c r="N19" s="14">
        <f>SUM(N15:N18)</f>
        <v>12130.74</v>
      </c>
    </row>
    <row r="20" ht="25" customHeight="1" spans="1:14">
      <c r="A20" s="4">
        <v>13</v>
      </c>
      <c r="B20" s="4" t="s">
        <v>354</v>
      </c>
      <c r="C20" s="4" t="s">
        <v>319</v>
      </c>
      <c r="D20" s="8"/>
      <c r="E20" s="4" t="s">
        <v>66</v>
      </c>
      <c r="F20" s="4">
        <v>1</v>
      </c>
      <c r="G20" s="9">
        <v>422.24</v>
      </c>
      <c r="H20" s="9">
        <v>35.19</v>
      </c>
      <c r="I20" s="9">
        <v>14.07</v>
      </c>
      <c r="J20" s="9">
        <v>105.56</v>
      </c>
      <c r="K20" s="9">
        <v>49.26</v>
      </c>
      <c r="L20" s="9">
        <v>77.41</v>
      </c>
      <c r="M20" s="9">
        <v>63.34</v>
      </c>
      <c r="N20" s="16">
        <f>SUM(G20:M20)</f>
        <v>767.07</v>
      </c>
    </row>
    <row r="21" ht="25" customHeight="1" spans="1:14">
      <c r="A21" s="11" t="s">
        <v>50</v>
      </c>
      <c r="B21" s="12"/>
      <c r="C21" s="11"/>
      <c r="D21" s="13"/>
      <c r="E21" s="12"/>
      <c r="F21" s="11"/>
      <c r="G21" s="14"/>
      <c r="H21" s="14"/>
      <c r="I21" s="14"/>
      <c r="J21" s="14"/>
      <c r="K21" s="14"/>
      <c r="L21" s="14"/>
      <c r="M21" s="14"/>
      <c r="N21" s="14">
        <f>N20</f>
        <v>767.07</v>
      </c>
    </row>
    <row r="22" ht="25" customHeight="1" spans="1:14">
      <c r="A22" s="4" t="s">
        <v>188</v>
      </c>
      <c r="B22" s="4"/>
      <c r="C22" s="4"/>
      <c r="D22" s="8"/>
      <c r="E22" s="4"/>
      <c r="F22" s="4"/>
      <c r="G22" s="9"/>
      <c r="H22" s="9"/>
      <c r="I22" s="9"/>
      <c r="J22" s="9"/>
      <c r="K22" s="9"/>
      <c r="L22" s="9"/>
      <c r="M22" s="9"/>
      <c r="N22" s="16">
        <f>N8+N14+N19+N21</f>
        <v>255533.89</v>
      </c>
    </row>
  </sheetData>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23"/>
  <sheetViews>
    <sheetView topLeftCell="A16" workbookViewId="0">
      <selection activeCell="H58" sqref="H58"/>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4.5044247787611" customWidth="1"/>
    <col min="8" max="11" width="10" customWidth="1"/>
    <col min="12" max="12" width="11.8761061946903" customWidth="1"/>
    <col min="13" max="13" width="13.2477876106195" customWidth="1"/>
    <col min="14" max="14" width="13.929203539823" customWidth="1"/>
    <col min="15" max="15" width="12.6283185840708"/>
    <col min="16" max="16" width="8.3716814159292"/>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ht="60" customHeight="1" spans="1:14">
      <c r="A5" s="4">
        <v>1</v>
      </c>
      <c r="B5" s="4" t="s">
        <v>355</v>
      </c>
      <c r="C5" s="4" t="s">
        <v>356</v>
      </c>
      <c r="D5" s="8" t="s">
        <v>357</v>
      </c>
      <c r="E5" s="4" t="s">
        <v>55</v>
      </c>
      <c r="F5" s="4">
        <v>366</v>
      </c>
      <c r="G5" s="9">
        <v>125715.96</v>
      </c>
      <c r="H5" s="9">
        <v>4835.23</v>
      </c>
      <c r="I5" s="9">
        <v>1611.74</v>
      </c>
      <c r="J5" s="9">
        <v>6446.97</v>
      </c>
      <c r="K5" s="9">
        <v>4835.23</v>
      </c>
      <c r="L5" s="9">
        <v>17729.17</v>
      </c>
      <c r="M5" s="9">
        <v>14505.69</v>
      </c>
      <c r="N5" s="16">
        <f t="shared" ref="N5:N68" si="0">SUM(G5:M5)</f>
        <v>175679.99</v>
      </c>
    </row>
    <row r="6" ht="60" customHeight="1" spans="1:14">
      <c r="A6" s="4">
        <v>2</v>
      </c>
      <c r="B6" s="4" t="s">
        <v>358</v>
      </c>
      <c r="C6" s="4" t="s">
        <v>359</v>
      </c>
      <c r="D6" s="8" t="s">
        <v>360</v>
      </c>
      <c r="E6" s="4" t="s">
        <v>55</v>
      </c>
      <c r="F6" s="4">
        <v>90</v>
      </c>
      <c r="G6" s="9">
        <v>32201.83</v>
      </c>
      <c r="H6" s="9">
        <v>1238.53</v>
      </c>
      <c r="I6" s="9">
        <v>412.84</v>
      </c>
      <c r="J6" s="9">
        <v>1651.38</v>
      </c>
      <c r="K6" s="9">
        <v>1238.53</v>
      </c>
      <c r="L6" s="9">
        <v>4541.28</v>
      </c>
      <c r="M6" s="9">
        <v>3715.6</v>
      </c>
      <c r="N6" s="16">
        <f t="shared" si="0"/>
        <v>44999.99</v>
      </c>
    </row>
    <row r="7" ht="45" customHeight="1" spans="1:14">
      <c r="A7" s="4">
        <v>3</v>
      </c>
      <c r="B7" s="4" t="s">
        <v>361</v>
      </c>
      <c r="C7" s="4" t="s">
        <v>362</v>
      </c>
      <c r="D7" s="8" t="s">
        <v>363</v>
      </c>
      <c r="E7" s="4" t="s">
        <v>55</v>
      </c>
      <c r="F7" s="4">
        <v>37</v>
      </c>
      <c r="G7" s="9">
        <v>12708.99</v>
      </c>
      <c r="H7" s="9">
        <v>488.81</v>
      </c>
      <c r="I7" s="9">
        <v>162.94</v>
      </c>
      <c r="J7" s="9">
        <v>651.74</v>
      </c>
      <c r="K7" s="9">
        <v>488.81</v>
      </c>
      <c r="L7" s="9">
        <v>1792.29</v>
      </c>
      <c r="M7" s="9">
        <v>1466.42</v>
      </c>
      <c r="N7" s="16">
        <f t="shared" si="0"/>
        <v>17760</v>
      </c>
    </row>
    <row r="8" ht="45" customHeight="1" spans="1:14">
      <c r="A8" s="4">
        <v>4</v>
      </c>
      <c r="B8" s="4" t="s">
        <v>364</v>
      </c>
      <c r="C8" s="4" t="s">
        <v>365</v>
      </c>
      <c r="D8" s="8" t="s">
        <v>366</v>
      </c>
      <c r="E8" s="4" t="s">
        <v>55</v>
      </c>
      <c r="F8" s="4">
        <v>127</v>
      </c>
      <c r="G8" s="9">
        <v>885.5</v>
      </c>
      <c r="H8" s="9">
        <v>233.03</v>
      </c>
      <c r="I8" s="9">
        <v>116.51</v>
      </c>
      <c r="J8" s="9">
        <v>652.48</v>
      </c>
      <c r="K8" s="9">
        <v>186.42</v>
      </c>
      <c r="L8" s="9">
        <v>256.33</v>
      </c>
      <c r="M8" s="9">
        <v>209.72</v>
      </c>
      <c r="N8" s="16">
        <f t="shared" si="0"/>
        <v>2539.99</v>
      </c>
    </row>
    <row r="9" ht="25" customHeight="1" spans="1:14">
      <c r="A9" s="11" t="s">
        <v>50</v>
      </c>
      <c r="B9" s="12"/>
      <c r="C9" s="11"/>
      <c r="D9" s="13"/>
      <c r="E9" s="12"/>
      <c r="F9" s="11"/>
      <c r="G9" s="14"/>
      <c r="H9" s="14"/>
      <c r="I9" s="14"/>
      <c r="J9" s="14"/>
      <c r="K9" s="14"/>
      <c r="L9" s="14"/>
      <c r="M9" s="14"/>
      <c r="N9" s="14">
        <f>SUM(N5:N8)</f>
        <v>240979.97</v>
      </c>
    </row>
    <row r="10" ht="60" customHeight="1" spans="1:14">
      <c r="A10" s="4">
        <v>5</v>
      </c>
      <c r="B10" s="4" t="s">
        <v>367</v>
      </c>
      <c r="C10" s="4" t="s">
        <v>368</v>
      </c>
      <c r="D10" s="8" t="s">
        <v>369</v>
      </c>
      <c r="E10" s="4" t="s">
        <v>55</v>
      </c>
      <c r="F10" s="4">
        <v>10</v>
      </c>
      <c r="G10" s="9">
        <v>3577.98</v>
      </c>
      <c r="H10" s="9">
        <v>137.61</v>
      </c>
      <c r="I10" s="9">
        <v>45.87</v>
      </c>
      <c r="J10" s="9">
        <v>183.49</v>
      </c>
      <c r="K10" s="9">
        <v>137.61</v>
      </c>
      <c r="L10" s="9">
        <v>504.59</v>
      </c>
      <c r="M10" s="9">
        <v>412.84</v>
      </c>
      <c r="N10" s="16">
        <f t="shared" si="0"/>
        <v>4999.99</v>
      </c>
    </row>
    <row r="11" ht="60" customHeight="1" spans="1:14">
      <c r="A11" s="4">
        <v>6</v>
      </c>
      <c r="B11" s="4" t="s">
        <v>370</v>
      </c>
      <c r="C11" s="4" t="s">
        <v>371</v>
      </c>
      <c r="D11" s="8" t="s">
        <v>372</v>
      </c>
      <c r="E11" s="4" t="s">
        <v>55</v>
      </c>
      <c r="F11" s="4">
        <v>9</v>
      </c>
      <c r="G11" s="9">
        <v>30913.76</v>
      </c>
      <c r="H11" s="9">
        <v>1188.99</v>
      </c>
      <c r="I11" s="9">
        <v>396.33</v>
      </c>
      <c r="J11" s="9">
        <v>1585.32</v>
      </c>
      <c r="K11" s="9">
        <v>1188.99</v>
      </c>
      <c r="L11" s="9">
        <v>4359.63</v>
      </c>
      <c r="M11" s="9">
        <v>3566.97</v>
      </c>
      <c r="N11" s="16">
        <f t="shared" si="0"/>
        <v>43199.99</v>
      </c>
    </row>
    <row r="12" ht="45" customHeight="1" spans="1:14">
      <c r="A12" s="4">
        <v>7</v>
      </c>
      <c r="B12" s="4" t="s">
        <v>373</v>
      </c>
      <c r="C12" s="4" t="s">
        <v>374</v>
      </c>
      <c r="D12" s="8" t="s">
        <v>375</v>
      </c>
      <c r="E12" s="4" t="s">
        <v>66</v>
      </c>
      <c r="F12" s="4">
        <v>1</v>
      </c>
      <c r="G12" s="9">
        <v>990.83</v>
      </c>
      <c r="H12" s="9">
        <v>82.57</v>
      </c>
      <c r="I12" s="9">
        <v>33.03</v>
      </c>
      <c r="J12" s="9">
        <v>247.71</v>
      </c>
      <c r="K12" s="9">
        <v>115.6</v>
      </c>
      <c r="L12" s="9">
        <v>181.65</v>
      </c>
      <c r="M12" s="9">
        <v>148.62</v>
      </c>
      <c r="N12" s="16">
        <f t="shared" si="0"/>
        <v>1800.01</v>
      </c>
    </row>
    <row r="13" ht="72" customHeight="1" spans="1:14">
      <c r="A13" s="4">
        <v>8</v>
      </c>
      <c r="B13" s="4" t="s">
        <v>376</v>
      </c>
      <c r="C13" s="4" t="s">
        <v>343</v>
      </c>
      <c r="D13" s="8" t="s">
        <v>377</v>
      </c>
      <c r="E13" s="4" t="s">
        <v>55</v>
      </c>
      <c r="F13" s="4">
        <v>35</v>
      </c>
      <c r="G13" s="9">
        <v>60110.09</v>
      </c>
      <c r="H13" s="9">
        <v>2311.93</v>
      </c>
      <c r="I13" s="9">
        <v>770.64</v>
      </c>
      <c r="J13" s="9">
        <v>3082.57</v>
      </c>
      <c r="K13" s="9">
        <v>2311.93</v>
      </c>
      <c r="L13" s="9">
        <v>8477.06</v>
      </c>
      <c r="M13" s="9">
        <v>6935.78</v>
      </c>
      <c r="N13" s="16">
        <f t="shared" si="0"/>
        <v>84000</v>
      </c>
    </row>
    <row r="14" ht="25" customHeight="1" spans="1:14">
      <c r="A14" s="11" t="s">
        <v>50</v>
      </c>
      <c r="B14" s="12"/>
      <c r="C14" s="11"/>
      <c r="D14" s="13"/>
      <c r="E14" s="12"/>
      <c r="F14" s="11"/>
      <c r="G14" s="14"/>
      <c r="H14" s="14"/>
      <c r="I14" s="14"/>
      <c r="J14" s="14"/>
      <c r="K14" s="14"/>
      <c r="L14" s="14"/>
      <c r="M14" s="14"/>
      <c r="N14" s="14">
        <f>SUM(N10:N13)</f>
        <v>133999.99</v>
      </c>
    </row>
    <row r="15" ht="70" customHeight="1" spans="1:14">
      <c r="A15" s="4">
        <v>9</v>
      </c>
      <c r="B15" s="4" t="s">
        <v>378</v>
      </c>
      <c r="C15" s="4" t="s">
        <v>379</v>
      </c>
      <c r="D15" s="8" t="s">
        <v>380</v>
      </c>
      <c r="E15" s="4" t="s">
        <v>55</v>
      </c>
      <c r="F15" s="4">
        <v>14</v>
      </c>
      <c r="G15" s="9">
        <v>18033.03</v>
      </c>
      <c r="H15" s="9">
        <v>693.58</v>
      </c>
      <c r="I15" s="9">
        <v>231.19</v>
      </c>
      <c r="J15" s="9">
        <v>924.77</v>
      </c>
      <c r="K15" s="9">
        <v>693.58</v>
      </c>
      <c r="L15" s="9">
        <v>2543.12</v>
      </c>
      <c r="M15" s="9">
        <v>2080.73</v>
      </c>
      <c r="N15" s="16">
        <f t="shared" si="0"/>
        <v>25200</v>
      </c>
    </row>
    <row r="16" ht="60" customHeight="1" spans="1:14">
      <c r="A16" s="4">
        <v>10</v>
      </c>
      <c r="B16" s="4" t="s">
        <v>381</v>
      </c>
      <c r="C16" s="4" t="s">
        <v>379</v>
      </c>
      <c r="D16" s="8" t="s">
        <v>382</v>
      </c>
      <c r="E16" s="4" t="s">
        <v>55</v>
      </c>
      <c r="F16" s="4">
        <v>3</v>
      </c>
      <c r="G16" s="9">
        <v>6011.01</v>
      </c>
      <c r="H16" s="9">
        <v>231.19</v>
      </c>
      <c r="I16" s="9">
        <v>77.06</v>
      </c>
      <c r="J16" s="9">
        <v>308.26</v>
      </c>
      <c r="K16" s="9">
        <v>231.19</v>
      </c>
      <c r="L16" s="9">
        <v>847.71</v>
      </c>
      <c r="M16" s="9">
        <v>693.58</v>
      </c>
      <c r="N16" s="16">
        <f t="shared" si="0"/>
        <v>8400</v>
      </c>
    </row>
    <row r="17" ht="45" customHeight="1" spans="1:14">
      <c r="A17" s="4">
        <v>11</v>
      </c>
      <c r="B17" s="4" t="s">
        <v>383</v>
      </c>
      <c r="C17" s="4" t="s">
        <v>384</v>
      </c>
      <c r="D17" s="8" t="s">
        <v>385</v>
      </c>
      <c r="E17" s="4" t="s">
        <v>93</v>
      </c>
      <c r="F17" s="4">
        <v>5</v>
      </c>
      <c r="G17" s="9">
        <v>963.3</v>
      </c>
      <c r="H17" s="9">
        <v>80.28</v>
      </c>
      <c r="I17" s="9">
        <v>32.11</v>
      </c>
      <c r="J17" s="9">
        <v>240.83</v>
      </c>
      <c r="K17" s="9">
        <v>112.39</v>
      </c>
      <c r="L17" s="9">
        <v>176.61</v>
      </c>
      <c r="M17" s="9">
        <v>144.5</v>
      </c>
      <c r="N17" s="16">
        <f t="shared" si="0"/>
        <v>1750.02</v>
      </c>
    </row>
    <row r="18" ht="25" customHeight="1" spans="1:14">
      <c r="A18" s="11" t="s">
        <v>50</v>
      </c>
      <c r="B18" s="12"/>
      <c r="C18" s="11"/>
      <c r="D18" s="13"/>
      <c r="E18" s="12"/>
      <c r="F18" s="11"/>
      <c r="G18" s="14"/>
      <c r="H18" s="14"/>
      <c r="I18" s="14"/>
      <c r="J18" s="14"/>
      <c r="K18" s="14"/>
      <c r="L18" s="14"/>
      <c r="M18" s="14"/>
      <c r="N18" s="14">
        <f>SUM(N15:N17)</f>
        <v>35350.02</v>
      </c>
    </row>
    <row r="19" ht="81" customHeight="1" spans="1:14">
      <c r="A19" s="4">
        <v>12</v>
      </c>
      <c r="B19" s="4" t="s">
        <v>386</v>
      </c>
      <c r="C19" s="4" t="s">
        <v>387</v>
      </c>
      <c r="D19" s="8" t="s">
        <v>388</v>
      </c>
      <c r="E19" s="4" t="s">
        <v>93</v>
      </c>
      <c r="F19" s="4">
        <v>56</v>
      </c>
      <c r="G19" s="9">
        <v>7413.58</v>
      </c>
      <c r="H19" s="9">
        <v>285.14</v>
      </c>
      <c r="I19" s="9">
        <v>95.05</v>
      </c>
      <c r="J19" s="9">
        <v>380.18</v>
      </c>
      <c r="K19" s="9">
        <v>285.14</v>
      </c>
      <c r="L19" s="9">
        <v>1045.5</v>
      </c>
      <c r="M19" s="9">
        <v>855.41</v>
      </c>
      <c r="N19" s="16">
        <f t="shared" si="0"/>
        <v>10360</v>
      </c>
    </row>
    <row r="20" ht="45" customHeight="1" spans="1:14">
      <c r="A20" s="4">
        <v>13</v>
      </c>
      <c r="B20" s="4" t="s">
        <v>389</v>
      </c>
      <c r="C20" s="4" t="s">
        <v>390</v>
      </c>
      <c r="D20" s="8" t="s">
        <v>391</v>
      </c>
      <c r="E20" s="4" t="s">
        <v>47</v>
      </c>
      <c r="F20" s="4">
        <v>4756.07</v>
      </c>
      <c r="G20" s="9">
        <v>13613.7</v>
      </c>
      <c r="H20" s="9">
        <v>523.6</v>
      </c>
      <c r="I20" s="9">
        <v>174.53</v>
      </c>
      <c r="J20" s="9">
        <v>698.14</v>
      </c>
      <c r="K20" s="9">
        <v>523.6</v>
      </c>
      <c r="L20" s="9">
        <v>1919.88</v>
      </c>
      <c r="M20" s="9">
        <v>1570.81</v>
      </c>
      <c r="N20" s="16">
        <f t="shared" si="0"/>
        <v>19024.26</v>
      </c>
    </row>
    <row r="21" ht="45" customHeight="1" spans="1:14">
      <c r="A21" s="4">
        <v>14</v>
      </c>
      <c r="B21" s="4" t="s">
        <v>392</v>
      </c>
      <c r="C21" s="4" t="s">
        <v>393</v>
      </c>
      <c r="D21" s="8" t="s">
        <v>394</v>
      </c>
      <c r="E21" s="4" t="s">
        <v>395</v>
      </c>
      <c r="F21" s="4">
        <v>480</v>
      </c>
      <c r="G21" s="9">
        <v>5152.29</v>
      </c>
      <c r="H21" s="9">
        <v>198.17</v>
      </c>
      <c r="I21" s="9">
        <v>66.06</v>
      </c>
      <c r="J21" s="9">
        <v>264.22</v>
      </c>
      <c r="K21" s="9">
        <v>198.17</v>
      </c>
      <c r="L21" s="9">
        <v>726.61</v>
      </c>
      <c r="M21" s="9">
        <v>594.5</v>
      </c>
      <c r="N21" s="16">
        <f t="shared" si="0"/>
        <v>7200.02</v>
      </c>
    </row>
    <row r="22" ht="45" customHeight="1" spans="1:14">
      <c r="A22" s="4">
        <v>15</v>
      </c>
      <c r="B22" s="4" t="s">
        <v>396</v>
      </c>
      <c r="C22" s="4" t="s">
        <v>168</v>
      </c>
      <c r="D22" s="8" t="s">
        <v>397</v>
      </c>
      <c r="E22" s="4" t="s">
        <v>47</v>
      </c>
      <c r="F22" s="4">
        <v>1433.39</v>
      </c>
      <c r="G22" s="9">
        <v>49234.97</v>
      </c>
      <c r="H22" s="9">
        <v>1893.65</v>
      </c>
      <c r="I22" s="9">
        <v>631.22</v>
      </c>
      <c r="J22" s="9">
        <v>2524.87</v>
      </c>
      <c r="K22" s="9">
        <v>1893.65</v>
      </c>
      <c r="L22" s="9">
        <v>6943.39</v>
      </c>
      <c r="M22" s="9">
        <v>5680.96</v>
      </c>
      <c r="N22" s="16">
        <f t="shared" si="0"/>
        <v>68802.71</v>
      </c>
    </row>
    <row r="23" ht="25" customHeight="1" spans="1:14">
      <c r="A23" s="11" t="s">
        <v>50</v>
      </c>
      <c r="B23" s="12"/>
      <c r="C23" s="11"/>
      <c r="D23" s="13"/>
      <c r="E23" s="12"/>
      <c r="F23" s="11"/>
      <c r="G23" s="14"/>
      <c r="H23" s="14"/>
      <c r="I23" s="14"/>
      <c r="J23" s="14"/>
      <c r="K23" s="14"/>
      <c r="L23" s="14"/>
      <c r="M23" s="14"/>
      <c r="N23" s="14">
        <f>SUM(N19:N22)</f>
        <v>105386.99</v>
      </c>
    </row>
    <row r="24" ht="45" customHeight="1" spans="1:14">
      <c r="A24" s="4">
        <v>16</v>
      </c>
      <c r="B24" s="4" t="s">
        <v>398</v>
      </c>
      <c r="C24" s="4" t="s">
        <v>168</v>
      </c>
      <c r="D24" s="8" t="s">
        <v>399</v>
      </c>
      <c r="E24" s="4" t="s">
        <v>47</v>
      </c>
      <c r="F24" s="4">
        <v>63.67</v>
      </c>
      <c r="G24" s="9">
        <v>2050.29</v>
      </c>
      <c r="H24" s="9">
        <v>78.86</v>
      </c>
      <c r="I24" s="9">
        <v>26.29</v>
      </c>
      <c r="J24" s="9">
        <v>105.14</v>
      </c>
      <c r="K24" s="9">
        <v>78.86</v>
      </c>
      <c r="L24" s="9">
        <v>289.14</v>
      </c>
      <c r="M24" s="9">
        <v>236.57</v>
      </c>
      <c r="N24" s="16">
        <f t="shared" si="0"/>
        <v>2865.15</v>
      </c>
    </row>
    <row r="25" ht="45" customHeight="1" spans="1:14">
      <c r="A25" s="4">
        <v>17</v>
      </c>
      <c r="B25" s="4" t="s">
        <v>400</v>
      </c>
      <c r="C25" s="4" t="s">
        <v>168</v>
      </c>
      <c r="D25" s="8" t="s">
        <v>401</v>
      </c>
      <c r="E25" s="4" t="s">
        <v>47</v>
      </c>
      <c r="F25" s="4">
        <v>1240.94</v>
      </c>
      <c r="G25" s="9">
        <v>33744.46</v>
      </c>
      <c r="H25" s="9">
        <v>1297.86</v>
      </c>
      <c r="I25" s="9">
        <v>432.62</v>
      </c>
      <c r="J25" s="9">
        <v>1730.49</v>
      </c>
      <c r="K25" s="9">
        <v>1297.86</v>
      </c>
      <c r="L25" s="9">
        <v>4758.83</v>
      </c>
      <c r="M25" s="9">
        <v>3893.59</v>
      </c>
      <c r="N25" s="16">
        <f t="shared" si="0"/>
        <v>47155.71</v>
      </c>
    </row>
    <row r="26" ht="45" customHeight="1" spans="1:14">
      <c r="A26" s="4">
        <v>18</v>
      </c>
      <c r="B26" s="4" t="s">
        <v>402</v>
      </c>
      <c r="C26" s="4" t="s">
        <v>168</v>
      </c>
      <c r="D26" s="8" t="s">
        <v>403</v>
      </c>
      <c r="E26" s="4" t="s">
        <v>47</v>
      </c>
      <c r="F26" s="4">
        <v>64.94</v>
      </c>
      <c r="G26" s="9">
        <v>1301.18</v>
      </c>
      <c r="H26" s="9">
        <v>50.05</v>
      </c>
      <c r="I26" s="9">
        <v>16.68</v>
      </c>
      <c r="J26" s="9">
        <v>66.73</v>
      </c>
      <c r="K26" s="9">
        <v>50.05</v>
      </c>
      <c r="L26" s="9">
        <v>183.5</v>
      </c>
      <c r="M26" s="9">
        <v>150.14</v>
      </c>
      <c r="N26" s="16">
        <f t="shared" si="0"/>
        <v>1818.33</v>
      </c>
    </row>
    <row r="27" ht="45" customHeight="1" spans="1:14">
      <c r="A27" s="4">
        <v>19</v>
      </c>
      <c r="B27" s="4" t="s">
        <v>404</v>
      </c>
      <c r="C27" s="4" t="s">
        <v>168</v>
      </c>
      <c r="D27" s="8" t="s">
        <v>405</v>
      </c>
      <c r="E27" s="4" t="s">
        <v>47</v>
      </c>
      <c r="F27" s="4">
        <v>78.59</v>
      </c>
      <c r="G27" s="9">
        <v>2699.46</v>
      </c>
      <c r="H27" s="9">
        <v>103.83</v>
      </c>
      <c r="I27" s="9">
        <v>34.61</v>
      </c>
      <c r="J27" s="9">
        <v>138.43</v>
      </c>
      <c r="K27" s="9">
        <v>103.83</v>
      </c>
      <c r="L27" s="9">
        <v>380.69</v>
      </c>
      <c r="M27" s="9">
        <v>311.48</v>
      </c>
      <c r="N27" s="16">
        <f t="shared" si="0"/>
        <v>3772.33</v>
      </c>
    </row>
    <row r="28" ht="45" customHeight="1" spans="1:14">
      <c r="A28" s="4">
        <v>20</v>
      </c>
      <c r="B28" s="4" t="s">
        <v>406</v>
      </c>
      <c r="C28" s="4" t="s">
        <v>168</v>
      </c>
      <c r="D28" s="8" t="s">
        <v>407</v>
      </c>
      <c r="E28" s="4" t="s">
        <v>47</v>
      </c>
      <c r="F28" s="4">
        <v>191.89</v>
      </c>
      <c r="G28" s="9">
        <v>6591.16</v>
      </c>
      <c r="H28" s="9">
        <v>253.51</v>
      </c>
      <c r="I28" s="9">
        <v>84.5</v>
      </c>
      <c r="J28" s="9">
        <v>338.01</v>
      </c>
      <c r="K28" s="9">
        <v>253.51</v>
      </c>
      <c r="L28" s="9">
        <v>929.52</v>
      </c>
      <c r="M28" s="9">
        <v>760.52</v>
      </c>
      <c r="N28" s="16">
        <f t="shared" si="0"/>
        <v>9210.73</v>
      </c>
    </row>
    <row r="29" ht="25" customHeight="1" spans="1:14">
      <c r="A29" s="11" t="s">
        <v>50</v>
      </c>
      <c r="B29" s="12"/>
      <c r="C29" s="11"/>
      <c r="D29" s="13"/>
      <c r="E29" s="12"/>
      <c r="F29" s="11"/>
      <c r="G29" s="14"/>
      <c r="H29" s="14"/>
      <c r="I29" s="14"/>
      <c r="J29" s="14"/>
      <c r="K29" s="14"/>
      <c r="L29" s="14"/>
      <c r="M29" s="14"/>
      <c r="N29" s="14">
        <f>SUM(N24:N28)</f>
        <v>64822.25</v>
      </c>
    </row>
    <row r="30" ht="45" customHeight="1" spans="1:14">
      <c r="A30" s="4">
        <v>21</v>
      </c>
      <c r="B30" s="4" t="s">
        <v>408</v>
      </c>
      <c r="C30" s="4" t="s">
        <v>168</v>
      </c>
      <c r="D30" s="8" t="s">
        <v>409</v>
      </c>
      <c r="E30" s="4" t="s">
        <v>47</v>
      </c>
      <c r="F30" s="4">
        <v>636.77</v>
      </c>
      <c r="G30" s="9">
        <v>12758.77</v>
      </c>
      <c r="H30" s="9">
        <v>490.72</v>
      </c>
      <c r="I30" s="9">
        <v>163.57</v>
      </c>
      <c r="J30" s="9">
        <v>654.3</v>
      </c>
      <c r="K30" s="9">
        <v>490.72</v>
      </c>
      <c r="L30" s="9">
        <v>1799.31</v>
      </c>
      <c r="M30" s="9">
        <v>1472.17</v>
      </c>
      <c r="N30" s="16">
        <f t="shared" si="0"/>
        <v>17829.56</v>
      </c>
    </row>
    <row r="31" ht="45" customHeight="1" spans="1:14">
      <c r="A31" s="4">
        <v>22</v>
      </c>
      <c r="B31" s="4" t="s">
        <v>410</v>
      </c>
      <c r="C31" s="4" t="s">
        <v>168</v>
      </c>
      <c r="D31" s="8" t="s">
        <v>411</v>
      </c>
      <c r="E31" s="4" t="s">
        <v>47</v>
      </c>
      <c r="F31" s="4">
        <v>387.65</v>
      </c>
      <c r="G31" s="9">
        <v>7212.42</v>
      </c>
      <c r="H31" s="9">
        <v>277.4</v>
      </c>
      <c r="I31" s="9">
        <v>92.47</v>
      </c>
      <c r="J31" s="9">
        <v>369.87</v>
      </c>
      <c r="K31" s="9">
        <v>277.4</v>
      </c>
      <c r="L31" s="9">
        <v>1017.14</v>
      </c>
      <c r="M31" s="9">
        <v>832.2</v>
      </c>
      <c r="N31" s="16">
        <f t="shared" si="0"/>
        <v>10078.9</v>
      </c>
    </row>
    <row r="32" ht="45" customHeight="1" spans="1:14">
      <c r="A32" s="4">
        <v>23</v>
      </c>
      <c r="B32" s="4" t="s">
        <v>412</v>
      </c>
      <c r="C32" s="4" t="s">
        <v>413</v>
      </c>
      <c r="D32" s="8" t="s">
        <v>414</v>
      </c>
      <c r="E32" s="4" t="s">
        <v>105</v>
      </c>
      <c r="F32" s="4">
        <v>4240.1</v>
      </c>
      <c r="G32" s="9">
        <v>19216.6</v>
      </c>
      <c r="H32" s="9">
        <v>5057</v>
      </c>
      <c r="I32" s="9">
        <v>2528.5</v>
      </c>
      <c r="J32" s="9">
        <v>14159.6</v>
      </c>
      <c r="K32" s="9">
        <v>4045.6</v>
      </c>
      <c r="L32" s="9">
        <v>5562.7</v>
      </c>
      <c r="M32" s="9">
        <v>4551.3</v>
      </c>
      <c r="N32" s="16">
        <f t="shared" si="0"/>
        <v>55121.3</v>
      </c>
    </row>
    <row r="33" ht="45" customHeight="1" spans="1:14">
      <c r="A33" s="4">
        <v>24</v>
      </c>
      <c r="B33" s="4" t="s">
        <v>415</v>
      </c>
      <c r="C33" s="4" t="s">
        <v>95</v>
      </c>
      <c r="D33" s="8" t="s">
        <v>281</v>
      </c>
      <c r="E33" s="4" t="s">
        <v>47</v>
      </c>
      <c r="F33" s="4">
        <v>1679.89</v>
      </c>
      <c r="G33" s="9">
        <v>2635.42</v>
      </c>
      <c r="H33" s="9">
        <v>693.53</v>
      </c>
      <c r="I33" s="9">
        <v>346.77</v>
      </c>
      <c r="J33" s="9">
        <v>1941.89</v>
      </c>
      <c r="K33" s="9">
        <v>554.83</v>
      </c>
      <c r="L33" s="9">
        <v>762.89</v>
      </c>
      <c r="M33" s="9">
        <v>624.18</v>
      </c>
      <c r="N33" s="16">
        <f t="shared" si="0"/>
        <v>7559.51</v>
      </c>
    </row>
    <row r="34" ht="25" customHeight="1" spans="1:14">
      <c r="A34" s="11" t="s">
        <v>50</v>
      </c>
      <c r="B34" s="12"/>
      <c r="C34" s="11"/>
      <c r="D34" s="13"/>
      <c r="E34" s="12"/>
      <c r="F34" s="11"/>
      <c r="G34" s="14"/>
      <c r="H34" s="14"/>
      <c r="I34" s="14"/>
      <c r="J34" s="14"/>
      <c r="K34" s="14"/>
      <c r="L34" s="14"/>
      <c r="M34" s="14"/>
      <c r="N34" s="14">
        <f>SUM(N30:N33)</f>
        <v>90589.27</v>
      </c>
    </row>
    <row r="35" ht="45" customHeight="1" spans="1:14">
      <c r="A35" s="4">
        <v>25</v>
      </c>
      <c r="B35" s="4" t="s">
        <v>416</v>
      </c>
      <c r="C35" s="4" t="s">
        <v>95</v>
      </c>
      <c r="D35" s="8" t="s">
        <v>283</v>
      </c>
      <c r="E35" s="4" t="s">
        <v>47</v>
      </c>
      <c r="F35" s="4">
        <v>248.85</v>
      </c>
      <c r="G35" s="9">
        <v>390.4</v>
      </c>
      <c r="H35" s="9">
        <v>102.74</v>
      </c>
      <c r="I35" s="9">
        <v>51.37</v>
      </c>
      <c r="J35" s="9">
        <v>287.66</v>
      </c>
      <c r="K35" s="9">
        <v>82.19</v>
      </c>
      <c r="L35" s="9">
        <v>113.01</v>
      </c>
      <c r="M35" s="9">
        <v>92.46</v>
      </c>
      <c r="N35" s="16">
        <f t="shared" si="0"/>
        <v>1119.83</v>
      </c>
    </row>
    <row r="36" ht="45" customHeight="1" spans="1:14">
      <c r="A36" s="4">
        <v>26</v>
      </c>
      <c r="B36" s="4" t="s">
        <v>417</v>
      </c>
      <c r="C36" s="4" t="s">
        <v>95</v>
      </c>
      <c r="D36" s="8" t="s">
        <v>418</v>
      </c>
      <c r="E36" s="4" t="s">
        <v>47</v>
      </c>
      <c r="F36" s="4">
        <v>155.05</v>
      </c>
      <c r="G36" s="9">
        <v>243.24</v>
      </c>
      <c r="H36" s="9">
        <v>64.01</v>
      </c>
      <c r="I36" s="9">
        <v>32.01</v>
      </c>
      <c r="J36" s="9">
        <v>179.23</v>
      </c>
      <c r="K36" s="9">
        <v>51.21</v>
      </c>
      <c r="L36" s="9">
        <v>70.41</v>
      </c>
      <c r="M36" s="9">
        <v>57.61</v>
      </c>
      <c r="N36" s="16">
        <f t="shared" si="0"/>
        <v>697.72</v>
      </c>
    </row>
    <row r="37" ht="45" customHeight="1" spans="1:14">
      <c r="A37" s="4">
        <v>27</v>
      </c>
      <c r="B37" s="4" t="s">
        <v>419</v>
      </c>
      <c r="C37" s="4" t="s">
        <v>100</v>
      </c>
      <c r="D37" s="8" t="s">
        <v>285</v>
      </c>
      <c r="E37" s="4" t="s">
        <v>47</v>
      </c>
      <c r="F37" s="4">
        <v>150</v>
      </c>
      <c r="G37" s="9">
        <v>577.98</v>
      </c>
      <c r="H37" s="9">
        <v>48.17</v>
      </c>
      <c r="I37" s="9">
        <v>19.27</v>
      </c>
      <c r="J37" s="9">
        <v>144.5</v>
      </c>
      <c r="K37" s="9">
        <v>67.43</v>
      </c>
      <c r="L37" s="9">
        <v>105.96</v>
      </c>
      <c r="M37" s="9">
        <v>86.7</v>
      </c>
      <c r="N37" s="16">
        <f t="shared" si="0"/>
        <v>1050.01</v>
      </c>
    </row>
    <row r="38" ht="45" customHeight="1" spans="1:14">
      <c r="A38" s="4">
        <v>28</v>
      </c>
      <c r="B38" s="4" t="s">
        <v>420</v>
      </c>
      <c r="C38" s="4" t="s">
        <v>103</v>
      </c>
      <c r="D38" s="8" t="s">
        <v>287</v>
      </c>
      <c r="E38" s="4" t="s">
        <v>105</v>
      </c>
      <c r="F38" s="4">
        <v>461.99</v>
      </c>
      <c r="G38" s="9">
        <v>773.09</v>
      </c>
      <c r="H38" s="9">
        <v>203.45</v>
      </c>
      <c r="I38" s="9">
        <v>101.72</v>
      </c>
      <c r="J38" s="9">
        <v>569.65</v>
      </c>
      <c r="K38" s="9">
        <v>162.76</v>
      </c>
      <c r="L38" s="9">
        <v>223.79</v>
      </c>
      <c r="M38" s="9">
        <v>183.1</v>
      </c>
      <c r="N38" s="16">
        <f t="shared" si="0"/>
        <v>2217.56</v>
      </c>
    </row>
    <row r="39" ht="45" customHeight="1" spans="1:14">
      <c r="A39" s="4">
        <v>29</v>
      </c>
      <c r="B39" s="4" t="s">
        <v>421</v>
      </c>
      <c r="C39" s="4" t="s">
        <v>110</v>
      </c>
      <c r="D39" s="8" t="s">
        <v>422</v>
      </c>
      <c r="E39" s="4" t="s">
        <v>47</v>
      </c>
      <c r="F39" s="4">
        <v>31930.62</v>
      </c>
      <c r="G39" s="9">
        <v>33395.33</v>
      </c>
      <c r="H39" s="9">
        <v>8788.24</v>
      </c>
      <c r="I39" s="9">
        <v>4394.12</v>
      </c>
      <c r="J39" s="9">
        <v>24607.08</v>
      </c>
      <c r="K39" s="9">
        <v>7030.6</v>
      </c>
      <c r="L39" s="9">
        <v>9667.07</v>
      </c>
      <c r="M39" s="9">
        <v>7909.42</v>
      </c>
      <c r="N39" s="16">
        <f t="shared" si="0"/>
        <v>95791.86</v>
      </c>
    </row>
    <row r="40" ht="25" customHeight="1" spans="1:14">
      <c r="A40" s="11" t="s">
        <v>50</v>
      </c>
      <c r="B40" s="12"/>
      <c r="C40" s="11"/>
      <c r="D40" s="13"/>
      <c r="E40" s="12"/>
      <c r="F40" s="11"/>
      <c r="G40" s="14"/>
      <c r="H40" s="14"/>
      <c r="I40" s="14"/>
      <c r="J40" s="14"/>
      <c r="K40" s="14"/>
      <c r="L40" s="14"/>
      <c r="M40" s="14"/>
      <c r="N40" s="14">
        <f>SUM(N35:N39)</f>
        <v>100876.98</v>
      </c>
    </row>
    <row r="41" ht="45" customHeight="1" spans="1:14">
      <c r="A41" s="4">
        <v>30</v>
      </c>
      <c r="B41" s="4" t="s">
        <v>423</v>
      </c>
      <c r="C41" s="4" t="s">
        <v>110</v>
      </c>
      <c r="D41" s="8" t="s">
        <v>424</v>
      </c>
      <c r="E41" s="4" t="s">
        <v>47</v>
      </c>
      <c r="F41" s="4">
        <v>2405.63</v>
      </c>
      <c r="G41" s="9">
        <v>2515.98</v>
      </c>
      <c r="H41" s="9">
        <v>662.1</v>
      </c>
      <c r="I41" s="9">
        <v>331.05</v>
      </c>
      <c r="J41" s="9">
        <v>1853.88</v>
      </c>
      <c r="K41" s="9">
        <v>529.68</v>
      </c>
      <c r="L41" s="9">
        <v>728.31</v>
      </c>
      <c r="M41" s="9">
        <v>595.89</v>
      </c>
      <c r="N41" s="16">
        <f t="shared" si="0"/>
        <v>7216.89</v>
      </c>
    </row>
    <row r="42" ht="45" customHeight="1" spans="1:14">
      <c r="A42" s="4">
        <v>31</v>
      </c>
      <c r="B42" s="4" t="s">
        <v>425</v>
      </c>
      <c r="C42" s="4" t="s">
        <v>45</v>
      </c>
      <c r="D42" s="8" t="s">
        <v>426</v>
      </c>
      <c r="E42" s="4" t="s">
        <v>47</v>
      </c>
      <c r="F42" s="4">
        <v>34336.25</v>
      </c>
      <c r="G42" s="9">
        <v>41896.53</v>
      </c>
      <c r="H42" s="9">
        <v>11025.4</v>
      </c>
      <c r="I42" s="9">
        <v>5512.7</v>
      </c>
      <c r="J42" s="9">
        <v>30871.12</v>
      </c>
      <c r="K42" s="9">
        <v>8820.32</v>
      </c>
      <c r="L42" s="9">
        <v>12127.94</v>
      </c>
      <c r="M42" s="9">
        <v>9922.86</v>
      </c>
      <c r="N42" s="16">
        <f t="shared" si="0"/>
        <v>120176.87</v>
      </c>
    </row>
    <row r="43" ht="45" customHeight="1" spans="1:14">
      <c r="A43" s="4">
        <v>32</v>
      </c>
      <c r="B43" s="4" t="s">
        <v>427</v>
      </c>
      <c r="C43" s="4" t="s">
        <v>91</v>
      </c>
      <c r="D43" s="8" t="s">
        <v>297</v>
      </c>
      <c r="E43" s="4" t="s">
        <v>93</v>
      </c>
      <c r="F43" s="4">
        <v>493</v>
      </c>
      <c r="G43" s="9">
        <v>2062.46</v>
      </c>
      <c r="H43" s="9">
        <v>542.75</v>
      </c>
      <c r="I43" s="9">
        <v>271.38</v>
      </c>
      <c r="J43" s="9">
        <v>1519.71</v>
      </c>
      <c r="K43" s="9">
        <v>434.2</v>
      </c>
      <c r="L43" s="9">
        <v>597.03</v>
      </c>
      <c r="M43" s="9">
        <v>488.48</v>
      </c>
      <c r="N43" s="16">
        <f t="shared" si="0"/>
        <v>5916.01</v>
      </c>
    </row>
    <row r="44" ht="45" customHeight="1" spans="1:14">
      <c r="A44" s="4">
        <v>33</v>
      </c>
      <c r="B44" s="4" t="s">
        <v>428</v>
      </c>
      <c r="C44" s="4" t="s">
        <v>277</v>
      </c>
      <c r="D44" s="8" t="s">
        <v>429</v>
      </c>
      <c r="E44" s="4" t="s">
        <v>62</v>
      </c>
      <c r="F44" s="4">
        <v>1</v>
      </c>
      <c r="G44" s="9">
        <v>2091.74</v>
      </c>
      <c r="H44" s="9">
        <v>550.46</v>
      </c>
      <c r="I44" s="9">
        <v>275.23</v>
      </c>
      <c r="J44" s="9">
        <v>1541.28</v>
      </c>
      <c r="K44" s="9">
        <v>440.37</v>
      </c>
      <c r="L44" s="9">
        <v>605.5</v>
      </c>
      <c r="M44" s="9">
        <v>495.41</v>
      </c>
      <c r="N44" s="16">
        <f t="shared" si="0"/>
        <v>5999.99</v>
      </c>
    </row>
    <row r="45" ht="45" customHeight="1" spans="1:14">
      <c r="A45" s="4">
        <v>34</v>
      </c>
      <c r="B45" s="4" t="s">
        <v>430</v>
      </c>
      <c r="C45" s="4" t="s">
        <v>431</v>
      </c>
      <c r="D45" s="8" t="s">
        <v>432</v>
      </c>
      <c r="E45" s="4" t="s">
        <v>62</v>
      </c>
      <c r="F45" s="4">
        <v>1</v>
      </c>
      <c r="G45" s="9">
        <v>1743.12</v>
      </c>
      <c r="H45" s="9">
        <v>458.72</v>
      </c>
      <c r="I45" s="9">
        <v>229.36</v>
      </c>
      <c r="J45" s="9">
        <v>1284.4</v>
      </c>
      <c r="K45" s="9">
        <v>366.97</v>
      </c>
      <c r="L45" s="9">
        <v>504.59</v>
      </c>
      <c r="M45" s="9">
        <v>412.84</v>
      </c>
      <c r="N45" s="16">
        <f t="shared" si="0"/>
        <v>5000</v>
      </c>
    </row>
    <row r="46" ht="25" customHeight="1" spans="1:14">
      <c r="A46" s="11" t="s">
        <v>50</v>
      </c>
      <c r="B46" s="12"/>
      <c r="C46" s="11"/>
      <c r="D46" s="13"/>
      <c r="E46" s="12"/>
      <c r="F46" s="11"/>
      <c r="G46" s="14"/>
      <c r="H46" s="14"/>
      <c r="I46" s="14"/>
      <c r="J46" s="14"/>
      <c r="K46" s="14"/>
      <c r="L46" s="14"/>
      <c r="M46" s="14"/>
      <c r="N46" s="14">
        <f>SUM(N41:N45)</f>
        <v>144309.76</v>
      </c>
    </row>
    <row r="47" ht="60" customHeight="1" spans="1:14">
      <c r="A47" s="4">
        <v>35</v>
      </c>
      <c r="B47" s="4" t="s">
        <v>433</v>
      </c>
      <c r="C47" s="4" t="s">
        <v>356</v>
      </c>
      <c r="D47" s="8" t="s">
        <v>357</v>
      </c>
      <c r="E47" s="4" t="s">
        <v>55</v>
      </c>
      <c r="F47" s="4">
        <v>92</v>
      </c>
      <c r="G47" s="9">
        <v>31600.73</v>
      </c>
      <c r="H47" s="9">
        <v>1215.41</v>
      </c>
      <c r="I47" s="9">
        <v>405.14</v>
      </c>
      <c r="J47" s="9">
        <v>1620.55</v>
      </c>
      <c r="K47" s="9">
        <v>1215.41</v>
      </c>
      <c r="L47" s="9">
        <v>4456.51</v>
      </c>
      <c r="M47" s="9">
        <v>3646.24</v>
      </c>
      <c r="N47" s="16">
        <f t="shared" si="0"/>
        <v>44159.99</v>
      </c>
    </row>
    <row r="48" ht="60" customHeight="1" spans="1:14">
      <c r="A48" s="4">
        <v>36</v>
      </c>
      <c r="B48" s="4" t="s">
        <v>434</v>
      </c>
      <c r="C48" s="4" t="s">
        <v>359</v>
      </c>
      <c r="D48" s="8" t="s">
        <v>360</v>
      </c>
      <c r="E48" s="4" t="s">
        <v>55</v>
      </c>
      <c r="F48" s="4">
        <v>51</v>
      </c>
      <c r="G48" s="9">
        <v>18247.71</v>
      </c>
      <c r="H48" s="9">
        <v>701.83</v>
      </c>
      <c r="I48" s="9">
        <v>233.94</v>
      </c>
      <c r="J48" s="9">
        <v>935.78</v>
      </c>
      <c r="K48" s="9">
        <v>701.83</v>
      </c>
      <c r="L48" s="9">
        <v>2573.39</v>
      </c>
      <c r="M48" s="9">
        <v>2105.5</v>
      </c>
      <c r="N48" s="16">
        <f t="shared" si="0"/>
        <v>25499.98</v>
      </c>
    </row>
    <row r="49" ht="60" customHeight="1" spans="1:14">
      <c r="A49" s="4">
        <v>37</v>
      </c>
      <c r="B49" s="4" t="s">
        <v>435</v>
      </c>
      <c r="C49" s="4" t="s">
        <v>362</v>
      </c>
      <c r="D49" s="8" t="s">
        <v>436</v>
      </c>
      <c r="E49" s="4" t="s">
        <v>55</v>
      </c>
      <c r="F49" s="4">
        <v>21</v>
      </c>
      <c r="G49" s="9">
        <v>7213.21</v>
      </c>
      <c r="H49" s="9">
        <v>277.43</v>
      </c>
      <c r="I49" s="9">
        <v>92.48</v>
      </c>
      <c r="J49" s="9">
        <v>369.91</v>
      </c>
      <c r="K49" s="9">
        <v>277.43</v>
      </c>
      <c r="L49" s="9">
        <v>1017.25</v>
      </c>
      <c r="M49" s="9">
        <v>832.29</v>
      </c>
      <c r="N49" s="16">
        <f t="shared" si="0"/>
        <v>10080</v>
      </c>
    </row>
    <row r="50" ht="60" customHeight="1" spans="1:14">
      <c r="A50" s="4">
        <v>38</v>
      </c>
      <c r="B50" s="4" t="s">
        <v>437</v>
      </c>
      <c r="C50" s="4" t="s">
        <v>371</v>
      </c>
      <c r="D50" s="8" t="s">
        <v>372</v>
      </c>
      <c r="E50" s="4" t="s">
        <v>55</v>
      </c>
      <c r="F50" s="4">
        <v>5</v>
      </c>
      <c r="G50" s="9">
        <v>17174.31</v>
      </c>
      <c r="H50" s="9">
        <v>660.55</v>
      </c>
      <c r="I50" s="9">
        <v>220.18</v>
      </c>
      <c r="J50" s="9">
        <v>880.73</v>
      </c>
      <c r="K50" s="9">
        <v>660.55</v>
      </c>
      <c r="L50" s="9">
        <v>2422.02</v>
      </c>
      <c r="M50" s="9">
        <v>1981.65</v>
      </c>
      <c r="N50" s="16">
        <f t="shared" si="0"/>
        <v>23999.99</v>
      </c>
    </row>
    <row r="51" ht="25" customHeight="1" spans="1:14">
      <c r="A51" s="11" t="s">
        <v>50</v>
      </c>
      <c r="B51" s="12"/>
      <c r="C51" s="11"/>
      <c r="D51" s="13"/>
      <c r="E51" s="12"/>
      <c r="F51" s="11"/>
      <c r="G51" s="14"/>
      <c r="H51" s="14"/>
      <c r="I51" s="14"/>
      <c r="J51" s="14"/>
      <c r="K51" s="14"/>
      <c r="L51" s="14"/>
      <c r="M51" s="14"/>
      <c r="N51" s="14">
        <f>SUM(N47:N50)</f>
        <v>103739.96</v>
      </c>
    </row>
    <row r="52" ht="45" customHeight="1" spans="1:14">
      <c r="A52" s="4">
        <v>39</v>
      </c>
      <c r="B52" s="4" t="s">
        <v>438</v>
      </c>
      <c r="C52" s="4" t="s">
        <v>365</v>
      </c>
      <c r="D52" s="8" t="s">
        <v>366</v>
      </c>
      <c r="E52" s="4" t="s">
        <v>55</v>
      </c>
      <c r="F52" s="4">
        <v>72</v>
      </c>
      <c r="G52" s="9">
        <v>502.02</v>
      </c>
      <c r="H52" s="9">
        <v>132.11</v>
      </c>
      <c r="I52" s="9">
        <v>66.06</v>
      </c>
      <c r="J52" s="9">
        <v>369.91</v>
      </c>
      <c r="K52" s="9">
        <v>105.69</v>
      </c>
      <c r="L52" s="9">
        <v>145.32</v>
      </c>
      <c r="M52" s="9">
        <v>118.9</v>
      </c>
      <c r="N52" s="16">
        <f t="shared" si="0"/>
        <v>1440.01</v>
      </c>
    </row>
    <row r="53" ht="61" customHeight="1" spans="1:14">
      <c r="A53" s="4">
        <v>40</v>
      </c>
      <c r="B53" s="4" t="s">
        <v>439</v>
      </c>
      <c r="C53" s="4" t="s">
        <v>368</v>
      </c>
      <c r="D53" s="8" t="s">
        <v>440</v>
      </c>
      <c r="E53" s="4" t="s">
        <v>55</v>
      </c>
      <c r="F53" s="4">
        <v>4</v>
      </c>
      <c r="G53" s="9">
        <v>1854.83</v>
      </c>
      <c r="H53" s="9">
        <v>71.34</v>
      </c>
      <c r="I53" s="9">
        <v>23.78</v>
      </c>
      <c r="J53" s="9">
        <v>95.12</v>
      </c>
      <c r="K53" s="9">
        <v>71.34</v>
      </c>
      <c r="L53" s="9">
        <v>261.58</v>
      </c>
      <c r="M53" s="9">
        <v>214.02</v>
      </c>
      <c r="N53" s="16">
        <f t="shared" si="0"/>
        <v>2592.01</v>
      </c>
    </row>
    <row r="54" ht="141" customHeight="1" spans="1:14">
      <c r="A54" s="4">
        <v>41</v>
      </c>
      <c r="B54" s="4" t="s">
        <v>441</v>
      </c>
      <c r="C54" s="4" t="s">
        <v>442</v>
      </c>
      <c r="D54" s="8" t="s">
        <v>443</v>
      </c>
      <c r="E54" s="4" t="s">
        <v>55</v>
      </c>
      <c r="F54" s="4">
        <v>10</v>
      </c>
      <c r="G54" s="9">
        <v>200366.97</v>
      </c>
      <c r="H54" s="9">
        <v>7706.42</v>
      </c>
      <c r="I54" s="9">
        <v>2568.81</v>
      </c>
      <c r="J54" s="9">
        <v>10275.23</v>
      </c>
      <c r="K54" s="9">
        <v>7706.42</v>
      </c>
      <c r="L54" s="9">
        <v>28256.88</v>
      </c>
      <c r="M54" s="9">
        <v>23119.27</v>
      </c>
      <c r="N54" s="16">
        <f t="shared" si="0"/>
        <v>280000</v>
      </c>
    </row>
    <row r="55" ht="25" customHeight="1" spans="1:14">
      <c r="A55" s="11" t="s">
        <v>50</v>
      </c>
      <c r="B55" s="12"/>
      <c r="C55" s="11"/>
      <c r="D55" s="13"/>
      <c r="E55" s="12"/>
      <c r="F55" s="11"/>
      <c r="G55" s="14"/>
      <c r="H55" s="14"/>
      <c r="I55" s="14"/>
      <c r="J55" s="14"/>
      <c r="K55" s="14"/>
      <c r="L55" s="14"/>
      <c r="M55" s="14"/>
      <c r="N55" s="14">
        <f>SUM(N52:N54)</f>
        <v>284032.02</v>
      </c>
    </row>
    <row r="56" s="20" customFormat="1" ht="60" customHeight="1" spans="1:14">
      <c r="A56" s="21">
        <v>42</v>
      </c>
      <c r="B56" s="27" t="s">
        <v>444</v>
      </c>
      <c r="C56" s="27" t="s">
        <v>445</v>
      </c>
      <c r="D56" s="39" t="s">
        <v>446</v>
      </c>
      <c r="E56" s="27" t="s">
        <v>55</v>
      </c>
      <c r="F56" s="27">
        <v>480</v>
      </c>
      <c r="G56" s="23">
        <v>1808455.0419</v>
      </c>
      <c r="H56" s="23">
        <v>69555.9618</v>
      </c>
      <c r="I56" s="23">
        <v>23185.3167</v>
      </c>
      <c r="J56" s="23">
        <v>92741.2902</v>
      </c>
      <c r="K56" s="23">
        <v>69555.9618</v>
      </c>
      <c r="L56" s="23">
        <v>255038.5305</v>
      </c>
      <c r="M56" s="23">
        <v>208667.8854</v>
      </c>
      <c r="N56" s="44">
        <f t="shared" si="0"/>
        <v>2527199.9883</v>
      </c>
    </row>
    <row r="57" ht="45" customHeight="1" spans="1:14">
      <c r="A57" s="4">
        <v>43</v>
      </c>
      <c r="B57" s="4" t="s">
        <v>447</v>
      </c>
      <c r="C57" s="4" t="s">
        <v>374</v>
      </c>
      <c r="D57" s="8" t="s">
        <v>448</v>
      </c>
      <c r="E57" s="4" t="s">
        <v>157</v>
      </c>
      <c r="F57" s="4">
        <v>2</v>
      </c>
      <c r="G57" s="9">
        <v>165.14</v>
      </c>
      <c r="H57" s="9">
        <v>13.76</v>
      </c>
      <c r="I57" s="9">
        <v>5.5</v>
      </c>
      <c r="J57" s="9">
        <v>41.28</v>
      </c>
      <c r="K57" s="9">
        <v>19.27</v>
      </c>
      <c r="L57" s="9">
        <v>30.28</v>
      </c>
      <c r="M57" s="9">
        <v>24.77</v>
      </c>
      <c r="N57" s="16">
        <f t="shared" si="0"/>
        <v>300</v>
      </c>
    </row>
    <row r="58" ht="45" customHeight="1" spans="1:14">
      <c r="A58" s="4">
        <v>44</v>
      </c>
      <c r="B58" s="4" t="s">
        <v>449</v>
      </c>
      <c r="C58" s="4" t="s">
        <v>450</v>
      </c>
      <c r="D58" s="8" t="s">
        <v>451</v>
      </c>
      <c r="E58" s="4" t="s">
        <v>55</v>
      </c>
      <c r="F58" s="4">
        <v>2</v>
      </c>
      <c r="G58" s="9">
        <v>64403.67</v>
      </c>
      <c r="H58" s="9">
        <v>2477.06</v>
      </c>
      <c r="I58" s="9">
        <v>825.69</v>
      </c>
      <c r="J58" s="9">
        <v>3302.75</v>
      </c>
      <c r="K58" s="9">
        <v>2477.06</v>
      </c>
      <c r="L58" s="9">
        <v>9082.57</v>
      </c>
      <c r="M58" s="9">
        <v>7431.19</v>
      </c>
      <c r="N58" s="16">
        <f t="shared" si="0"/>
        <v>89999.99</v>
      </c>
    </row>
    <row r="59" ht="77" customHeight="1" spans="1:14">
      <c r="A59" s="4">
        <v>45</v>
      </c>
      <c r="B59" s="4" t="s">
        <v>452</v>
      </c>
      <c r="C59" s="4" t="s">
        <v>453</v>
      </c>
      <c r="D59" s="8" t="s">
        <v>454</v>
      </c>
      <c r="E59" s="4" t="s">
        <v>55</v>
      </c>
      <c r="F59" s="4">
        <v>2</v>
      </c>
      <c r="G59" s="9">
        <v>6165.14</v>
      </c>
      <c r="H59" s="9">
        <v>513.76</v>
      </c>
      <c r="I59" s="9">
        <v>205.5</v>
      </c>
      <c r="J59" s="9">
        <v>1541.28</v>
      </c>
      <c r="K59" s="9">
        <v>719.27</v>
      </c>
      <c r="L59" s="9">
        <v>1130.28</v>
      </c>
      <c r="M59" s="9">
        <v>924.77</v>
      </c>
      <c r="N59" s="16">
        <f t="shared" si="0"/>
        <v>11200</v>
      </c>
    </row>
    <row r="60" ht="25" customHeight="1" spans="1:14">
      <c r="A60" s="11" t="s">
        <v>50</v>
      </c>
      <c r="B60" s="12"/>
      <c r="C60" s="11"/>
      <c r="D60" s="13"/>
      <c r="E60" s="12"/>
      <c r="F60" s="11"/>
      <c r="G60" s="14"/>
      <c r="H60" s="14"/>
      <c r="I60" s="14"/>
      <c r="J60" s="14"/>
      <c r="K60" s="14"/>
      <c r="L60" s="14"/>
      <c r="M60" s="14"/>
      <c r="N60" s="14">
        <f>SUM(N56:N59)</f>
        <v>2628699.9783</v>
      </c>
    </row>
    <row r="61" ht="178" customHeight="1" spans="1:14">
      <c r="A61" s="4">
        <v>47</v>
      </c>
      <c r="B61" s="4" t="s">
        <v>455</v>
      </c>
      <c r="C61" s="4" t="s">
        <v>456</v>
      </c>
      <c r="D61" s="8" t="s">
        <v>457</v>
      </c>
      <c r="E61" s="4" t="s">
        <v>55</v>
      </c>
      <c r="F61" s="4">
        <v>2</v>
      </c>
      <c r="G61" s="9">
        <v>64403.67</v>
      </c>
      <c r="H61" s="9">
        <v>2477.06</v>
      </c>
      <c r="I61" s="9">
        <v>825.69</v>
      </c>
      <c r="J61" s="9">
        <v>3302.75</v>
      </c>
      <c r="K61" s="9">
        <v>2477.06</v>
      </c>
      <c r="L61" s="9">
        <v>9082.57</v>
      </c>
      <c r="M61" s="9">
        <v>7431.19</v>
      </c>
      <c r="N61" s="16">
        <f>SUM(G61:M61)</f>
        <v>89999.99</v>
      </c>
    </row>
    <row r="62" ht="25" customHeight="1" spans="1:14">
      <c r="A62" s="11" t="s">
        <v>50</v>
      </c>
      <c r="B62" s="12"/>
      <c r="C62" s="11"/>
      <c r="D62" s="13"/>
      <c r="E62" s="12"/>
      <c r="F62" s="11"/>
      <c r="G62" s="14"/>
      <c r="H62" s="14"/>
      <c r="I62" s="14"/>
      <c r="J62" s="14"/>
      <c r="K62" s="14"/>
      <c r="L62" s="14"/>
      <c r="M62" s="14"/>
      <c r="N62" s="14">
        <f>N61</f>
        <v>89999.99</v>
      </c>
    </row>
    <row r="63" ht="178" customHeight="1" spans="1:14">
      <c r="A63" s="4">
        <v>48</v>
      </c>
      <c r="B63" s="4" t="s">
        <v>458</v>
      </c>
      <c r="C63" s="4" t="s">
        <v>459</v>
      </c>
      <c r="D63" s="8" t="s">
        <v>460</v>
      </c>
      <c r="E63" s="4" t="s">
        <v>55</v>
      </c>
      <c r="F63" s="4">
        <v>1</v>
      </c>
      <c r="G63" s="9">
        <v>32201.83</v>
      </c>
      <c r="H63" s="9">
        <v>1238.53</v>
      </c>
      <c r="I63" s="9">
        <v>412.84</v>
      </c>
      <c r="J63" s="9">
        <v>1651.38</v>
      </c>
      <c r="K63" s="9">
        <v>1238.53</v>
      </c>
      <c r="L63" s="9">
        <v>4541.28</v>
      </c>
      <c r="M63" s="9">
        <v>3715.6</v>
      </c>
      <c r="N63" s="16">
        <f>SUM(G63:M63)</f>
        <v>44999.99</v>
      </c>
    </row>
    <row r="64" ht="25" customHeight="1" spans="1:14">
      <c r="A64" s="11" t="s">
        <v>50</v>
      </c>
      <c r="B64" s="12"/>
      <c r="C64" s="11"/>
      <c r="D64" s="13"/>
      <c r="E64" s="12"/>
      <c r="F64" s="11"/>
      <c r="G64" s="14"/>
      <c r="H64" s="14"/>
      <c r="I64" s="14"/>
      <c r="J64" s="14"/>
      <c r="K64" s="14"/>
      <c r="L64" s="14"/>
      <c r="M64" s="14"/>
      <c r="N64" s="14">
        <f>N63</f>
        <v>44999.99</v>
      </c>
    </row>
    <row r="65" ht="177" customHeight="1" spans="1:14">
      <c r="A65" s="4">
        <v>49</v>
      </c>
      <c r="B65" s="4" t="s">
        <v>461</v>
      </c>
      <c r="C65" s="4" t="s">
        <v>462</v>
      </c>
      <c r="D65" s="8" t="s">
        <v>463</v>
      </c>
      <c r="E65" s="4" t="s">
        <v>55</v>
      </c>
      <c r="F65" s="4">
        <v>3</v>
      </c>
      <c r="G65" s="9">
        <v>96605.5</v>
      </c>
      <c r="H65" s="9">
        <v>3715.6</v>
      </c>
      <c r="I65" s="9">
        <v>1238.53</v>
      </c>
      <c r="J65" s="9">
        <v>4954.13</v>
      </c>
      <c r="K65" s="9">
        <v>3715.6</v>
      </c>
      <c r="L65" s="9">
        <v>13623.85</v>
      </c>
      <c r="M65" s="9">
        <v>11146.79</v>
      </c>
      <c r="N65" s="16">
        <f>SUM(G65:M65)</f>
        <v>135000</v>
      </c>
    </row>
    <row r="66" ht="70" customHeight="1" spans="1:14">
      <c r="A66" s="4">
        <v>50</v>
      </c>
      <c r="B66" s="4" t="s">
        <v>464</v>
      </c>
      <c r="C66" s="4" t="s">
        <v>465</v>
      </c>
      <c r="D66" s="8" t="s">
        <v>466</v>
      </c>
      <c r="E66" s="4" t="s">
        <v>55</v>
      </c>
      <c r="F66" s="4">
        <v>13</v>
      </c>
      <c r="G66" s="9">
        <v>22326.61</v>
      </c>
      <c r="H66" s="9">
        <v>858.72</v>
      </c>
      <c r="I66" s="9">
        <v>286.24</v>
      </c>
      <c r="J66" s="9">
        <v>1144.95</v>
      </c>
      <c r="K66" s="9">
        <v>858.72</v>
      </c>
      <c r="L66" s="9">
        <v>3148.62</v>
      </c>
      <c r="M66" s="9">
        <v>2576.15</v>
      </c>
      <c r="N66" s="16">
        <f>SUM(G66:M66)</f>
        <v>31200.01</v>
      </c>
    </row>
    <row r="67" ht="25" customHeight="1" spans="1:14">
      <c r="A67" s="11" t="s">
        <v>50</v>
      </c>
      <c r="B67" s="12"/>
      <c r="C67" s="11"/>
      <c r="D67" s="13"/>
      <c r="E67" s="12"/>
      <c r="F67" s="11"/>
      <c r="G67" s="14"/>
      <c r="H67" s="14"/>
      <c r="I67" s="14"/>
      <c r="J67" s="14"/>
      <c r="K67" s="14"/>
      <c r="L67" s="14"/>
      <c r="M67" s="14"/>
      <c r="N67" s="14">
        <f>SUM(N65:N66)</f>
        <v>166200.01</v>
      </c>
    </row>
    <row r="68" ht="70" customHeight="1" spans="1:14">
      <c r="A68" s="4">
        <v>51</v>
      </c>
      <c r="B68" s="4" t="s">
        <v>467</v>
      </c>
      <c r="C68" s="4" t="s">
        <v>468</v>
      </c>
      <c r="D68" s="8" t="s">
        <v>469</v>
      </c>
      <c r="E68" s="4" t="s">
        <v>55</v>
      </c>
      <c r="F68" s="4">
        <v>2</v>
      </c>
      <c r="G68" s="9">
        <v>5724.77</v>
      </c>
      <c r="H68" s="9">
        <v>220.18</v>
      </c>
      <c r="I68" s="9">
        <v>73.39</v>
      </c>
      <c r="J68" s="9">
        <v>293.58</v>
      </c>
      <c r="K68" s="9">
        <v>220.18</v>
      </c>
      <c r="L68" s="9">
        <v>807.34</v>
      </c>
      <c r="M68" s="9">
        <v>660.55</v>
      </c>
      <c r="N68" s="16">
        <f>SUM(G68:M68)</f>
        <v>7999.99</v>
      </c>
    </row>
    <row r="69" ht="160" customHeight="1" spans="1:14">
      <c r="A69" s="4">
        <v>52</v>
      </c>
      <c r="B69" s="4" t="s">
        <v>470</v>
      </c>
      <c r="C69" s="4" t="s">
        <v>471</v>
      </c>
      <c r="D69" s="8" t="s">
        <v>472</v>
      </c>
      <c r="E69" s="4" t="s">
        <v>55</v>
      </c>
      <c r="F69" s="4">
        <v>2</v>
      </c>
      <c r="G69" s="9">
        <v>64403.67</v>
      </c>
      <c r="H69" s="9">
        <v>2477.06</v>
      </c>
      <c r="I69" s="9">
        <v>825.69</v>
      </c>
      <c r="J69" s="9">
        <v>3302.75</v>
      </c>
      <c r="K69" s="9">
        <v>2477.06</v>
      </c>
      <c r="L69" s="9">
        <v>9082.57</v>
      </c>
      <c r="M69" s="9">
        <v>7431.19</v>
      </c>
      <c r="N69" s="16">
        <f t="shared" ref="N69:N123" si="1">SUM(G69:M69)</f>
        <v>89999.99</v>
      </c>
    </row>
    <row r="70" ht="25" customHeight="1" spans="1:14">
      <c r="A70" s="11" t="s">
        <v>50</v>
      </c>
      <c r="B70" s="12"/>
      <c r="C70" s="11"/>
      <c r="D70" s="13"/>
      <c r="E70" s="12"/>
      <c r="F70" s="11"/>
      <c r="G70" s="14"/>
      <c r="H70" s="14"/>
      <c r="I70" s="14"/>
      <c r="J70" s="14"/>
      <c r="K70" s="14"/>
      <c r="L70" s="14"/>
      <c r="M70" s="14"/>
      <c r="N70" s="14">
        <f>SUM(N68:N69)</f>
        <v>97999.98</v>
      </c>
    </row>
    <row r="71" ht="45" customHeight="1" spans="1:14">
      <c r="A71" s="4">
        <v>53</v>
      </c>
      <c r="B71" s="4" t="s">
        <v>473</v>
      </c>
      <c r="C71" s="4" t="s">
        <v>159</v>
      </c>
      <c r="D71" s="8" t="s">
        <v>160</v>
      </c>
      <c r="E71" s="4" t="s">
        <v>157</v>
      </c>
      <c r="F71" s="4">
        <v>208</v>
      </c>
      <c r="G71" s="9">
        <v>8186.42</v>
      </c>
      <c r="H71" s="9">
        <v>314.86</v>
      </c>
      <c r="I71" s="9">
        <v>104.95</v>
      </c>
      <c r="J71" s="9">
        <v>419.82</v>
      </c>
      <c r="K71" s="9">
        <v>314.86</v>
      </c>
      <c r="L71" s="9">
        <v>1154.5</v>
      </c>
      <c r="M71" s="9">
        <v>944.59</v>
      </c>
      <c r="N71" s="16">
        <f t="shared" si="1"/>
        <v>11440</v>
      </c>
    </row>
    <row r="72" ht="45" customHeight="1" spans="1:14">
      <c r="A72" s="4">
        <v>54</v>
      </c>
      <c r="B72" s="4" t="s">
        <v>474</v>
      </c>
      <c r="C72" s="4" t="s">
        <v>162</v>
      </c>
      <c r="D72" s="8" t="s">
        <v>163</v>
      </c>
      <c r="E72" s="4" t="s">
        <v>157</v>
      </c>
      <c r="F72" s="4">
        <v>208</v>
      </c>
      <c r="G72" s="9">
        <v>8632.95</v>
      </c>
      <c r="H72" s="9">
        <v>332.04</v>
      </c>
      <c r="I72" s="9">
        <v>110.68</v>
      </c>
      <c r="J72" s="9">
        <v>442.72</v>
      </c>
      <c r="K72" s="9">
        <v>332.04</v>
      </c>
      <c r="L72" s="9">
        <v>1217.47</v>
      </c>
      <c r="M72" s="9">
        <v>996.11</v>
      </c>
      <c r="N72" s="16">
        <f t="shared" si="1"/>
        <v>12064.01</v>
      </c>
    </row>
    <row r="73" ht="45" customHeight="1" spans="1:14">
      <c r="A73" s="4">
        <v>55</v>
      </c>
      <c r="B73" s="4" t="s">
        <v>475</v>
      </c>
      <c r="C73" s="4" t="s">
        <v>165</v>
      </c>
      <c r="D73" s="8" t="s">
        <v>166</v>
      </c>
      <c r="E73" s="4" t="s">
        <v>157</v>
      </c>
      <c r="F73" s="4">
        <v>1000</v>
      </c>
      <c r="G73" s="9">
        <v>17889.91</v>
      </c>
      <c r="H73" s="9">
        <v>688.07</v>
      </c>
      <c r="I73" s="9">
        <v>229.36</v>
      </c>
      <c r="J73" s="9">
        <v>917.43</v>
      </c>
      <c r="K73" s="9">
        <v>688.07</v>
      </c>
      <c r="L73" s="9">
        <v>2522.94</v>
      </c>
      <c r="M73" s="9">
        <v>2064.22</v>
      </c>
      <c r="N73" s="16">
        <f t="shared" si="1"/>
        <v>25000</v>
      </c>
    </row>
    <row r="74" ht="45" customHeight="1" spans="1:14">
      <c r="A74" s="4">
        <v>56</v>
      </c>
      <c r="B74" s="4" t="s">
        <v>476</v>
      </c>
      <c r="C74" s="4" t="s">
        <v>477</v>
      </c>
      <c r="D74" s="8" t="s">
        <v>478</v>
      </c>
      <c r="E74" s="4" t="s">
        <v>55</v>
      </c>
      <c r="F74" s="4">
        <v>5</v>
      </c>
      <c r="G74" s="9">
        <v>17889.91</v>
      </c>
      <c r="H74" s="9">
        <v>688.07</v>
      </c>
      <c r="I74" s="9">
        <v>229.36</v>
      </c>
      <c r="J74" s="9">
        <v>917.43</v>
      </c>
      <c r="K74" s="9">
        <v>688.07</v>
      </c>
      <c r="L74" s="9">
        <v>2522.94</v>
      </c>
      <c r="M74" s="9">
        <v>2064.22</v>
      </c>
      <c r="N74" s="16">
        <f t="shared" si="1"/>
        <v>25000</v>
      </c>
    </row>
    <row r="75" ht="45" customHeight="1" spans="1:14">
      <c r="A75" s="4">
        <v>57</v>
      </c>
      <c r="B75" s="4" t="s">
        <v>479</v>
      </c>
      <c r="C75" s="4" t="s">
        <v>480</v>
      </c>
      <c r="D75" s="8" t="s">
        <v>481</v>
      </c>
      <c r="E75" s="4" t="s">
        <v>55</v>
      </c>
      <c r="F75" s="4">
        <v>1</v>
      </c>
      <c r="G75" s="9">
        <v>8944.95</v>
      </c>
      <c r="H75" s="9">
        <v>344.04</v>
      </c>
      <c r="I75" s="9">
        <v>114.68</v>
      </c>
      <c r="J75" s="9">
        <v>458.72</v>
      </c>
      <c r="K75" s="9">
        <v>344.04</v>
      </c>
      <c r="L75" s="9">
        <v>1261.47</v>
      </c>
      <c r="M75" s="9">
        <v>1032.11</v>
      </c>
      <c r="N75" s="16">
        <f t="shared" si="1"/>
        <v>12500.01</v>
      </c>
    </row>
    <row r="76" ht="25" customHeight="1" spans="1:14">
      <c r="A76" s="11" t="s">
        <v>50</v>
      </c>
      <c r="B76" s="12"/>
      <c r="C76" s="11"/>
      <c r="D76" s="13"/>
      <c r="E76" s="12"/>
      <c r="F76" s="11"/>
      <c r="G76" s="14"/>
      <c r="H76" s="14"/>
      <c r="I76" s="14"/>
      <c r="J76" s="14"/>
      <c r="K76" s="14"/>
      <c r="L76" s="14"/>
      <c r="M76" s="14"/>
      <c r="N76" s="14">
        <f>SUM(N71:N75)</f>
        <v>86004.02</v>
      </c>
    </row>
    <row r="77" ht="45" customHeight="1" spans="1:14">
      <c r="A77" s="4">
        <v>58</v>
      </c>
      <c r="B77" s="4" t="s">
        <v>482</v>
      </c>
      <c r="C77" s="4" t="s">
        <v>483</v>
      </c>
      <c r="D77" s="8" t="s">
        <v>484</v>
      </c>
      <c r="E77" s="4" t="s">
        <v>248</v>
      </c>
      <c r="F77" s="4">
        <v>1</v>
      </c>
      <c r="G77" s="9">
        <v>4733.94</v>
      </c>
      <c r="H77" s="9">
        <v>394.5</v>
      </c>
      <c r="I77" s="9">
        <v>157.8</v>
      </c>
      <c r="J77" s="9">
        <v>1183.49</v>
      </c>
      <c r="K77" s="9">
        <v>552.29</v>
      </c>
      <c r="L77" s="9">
        <v>867.89</v>
      </c>
      <c r="M77" s="9">
        <v>710.09</v>
      </c>
      <c r="N77" s="16">
        <f t="shared" si="1"/>
        <v>8600</v>
      </c>
    </row>
    <row r="78" ht="177" customHeight="1" spans="1:14">
      <c r="A78" s="4">
        <v>59</v>
      </c>
      <c r="B78" s="4" t="s">
        <v>485</v>
      </c>
      <c r="C78" s="4" t="s">
        <v>486</v>
      </c>
      <c r="D78" s="8" t="s">
        <v>487</v>
      </c>
      <c r="E78" s="4" t="s">
        <v>55</v>
      </c>
      <c r="F78" s="4">
        <v>1</v>
      </c>
      <c r="G78" s="9">
        <v>16816.51</v>
      </c>
      <c r="H78" s="9">
        <v>646.79</v>
      </c>
      <c r="I78" s="9">
        <v>215.6</v>
      </c>
      <c r="J78" s="9">
        <v>862.39</v>
      </c>
      <c r="K78" s="9">
        <v>646.79</v>
      </c>
      <c r="L78" s="9">
        <v>2371.56</v>
      </c>
      <c r="M78" s="9">
        <v>1940.37</v>
      </c>
      <c r="N78" s="16">
        <f t="shared" si="1"/>
        <v>23500.01</v>
      </c>
    </row>
    <row r="79" ht="25" customHeight="1" spans="1:14">
      <c r="A79" s="11" t="s">
        <v>50</v>
      </c>
      <c r="B79" s="12"/>
      <c r="C79" s="11"/>
      <c r="D79" s="13"/>
      <c r="E79" s="12"/>
      <c r="F79" s="11"/>
      <c r="G79" s="14"/>
      <c r="H79" s="14"/>
      <c r="I79" s="14"/>
      <c r="J79" s="14"/>
      <c r="K79" s="14"/>
      <c r="L79" s="14"/>
      <c r="M79" s="14"/>
      <c r="N79" s="14">
        <f>SUM(N77:N78)</f>
        <v>32100.01</v>
      </c>
    </row>
    <row r="80" ht="78" customHeight="1" spans="1:14">
      <c r="A80" s="4">
        <v>60</v>
      </c>
      <c r="B80" s="4" t="s">
        <v>488</v>
      </c>
      <c r="C80" s="4" t="s">
        <v>379</v>
      </c>
      <c r="D80" s="8" t="s">
        <v>489</v>
      </c>
      <c r="E80" s="4" t="s">
        <v>55</v>
      </c>
      <c r="F80" s="4">
        <v>5</v>
      </c>
      <c r="G80" s="9">
        <v>6440.37</v>
      </c>
      <c r="H80" s="9">
        <v>247.71</v>
      </c>
      <c r="I80" s="9">
        <v>82.57</v>
      </c>
      <c r="J80" s="9">
        <v>330.28</v>
      </c>
      <c r="K80" s="9">
        <v>247.71</v>
      </c>
      <c r="L80" s="9">
        <v>908.26</v>
      </c>
      <c r="M80" s="9">
        <v>743.12</v>
      </c>
      <c r="N80" s="16">
        <f t="shared" si="1"/>
        <v>9000.02</v>
      </c>
    </row>
    <row r="81" ht="60" customHeight="1" spans="1:14">
      <c r="A81" s="4">
        <v>61</v>
      </c>
      <c r="B81" s="4" t="s">
        <v>490</v>
      </c>
      <c r="C81" s="4" t="s">
        <v>379</v>
      </c>
      <c r="D81" s="8" t="s">
        <v>382</v>
      </c>
      <c r="E81" s="4" t="s">
        <v>55</v>
      </c>
      <c r="F81" s="4">
        <v>10</v>
      </c>
      <c r="G81" s="9">
        <v>20036.7</v>
      </c>
      <c r="H81" s="9">
        <v>770.64</v>
      </c>
      <c r="I81" s="9">
        <v>256.88</v>
      </c>
      <c r="J81" s="9">
        <v>1027.52</v>
      </c>
      <c r="K81" s="9">
        <v>770.64</v>
      </c>
      <c r="L81" s="9">
        <v>2825.69</v>
      </c>
      <c r="M81" s="9">
        <v>2311.93</v>
      </c>
      <c r="N81" s="16">
        <f t="shared" si="1"/>
        <v>28000</v>
      </c>
    </row>
    <row r="82" ht="45" customHeight="1" spans="1:14">
      <c r="A82" s="4">
        <v>62</v>
      </c>
      <c r="B82" s="4" t="s">
        <v>491</v>
      </c>
      <c r="C82" s="4" t="s">
        <v>384</v>
      </c>
      <c r="D82" s="8" t="s">
        <v>385</v>
      </c>
      <c r="E82" s="4" t="s">
        <v>93</v>
      </c>
      <c r="F82" s="4">
        <v>10</v>
      </c>
      <c r="G82" s="9">
        <v>2477.06</v>
      </c>
      <c r="H82" s="9">
        <v>206.42</v>
      </c>
      <c r="I82" s="9">
        <v>82.57</v>
      </c>
      <c r="J82" s="9">
        <v>619.27</v>
      </c>
      <c r="K82" s="9">
        <v>288.99</v>
      </c>
      <c r="L82" s="9">
        <v>454.13</v>
      </c>
      <c r="M82" s="9">
        <v>371.56</v>
      </c>
      <c r="N82" s="16">
        <f t="shared" si="1"/>
        <v>4500</v>
      </c>
    </row>
    <row r="83" ht="25" customHeight="1" spans="1:14">
      <c r="A83" s="11" t="s">
        <v>50</v>
      </c>
      <c r="B83" s="12"/>
      <c r="C83" s="11"/>
      <c r="D83" s="13"/>
      <c r="E83" s="12"/>
      <c r="F83" s="11"/>
      <c r="G83" s="14"/>
      <c r="H83" s="14"/>
      <c r="I83" s="14"/>
      <c r="J83" s="14"/>
      <c r="K83" s="14"/>
      <c r="L83" s="14"/>
      <c r="M83" s="14"/>
      <c r="N83" s="14">
        <f>SUM(N80:N82)</f>
        <v>41500.02</v>
      </c>
    </row>
    <row r="84" ht="81" customHeight="1" spans="1:14">
      <c r="A84" s="4">
        <v>63</v>
      </c>
      <c r="B84" s="4" t="s">
        <v>492</v>
      </c>
      <c r="C84" s="4" t="s">
        <v>387</v>
      </c>
      <c r="D84" s="8" t="s">
        <v>388</v>
      </c>
      <c r="E84" s="4" t="s">
        <v>93</v>
      </c>
      <c r="F84" s="4">
        <v>35</v>
      </c>
      <c r="G84" s="9">
        <v>4633.49</v>
      </c>
      <c r="H84" s="9">
        <v>178.21</v>
      </c>
      <c r="I84" s="9">
        <v>59.4</v>
      </c>
      <c r="J84" s="9">
        <v>237.61</v>
      </c>
      <c r="K84" s="9">
        <v>178.21</v>
      </c>
      <c r="L84" s="9">
        <v>653.44</v>
      </c>
      <c r="M84" s="9">
        <v>534.63</v>
      </c>
      <c r="N84" s="16">
        <f t="shared" si="1"/>
        <v>6474.99</v>
      </c>
    </row>
    <row r="85" ht="45" customHeight="1" spans="1:14">
      <c r="A85" s="4">
        <v>64</v>
      </c>
      <c r="B85" s="4" t="s">
        <v>493</v>
      </c>
      <c r="C85" s="4" t="s">
        <v>390</v>
      </c>
      <c r="D85" s="8" t="s">
        <v>391</v>
      </c>
      <c r="E85" s="4" t="s">
        <v>47</v>
      </c>
      <c r="F85" s="4">
        <v>16800</v>
      </c>
      <c r="G85" s="9">
        <v>48088.07</v>
      </c>
      <c r="H85" s="9">
        <v>1849.54</v>
      </c>
      <c r="I85" s="9">
        <v>616.51</v>
      </c>
      <c r="J85" s="9">
        <v>2466.06</v>
      </c>
      <c r="K85" s="9">
        <v>1849.54</v>
      </c>
      <c r="L85" s="9">
        <v>6781.65</v>
      </c>
      <c r="M85" s="9">
        <v>5548.62</v>
      </c>
      <c r="N85" s="16">
        <f t="shared" si="1"/>
        <v>67199.99</v>
      </c>
    </row>
    <row r="86" ht="45" customHeight="1" spans="1:14">
      <c r="A86" s="4">
        <v>65</v>
      </c>
      <c r="B86" s="4" t="s">
        <v>494</v>
      </c>
      <c r="C86" s="4" t="s">
        <v>495</v>
      </c>
      <c r="D86" s="8" t="s">
        <v>496</v>
      </c>
      <c r="E86" s="4" t="s">
        <v>47</v>
      </c>
      <c r="F86" s="4">
        <v>842.85</v>
      </c>
      <c r="G86" s="9">
        <v>3618.84</v>
      </c>
      <c r="H86" s="9">
        <v>139.19</v>
      </c>
      <c r="I86" s="9">
        <v>46.4</v>
      </c>
      <c r="J86" s="9">
        <v>185.58</v>
      </c>
      <c r="K86" s="9">
        <v>139.19</v>
      </c>
      <c r="L86" s="9">
        <v>510.35</v>
      </c>
      <c r="M86" s="9">
        <v>417.56</v>
      </c>
      <c r="N86" s="16">
        <f t="shared" si="1"/>
        <v>5057.11</v>
      </c>
    </row>
    <row r="87" ht="45" customHeight="1" spans="1:14">
      <c r="A87" s="4">
        <v>66</v>
      </c>
      <c r="B87" s="4" t="s">
        <v>497</v>
      </c>
      <c r="C87" s="4" t="s">
        <v>127</v>
      </c>
      <c r="D87" s="8" t="s">
        <v>128</v>
      </c>
      <c r="E87" s="4" t="s">
        <v>125</v>
      </c>
      <c r="F87" s="4">
        <v>92</v>
      </c>
      <c r="G87" s="9">
        <v>256.59</v>
      </c>
      <c r="H87" s="9">
        <v>67.52</v>
      </c>
      <c r="I87" s="9">
        <v>33.76</v>
      </c>
      <c r="J87" s="9">
        <v>189.06</v>
      </c>
      <c r="K87" s="9">
        <v>54.02</v>
      </c>
      <c r="L87" s="9">
        <v>74.28</v>
      </c>
      <c r="M87" s="9">
        <v>60.77</v>
      </c>
      <c r="N87" s="16">
        <f t="shared" si="1"/>
        <v>736</v>
      </c>
    </row>
    <row r="88" ht="45" customHeight="1" spans="1:14">
      <c r="A88" s="4">
        <v>67</v>
      </c>
      <c r="B88" s="4" t="s">
        <v>498</v>
      </c>
      <c r="C88" s="4" t="s">
        <v>393</v>
      </c>
      <c r="D88" s="8" t="s">
        <v>499</v>
      </c>
      <c r="E88" s="4" t="s">
        <v>395</v>
      </c>
      <c r="F88" s="4">
        <v>2208</v>
      </c>
      <c r="G88" s="9">
        <v>23700.55</v>
      </c>
      <c r="H88" s="9">
        <v>911.56</v>
      </c>
      <c r="I88" s="9">
        <v>303.85</v>
      </c>
      <c r="J88" s="9">
        <v>1215.41</v>
      </c>
      <c r="K88" s="9">
        <v>911.56</v>
      </c>
      <c r="L88" s="9">
        <v>3342.39</v>
      </c>
      <c r="M88" s="9">
        <v>2734.68</v>
      </c>
      <c r="N88" s="16">
        <f t="shared" si="1"/>
        <v>33120</v>
      </c>
    </row>
    <row r="89" ht="25" customHeight="1" spans="1:14">
      <c r="A89" s="11" t="s">
        <v>50</v>
      </c>
      <c r="B89" s="12"/>
      <c r="C89" s="11"/>
      <c r="D89" s="13"/>
      <c r="E89" s="12"/>
      <c r="F89" s="11"/>
      <c r="G89" s="14"/>
      <c r="H89" s="14"/>
      <c r="I89" s="14"/>
      <c r="J89" s="14"/>
      <c r="K89" s="14"/>
      <c r="L89" s="14"/>
      <c r="M89" s="14"/>
      <c r="N89" s="14">
        <f>SUM(N84:N88)</f>
        <v>112588.09</v>
      </c>
    </row>
    <row r="90" ht="45" customHeight="1" spans="1:14">
      <c r="A90" s="4">
        <v>68</v>
      </c>
      <c r="B90" s="4" t="s">
        <v>500</v>
      </c>
      <c r="C90" s="4" t="s">
        <v>168</v>
      </c>
      <c r="D90" s="8" t="s">
        <v>501</v>
      </c>
      <c r="E90" s="4" t="s">
        <v>47</v>
      </c>
      <c r="F90" s="4">
        <v>1.8</v>
      </c>
      <c r="G90" s="9">
        <v>70.84</v>
      </c>
      <c r="H90" s="9">
        <v>2.72</v>
      </c>
      <c r="I90" s="9">
        <v>0.91</v>
      </c>
      <c r="J90" s="9">
        <v>3.63</v>
      </c>
      <c r="K90" s="9">
        <v>2.72</v>
      </c>
      <c r="L90" s="9">
        <v>9.99</v>
      </c>
      <c r="M90" s="9">
        <v>8.17</v>
      </c>
      <c r="N90" s="16">
        <f t="shared" si="1"/>
        <v>98.98</v>
      </c>
    </row>
    <row r="91" ht="45" customHeight="1" spans="1:14">
      <c r="A91" s="4">
        <v>69</v>
      </c>
      <c r="B91" s="4" t="s">
        <v>502</v>
      </c>
      <c r="C91" s="4" t="s">
        <v>168</v>
      </c>
      <c r="D91" s="8" t="s">
        <v>503</v>
      </c>
      <c r="E91" s="4" t="s">
        <v>47</v>
      </c>
      <c r="F91" s="4">
        <v>496.1</v>
      </c>
      <c r="G91" s="9">
        <v>17040.35</v>
      </c>
      <c r="H91" s="9">
        <v>655.4</v>
      </c>
      <c r="I91" s="9">
        <v>218.47</v>
      </c>
      <c r="J91" s="9">
        <v>873.86</v>
      </c>
      <c r="K91" s="9">
        <v>655.4</v>
      </c>
      <c r="L91" s="9">
        <v>2403.13</v>
      </c>
      <c r="M91" s="9">
        <v>1966.19</v>
      </c>
      <c r="N91" s="16">
        <f t="shared" si="1"/>
        <v>23812.8</v>
      </c>
    </row>
    <row r="92" ht="45" customHeight="1" spans="1:14">
      <c r="A92" s="4">
        <v>70</v>
      </c>
      <c r="B92" s="4" t="s">
        <v>504</v>
      </c>
      <c r="C92" s="4" t="s">
        <v>168</v>
      </c>
      <c r="D92" s="8" t="s">
        <v>505</v>
      </c>
      <c r="E92" s="4" t="s">
        <v>47</v>
      </c>
      <c r="F92" s="4">
        <v>679.27</v>
      </c>
      <c r="G92" s="9">
        <v>13610.33</v>
      </c>
      <c r="H92" s="9">
        <v>523.47</v>
      </c>
      <c r="I92" s="9">
        <v>174.49</v>
      </c>
      <c r="J92" s="9">
        <v>697.97</v>
      </c>
      <c r="K92" s="9">
        <v>523.47</v>
      </c>
      <c r="L92" s="9">
        <v>1919.41</v>
      </c>
      <c r="M92" s="9">
        <v>1570.42</v>
      </c>
      <c r="N92" s="16">
        <f t="shared" si="1"/>
        <v>19019.56</v>
      </c>
    </row>
    <row r="93" ht="45" customHeight="1" spans="1:14">
      <c r="A93" s="4">
        <v>71</v>
      </c>
      <c r="B93" s="4" t="s">
        <v>506</v>
      </c>
      <c r="C93" s="4" t="s">
        <v>168</v>
      </c>
      <c r="D93" s="8" t="s">
        <v>507</v>
      </c>
      <c r="E93" s="4" t="s">
        <v>47</v>
      </c>
      <c r="F93" s="4">
        <v>34.6</v>
      </c>
      <c r="G93" s="9">
        <v>643.75</v>
      </c>
      <c r="H93" s="9">
        <v>24.76</v>
      </c>
      <c r="I93" s="9">
        <v>8.25</v>
      </c>
      <c r="J93" s="9">
        <v>33.01</v>
      </c>
      <c r="K93" s="9">
        <v>24.76</v>
      </c>
      <c r="L93" s="9">
        <v>90.79</v>
      </c>
      <c r="M93" s="9">
        <v>74.28</v>
      </c>
      <c r="N93" s="16">
        <f t="shared" si="1"/>
        <v>899.6</v>
      </c>
    </row>
    <row r="94" ht="45" customHeight="1" spans="1:14">
      <c r="A94" s="4">
        <v>72</v>
      </c>
      <c r="B94" s="4" t="s">
        <v>508</v>
      </c>
      <c r="C94" s="4" t="s">
        <v>413</v>
      </c>
      <c r="D94" s="8" t="s">
        <v>509</v>
      </c>
      <c r="E94" s="4" t="s">
        <v>105</v>
      </c>
      <c r="F94" s="4">
        <v>1141</v>
      </c>
      <c r="G94" s="9">
        <v>1909.34</v>
      </c>
      <c r="H94" s="9">
        <v>502.46</v>
      </c>
      <c r="I94" s="9">
        <v>251.23</v>
      </c>
      <c r="J94" s="9">
        <v>1406.88</v>
      </c>
      <c r="K94" s="9">
        <v>401.97</v>
      </c>
      <c r="L94" s="9">
        <v>552.7</v>
      </c>
      <c r="M94" s="9">
        <v>452.21</v>
      </c>
      <c r="N94" s="16">
        <f t="shared" si="1"/>
        <v>5476.79</v>
      </c>
    </row>
    <row r="95" ht="25" customHeight="1" spans="1:14">
      <c r="A95" s="11" t="s">
        <v>50</v>
      </c>
      <c r="B95" s="12"/>
      <c r="C95" s="11"/>
      <c r="D95" s="13"/>
      <c r="E95" s="12"/>
      <c r="F95" s="11"/>
      <c r="G95" s="14"/>
      <c r="H95" s="14"/>
      <c r="I95" s="14"/>
      <c r="J95" s="14"/>
      <c r="K95" s="14"/>
      <c r="L95" s="14"/>
      <c r="M95" s="14"/>
      <c r="N95" s="14">
        <f>SUM(N90:N94)</f>
        <v>49307.73</v>
      </c>
    </row>
    <row r="96" ht="45" customHeight="1" spans="1:14">
      <c r="A96" s="4">
        <v>73</v>
      </c>
      <c r="B96" s="4" t="s">
        <v>510</v>
      </c>
      <c r="C96" s="4" t="s">
        <v>95</v>
      </c>
      <c r="D96" s="8" t="s">
        <v>281</v>
      </c>
      <c r="E96" s="4" t="s">
        <v>47</v>
      </c>
      <c r="F96" s="4">
        <v>721.49</v>
      </c>
      <c r="G96" s="9">
        <v>1131.88</v>
      </c>
      <c r="H96" s="9">
        <v>297.86</v>
      </c>
      <c r="I96" s="9">
        <v>148.93</v>
      </c>
      <c r="J96" s="9">
        <v>834.02</v>
      </c>
      <c r="K96" s="9">
        <v>238.29</v>
      </c>
      <c r="L96" s="9">
        <v>327.65</v>
      </c>
      <c r="M96" s="9">
        <v>268.08</v>
      </c>
      <c r="N96" s="16">
        <f t="shared" si="1"/>
        <v>3246.71</v>
      </c>
    </row>
    <row r="97" ht="45" customHeight="1" spans="1:14">
      <c r="A97" s="4">
        <v>74</v>
      </c>
      <c r="B97" s="4" t="s">
        <v>511</v>
      </c>
      <c r="C97" s="4" t="s">
        <v>95</v>
      </c>
      <c r="D97" s="8" t="s">
        <v>283</v>
      </c>
      <c r="E97" s="4" t="s">
        <v>47</v>
      </c>
      <c r="F97" s="4">
        <v>143.6</v>
      </c>
      <c r="G97" s="9">
        <v>225.28</v>
      </c>
      <c r="H97" s="9">
        <v>59.28</v>
      </c>
      <c r="I97" s="9">
        <v>29.64</v>
      </c>
      <c r="J97" s="9">
        <v>166</v>
      </c>
      <c r="K97" s="9">
        <v>47.43</v>
      </c>
      <c r="L97" s="9">
        <v>65.21</v>
      </c>
      <c r="M97" s="9">
        <v>53.36</v>
      </c>
      <c r="N97" s="16">
        <f t="shared" si="1"/>
        <v>646.2</v>
      </c>
    </row>
    <row r="98" ht="45" customHeight="1" spans="1:14">
      <c r="A98" s="4">
        <v>75</v>
      </c>
      <c r="B98" s="4" t="s">
        <v>512</v>
      </c>
      <c r="C98" s="4" t="s">
        <v>100</v>
      </c>
      <c r="D98" s="8" t="s">
        <v>285</v>
      </c>
      <c r="E98" s="4" t="s">
        <v>47</v>
      </c>
      <c r="F98" s="4">
        <v>143.6</v>
      </c>
      <c r="G98" s="9">
        <v>616.56</v>
      </c>
      <c r="H98" s="9">
        <v>51.38</v>
      </c>
      <c r="I98" s="9">
        <v>20.55</v>
      </c>
      <c r="J98" s="9">
        <v>154.14</v>
      </c>
      <c r="K98" s="9">
        <v>71.93</v>
      </c>
      <c r="L98" s="9">
        <v>113.04</v>
      </c>
      <c r="M98" s="9">
        <v>92.48</v>
      </c>
      <c r="N98" s="16">
        <f t="shared" si="1"/>
        <v>1120.08</v>
      </c>
    </row>
    <row r="99" ht="45" customHeight="1" spans="1:14">
      <c r="A99" s="4">
        <v>76</v>
      </c>
      <c r="B99" s="4" t="s">
        <v>513</v>
      </c>
      <c r="C99" s="4" t="s">
        <v>95</v>
      </c>
      <c r="D99" s="8" t="s">
        <v>418</v>
      </c>
      <c r="E99" s="4" t="s">
        <v>47</v>
      </c>
      <c r="F99" s="4">
        <v>76.5</v>
      </c>
      <c r="G99" s="9">
        <v>120.01</v>
      </c>
      <c r="H99" s="9">
        <v>31.58</v>
      </c>
      <c r="I99" s="9">
        <v>15.79</v>
      </c>
      <c r="J99" s="9">
        <v>88.43</v>
      </c>
      <c r="K99" s="9">
        <v>25.27</v>
      </c>
      <c r="L99" s="9">
        <v>34.74</v>
      </c>
      <c r="M99" s="9">
        <v>28.42</v>
      </c>
      <c r="N99" s="16">
        <f t="shared" si="1"/>
        <v>344.24</v>
      </c>
    </row>
    <row r="100" ht="45" customHeight="1" spans="1:14">
      <c r="A100" s="4">
        <v>77</v>
      </c>
      <c r="B100" s="4" t="s">
        <v>514</v>
      </c>
      <c r="C100" s="4" t="s">
        <v>103</v>
      </c>
      <c r="D100" s="8" t="s">
        <v>287</v>
      </c>
      <c r="E100" s="4" t="s">
        <v>105</v>
      </c>
      <c r="F100" s="4">
        <v>128.91</v>
      </c>
      <c r="G100" s="9">
        <v>584.23</v>
      </c>
      <c r="H100" s="9">
        <v>153.75</v>
      </c>
      <c r="I100" s="9">
        <v>76.87</v>
      </c>
      <c r="J100" s="9">
        <v>430.49</v>
      </c>
      <c r="K100" s="9">
        <v>123</v>
      </c>
      <c r="L100" s="9">
        <v>169.12</v>
      </c>
      <c r="M100" s="9">
        <v>138.37</v>
      </c>
      <c r="N100" s="16">
        <f t="shared" si="1"/>
        <v>1675.83</v>
      </c>
    </row>
    <row r="101" ht="25" customHeight="1" spans="1:14">
      <c r="A101" s="11" t="s">
        <v>50</v>
      </c>
      <c r="B101" s="12"/>
      <c r="C101" s="11"/>
      <c r="D101" s="13"/>
      <c r="E101" s="12"/>
      <c r="F101" s="11"/>
      <c r="G101" s="14"/>
      <c r="H101" s="14"/>
      <c r="I101" s="14"/>
      <c r="J101" s="14"/>
      <c r="K101" s="14"/>
      <c r="L101" s="14"/>
      <c r="M101" s="14"/>
      <c r="N101" s="14">
        <f>SUM(N96:N100)</f>
        <v>7033.06</v>
      </c>
    </row>
    <row r="102" ht="45" customHeight="1" spans="1:14">
      <c r="A102" s="4">
        <v>78</v>
      </c>
      <c r="B102" s="4" t="s">
        <v>515</v>
      </c>
      <c r="C102" s="4" t="s">
        <v>45</v>
      </c>
      <c r="D102" s="8" t="s">
        <v>516</v>
      </c>
      <c r="E102" s="4" t="s">
        <v>47</v>
      </c>
      <c r="F102" s="4">
        <v>6658.38</v>
      </c>
      <c r="G102" s="9">
        <v>8124.45</v>
      </c>
      <c r="H102" s="9">
        <v>2138.01</v>
      </c>
      <c r="I102" s="9">
        <v>1069.01</v>
      </c>
      <c r="J102" s="9">
        <v>5986.43</v>
      </c>
      <c r="K102" s="9">
        <v>1710.41</v>
      </c>
      <c r="L102" s="9">
        <v>2351.81</v>
      </c>
      <c r="M102" s="9">
        <v>1924.21</v>
      </c>
      <c r="N102" s="16">
        <f t="shared" si="1"/>
        <v>23304.33</v>
      </c>
    </row>
    <row r="103" ht="45" customHeight="1" spans="1:14">
      <c r="A103" s="4">
        <v>79</v>
      </c>
      <c r="B103" s="4" t="s">
        <v>517</v>
      </c>
      <c r="C103" s="4" t="s">
        <v>110</v>
      </c>
      <c r="D103" s="8" t="s">
        <v>422</v>
      </c>
      <c r="E103" s="4" t="s">
        <v>47</v>
      </c>
      <c r="F103" s="4">
        <v>5716.79</v>
      </c>
      <c r="G103" s="9">
        <v>5979.03</v>
      </c>
      <c r="H103" s="9">
        <v>1573.43</v>
      </c>
      <c r="I103" s="9">
        <v>786.71</v>
      </c>
      <c r="J103" s="9">
        <v>4405.6</v>
      </c>
      <c r="K103" s="9">
        <v>1258.74</v>
      </c>
      <c r="L103" s="9">
        <v>1730.77</v>
      </c>
      <c r="M103" s="9">
        <v>1416.09</v>
      </c>
      <c r="N103" s="16">
        <f t="shared" si="1"/>
        <v>17150.37</v>
      </c>
    </row>
    <row r="104" ht="45" customHeight="1" spans="1:14">
      <c r="A104" s="4">
        <v>80</v>
      </c>
      <c r="B104" s="4" t="s">
        <v>518</v>
      </c>
      <c r="C104" s="4" t="s">
        <v>110</v>
      </c>
      <c r="D104" s="8" t="s">
        <v>424</v>
      </c>
      <c r="E104" s="4" t="s">
        <v>47</v>
      </c>
      <c r="F104" s="4">
        <v>941.59</v>
      </c>
      <c r="G104" s="9">
        <v>984.78</v>
      </c>
      <c r="H104" s="9">
        <v>259.15</v>
      </c>
      <c r="I104" s="9">
        <v>129.58</v>
      </c>
      <c r="J104" s="9">
        <v>725.63</v>
      </c>
      <c r="K104" s="9">
        <v>207.32</v>
      </c>
      <c r="L104" s="9">
        <v>285.07</v>
      </c>
      <c r="M104" s="9">
        <v>233.24</v>
      </c>
      <c r="N104" s="16">
        <f t="shared" si="1"/>
        <v>2824.77</v>
      </c>
    </row>
    <row r="105" ht="45" customHeight="1" spans="1:14">
      <c r="A105" s="4">
        <v>81</v>
      </c>
      <c r="B105" s="4" t="s">
        <v>519</v>
      </c>
      <c r="C105" s="4" t="s">
        <v>91</v>
      </c>
      <c r="D105" s="8" t="s">
        <v>297</v>
      </c>
      <c r="E105" s="4" t="s">
        <v>93</v>
      </c>
      <c r="F105" s="4">
        <v>140</v>
      </c>
      <c r="G105" s="9">
        <v>585.69</v>
      </c>
      <c r="H105" s="9">
        <v>154.13</v>
      </c>
      <c r="I105" s="9">
        <v>77.06</v>
      </c>
      <c r="J105" s="9">
        <v>431.56</v>
      </c>
      <c r="K105" s="9">
        <v>123.3</v>
      </c>
      <c r="L105" s="9">
        <v>169.54</v>
      </c>
      <c r="M105" s="9">
        <v>138.72</v>
      </c>
      <c r="N105" s="16">
        <f t="shared" si="1"/>
        <v>1680</v>
      </c>
    </row>
    <row r="106" ht="45" customHeight="1" spans="1:14">
      <c r="A106" s="4">
        <v>82</v>
      </c>
      <c r="B106" s="4" t="s">
        <v>520</v>
      </c>
      <c r="C106" s="4" t="s">
        <v>277</v>
      </c>
      <c r="D106" s="8" t="s">
        <v>429</v>
      </c>
      <c r="E106" s="4" t="s">
        <v>62</v>
      </c>
      <c r="F106" s="4">
        <v>1</v>
      </c>
      <c r="G106" s="9">
        <v>2091.74</v>
      </c>
      <c r="H106" s="9">
        <v>550.46</v>
      </c>
      <c r="I106" s="9">
        <v>275.23</v>
      </c>
      <c r="J106" s="9">
        <v>1541.28</v>
      </c>
      <c r="K106" s="9">
        <v>440.37</v>
      </c>
      <c r="L106" s="9">
        <v>605.5</v>
      </c>
      <c r="M106" s="9">
        <v>495.41</v>
      </c>
      <c r="N106" s="16">
        <f t="shared" si="1"/>
        <v>5999.99</v>
      </c>
    </row>
    <row r="107" ht="25" customHeight="1" spans="1:14">
      <c r="A107" s="11" t="s">
        <v>50</v>
      </c>
      <c r="B107" s="12"/>
      <c r="C107" s="11"/>
      <c r="D107" s="13"/>
      <c r="E107" s="12"/>
      <c r="F107" s="11"/>
      <c r="G107" s="14"/>
      <c r="H107" s="14"/>
      <c r="I107" s="14"/>
      <c r="J107" s="14"/>
      <c r="K107" s="14"/>
      <c r="L107" s="14"/>
      <c r="M107" s="14"/>
      <c r="N107" s="14">
        <f>SUM(N102:N106)</f>
        <v>50959.46</v>
      </c>
    </row>
    <row r="108" ht="45" customHeight="1" spans="1:14">
      <c r="A108" s="4">
        <v>83</v>
      </c>
      <c r="B108" s="4" t="s">
        <v>521</v>
      </c>
      <c r="C108" s="4" t="s">
        <v>431</v>
      </c>
      <c r="D108" s="8" t="s">
        <v>432</v>
      </c>
      <c r="E108" s="4" t="s">
        <v>62</v>
      </c>
      <c r="F108" s="4">
        <v>1</v>
      </c>
      <c r="G108" s="9">
        <v>1743.12</v>
      </c>
      <c r="H108" s="9">
        <v>458.72</v>
      </c>
      <c r="I108" s="9">
        <v>229.36</v>
      </c>
      <c r="J108" s="9">
        <v>1284.4</v>
      </c>
      <c r="K108" s="9">
        <v>366.97</v>
      </c>
      <c r="L108" s="9">
        <v>504.59</v>
      </c>
      <c r="M108" s="9">
        <v>412.84</v>
      </c>
      <c r="N108" s="16">
        <f t="shared" si="1"/>
        <v>5000</v>
      </c>
    </row>
    <row r="109" ht="89" customHeight="1" spans="1:14">
      <c r="A109" s="4">
        <v>84</v>
      </c>
      <c r="B109" s="4" t="s">
        <v>522</v>
      </c>
      <c r="C109" s="4" t="s">
        <v>133</v>
      </c>
      <c r="D109" s="8" t="s">
        <v>134</v>
      </c>
      <c r="E109" s="4" t="s">
        <v>66</v>
      </c>
      <c r="F109" s="4">
        <v>1</v>
      </c>
      <c r="G109" s="9">
        <v>1045.87</v>
      </c>
      <c r="H109" s="9">
        <v>275.23</v>
      </c>
      <c r="I109" s="9">
        <v>137.61</v>
      </c>
      <c r="J109" s="9">
        <v>770.64</v>
      </c>
      <c r="K109" s="9">
        <v>220.18</v>
      </c>
      <c r="L109" s="9">
        <v>302.75</v>
      </c>
      <c r="M109" s="9">
        <v>247.71</v>
      </c>
      <c r="N109" s="16">
        <f t="shared" si="1"/>
        <v>2999.99</v>
      </c>
    </row>
    <row r="110" ht="60" customHeight="1" spans="1:14">
      <c r="A110" s="4">
        <v>85</v>
      </c>
      <c r="B110" s="4" t="s">
        <v>523</v>
      </c>
      <c r="C110" s="4" t="s">
        <v>356</v>
      </c>
      <c r="D110" s="8" t="s">
        <v>357</v>
      </c>
      <c r="E110" s="4" t="s">
        <v>55</v>
      </c>
      <c r="F110" s="4">
        <v>8</v>
      </c>
      <c r="G110" s="9">
        <v>3892.84</v>
      </c>
      <c r="H110" s="9">
        <v>149.72</v>
      </c>
      <c r="I110" s="9">
        <v>49.91</v>
      </c>
      <c r="J110" s="9">
        <v>199.63</v>
      </c>
      <c r="K110" s="9">
        <v>149.72</v>
      </c>
      <c r="L110" s="9">
        <v>548.99</v>
      </c>
      <c r="M110" s="9">
        <v>449.17</v>
      </c>
      <c r="N110" s="16">
        <f t="shared" si="1"/>
        <v>5439.98</v>
      </c>
    </row>
    <row r="111" ht="25" customHeight="1" spans="1:14">
      <c r="A111" s="11" t="s">
        <v>50</v>
      </c>
      <c r="B111" s="12"/>
      <c r="C111" s="11"/>
      <c r="D111" s="13"/>
      <c r="E111" s="12"/>
      <c r="F111" s="11"/>
      <c r="G111" s="14"/>
      <c r="H111" s="14"/>
      <c r="I111" s="14"/>
      <c r="J111" s="14"/>
      <c r="K111" s="14"/>
      <c r="L111" s="14"/>
      <c r="M111" s="14"/>
      <c r="N111" s="14">
        <f>SUM(N108:N110)</f>
        <v>13439.97</v>
      </c>
    </row>
    <row r="112" ht="45" customHeight="1" spans="1:14">
      <c r="A112" s="4">
        <v>86</v>
      </c>
      <c r="B112" s="4" t="s">
        <v>524</v>
      </c>
      <c r="C112" s="4" t="s">
        <v>525</v>
      </c>
      <c r="D112" s="8" t="s">
        <v>385</v>
      </c>
      <c r="E112" s="4" t="s">
        <v>93</v>
      </c>
      <c r="F112" s="4">
        <v>4</v>
      </c>
      <c r="G112" s="9">
        <v>990.83</v>
      </c>
      <c r="H112" s="9">
        <v>82.57</v>
      </c>
      <c r="I112" s="9">
        <v>33.03</v>
      </c>
      <c r="J112" s="9">
        <v>247.71</v>
      </c>
      <c r="K112" s="9">
        <v>115.6</v>
      </c>
      <c r="L112" s="9">
        <v>181.65</v>
      </c>
      <c r="M112" s="9">
        <v>148.62</v>
      </c>
      <c r="N112" s="16">
        <f t="shared" si="1"/>
        <v>1800.01</v>
      </c>
    </row>
    <row r="113" ht="45" customHeight="1" spans="1:14">
      <c r="A113" s="4">
        <v>87</v>
      </c>
      <c r="B113" s="4" t="s">
        <v>526</v>
      </c>
      <c r="C113" s="4" t="s">
        <v>95</v>
      </c>
      <c r="D113" s="8" t="s">
        <v>281</v>
      </c>
      <c r="E113" s="4" t="s">
        <v>47</v>
      </c>
      <c r="F113" s="4">
        <v>25.1</v>
      </c>
      <c r="G113" s="9">
        <v>39.38</v>
      </c>
      <c r="H113" s="9">
        <v>10.36</v>
      </c>
      <c r="I113" s="9">
        <v>5.18</v>
      </c>
      <c r="J113" s="9">
        <v>29.01</v>
      </c>
      <c r="K113" s="9">
        <v>8.29</v>
      </c>
      <c r="L113" s="9">
        <v>11.4</v>
      </c>
      <c r="M113" s="9">
        <v>9.33</v>
      </c>
      <c r="N113" s="16">
        <f t="shared" si="1"/>
        <v>112.95</v>
      </c>
    </row>
    <row r="114" ht="45" customHeight="1" spans="1:14">
      <c r="A114" s="4">
        <v>88</v>
      </c>
      <c r="B114" s="4" t="s">
        <v>527</v>
      </c>
      <c r="C114" s="4" t="s">
        <v>95</v>
      </c>
      <c r="D114" s="8" t="s">
        <v>418</v>
      </c>
      <c r="E114" s="4" t="s">
        <v>47</v>
      </c>
      <c r="F114" s="4">
        <v>50</v>
      </c>
      <c r="G114" s="9">
        <v>78.44</v>
      </c>
      <c r="H114" s="9">
        <v>20.64</v>
      </c>
      <c r="I114" s="9">
        <v>10.32</v>
      </c>
      <c r="J114" s="9">
        <v>57.8</v>
      </c>
      <c r="K114" s="9">
        <v>16.51</v>
      </c>
      <c r="L114" s="9">
        <v>22.71</v>
      </c>
      <c r="M114" s="9">
        <v>18.58</v>
      </c>
      <c r="N114" s="16">
        <f t="shared" si="1"/>
        <v>225</v>
      </c>
    </row>
    <row r="115" ht="45" customHeight="1" spans="1:14">
      <c r="A115" s="4">
        <v>89</v>
      </c>
      <c r="B115" s="4" t="s">
        <v>528</v>
      </c>
      <c r="C115" s="4" t="s">
        <v>103</v>
      </c>
      <c r="D115" s="8" t="s">
        <v>287</v>
      </c>
      <c r="E115" s="4" t="s">
        <v>105</v>
      </c>
      <c r="F115" s="4">
        <v>4.48</v>
      </c>
      <c r="G115" s="9">
        <v>12.18</v>
      </c>
      <c r="H115" s="9">
        <v>3.21</v>
      </c>
      <c r="I115" s="9">
        <v>1.6</v>
      </c>
      <c r="J115" s="9">
        <v>8.98</v>
      </c>
      <c r="K115" s="9">
        <v>2.56</v>
      </c>
      <c r="L115" s="9">
        <v>3.53</v>
      </c>
      <c r="M115" s="9">
        <v>2.89</v>
      </c>
      <c r="N115" s="16">
        <f t="shared" si="1"/>
        <v>34.95</v>
      </c>
    </row>
    <row r="116" ht="25" customHeight="1" spans="1:14">
      <c r="A116" s="11" t="s">
        <v>50</v>
      </c>
      <c r="B116" s="12"/>
      <c r="C116" s="11"/>
      <c r="D116" s="13"/>
      <c r="E116" s="12"/>
      <c r="F116" s="11"/>
      <c r="G116" s="14"/>
      <c r="H116" s="14"/>
      <c r="I116" s="14"/>
      <c r="J116" s="14"/>
      <c r="K116" s="14"/>
      <c r="L116" s="14"/>
      <c r="M116" s="14"/>
      <c r="N116" s="14">
        <f>SUM(N112:N115)</f>
        <v>2172.91</v>
      </c>
    </row>
    <row r="117" ht="45" customHeight="1" spans="1:14">
      <c r="A117" s="4">
        <v>90</v>
      </c>
      <c r="B117" s="4" t="s">
        <v>529</v>
      </c>
      <c r="C117" s="4" t="s">
        <v>45</v>
      </c>
      <c r="D117" s="8" t="s">
        <v>426</v>
      </c>
      <c r="E117" s="4" t="s">
        <v>47</v>
      </c>
      <c r="F117" s="4">
        <v>31.7</v>
      </c>
      <c r="G117" s="9">
        <v>49.73</v>
      </c>
      <c r="H117" s="9">
        <v>13.09</v>
      </c>
      <c r="I117" s="9">
        <v>6.54</v>
      </c>
      <c r="J117" s="9">
        <v>36.64</v>
      </c>
      <c r="K117" s="9">
        <v>10.47</v>
      </c>
      <c r="L117" s="9">
        <v>14.4</v>
      </c>
      <c r="M117" s="9">
        <v>11.78</v>
      </c>
      <c r="N117" s="16">
        <f t="shared" si="1"/>
        <v>142.65</v>
      </c>
    </row>
    <row r="118" ht="45" customHeight="1" spans="1:14">
      <c r="A118" s="4">
        <v>91</v>
      </c>
      <c r="B118" s="4" t="s">
        <v>530</v>
      </c>
      <c r="C118" s="4" t="s">
        <v>110</v>
      </c>
      <c r="D118" s="8" t="s">
        <v>424</v>
      </c>
      <c r="E118" s="4" t="s">
        <v>47</v>
      </c>
      <c r="F118" s="4">
        <v>31.7</v>
      </c>
      <c r="G118" s="9">
        <v>43.1</v>
      </c>
      <c r="H118" s="9">
        <v>11.34</v>
      </c>
      <c r="I118" s="9">
        <v>5.67</v>
      </c>
      <c r="J118" s="9">
        <v>31.76</v>
      </c>
      <c r="K118" s="9">
        <v>9.07</v>
      </c>
      <c r="L118" s="9">
        <v>12.48</v>
      </c>
      <c r="M118" s="9">
        <v>10.21</v>
      </c>
      <c r="N118" s="16">
        <f t="shared" si="1"/>
        <v>123.63</v>
      </c>
    </row>
    <row r="119" ht="45" customHeight="1" spans="1:14">
      <c r="A119" s="4">
        <v>92</v>
      </c>
      <c r="B119" s="4" t="s">
        <v>531</v>
      </c>
      <c r="C119" s="4" t="s">
        <v>91</v>
      </c>
      <c r="D119" s="8" t="s">
        <v>297</v>
      </c>
      <c r="E119" s="4" t="s">
        <v>93</v>
      </c>
      <c r="F119" s="4">
        <v>8</v>
      </c>
      <c r="G119" s="9">
        <v>33.47</v>
      </c>
      <c r="H119" s="9">
        <v>8.81</v>
      </c>
      <c r="I119" s="9">
        <v>4.4</v>
      </c>
      <c r="J119" s="9">
        <v>24.66</v>
      </c>
      <c r="K119" s="9">
        <v>7.05</v>
      </c>
      <c r="L119" s="9">
        <v>9.69</v>
      </c>
      <c r="M119" s="9">
        <v>7.93</v>
      </c>
      <c r="N119" s="16">
        <f t="shared" si="1"/>
        <v>96.01</v>
      </c>
    </row>
    <row r="120" ht="45" customHeight="1" spans="1:14">
      <c r="A120" s="4">
        <v>93</v>
      </c>
      <c r="B120" s="4" t="s">
        <v>532</v>
      </c>
      <c r="C120" s="4" t="s">
        <v>64</v>
      </c>
      <c r="D120" s="8" t="s">
        <v>65</v>
      </c>
      <c r="E120" s="4" t="s">
        <v>66</v>
      </c>
      <c r="F120" s="4">
        <v>1</v>
      </c>
      <c r="G120" s="9">
        <v>1045.87</v>
      </c>
      <c r="H120" s="9">
        <v>275.23</v>
      </c>
      <c r="I120" s="9">
        <v>137.61</v>
      </c>
      <c r="J120" s="9">
        <v>770.64</v>
      </c>
      <c r="K120" s="9">
        <v>220.18</v>
      </c>
      <c r="L120" s="9">
        <v>302.75</v>
      </c>
      <c r="M120" s="9">
        <v>247.71</v>
      </c>
      <c r="N120" s="16">
        <f t="shared" si="1"/>
        <v>2999.99</v>
      </c>
    </row>
    <row r="121" ht="25" customHeight="1" spans="1:14">
      <c r="A121" s="4">
        <v>94</v>
      </c>
      <c r="B121" s="4" t="s">
        <v>533</v>
      </c>
      <c r="C121" s="4" t="s">
        <v>319</v>
      </c>
      <c r="D121" s="8"/>
      <c r="E121" s="4" t="s">
        <v>66</v>
      </c>
      <c r="F121" s="4">
        <v>1</v>
      </c>
      <c r="G121" s="9">
        <v>2752.29</v>
      </c>
      <c r="H121" s="9">
        <v>229.36</v>
      </c>
      <c r="I121" s="9">
        <v>91.74</v>
      </c>
      <c r="J121" s="9">
        <v>688.07</v>
      </c>
      <c r="K121" s="9">
        <v>321.1</v>
      </c>
      <c r="L121" s="9">
        <v>504.59</v>
      </c>
      <c r="M121" s="9">
        <v>412.84</v>
      </c>
      <c r="N121" s="16">
        <f t="shared" si="1"/>
        <v>4999.99</v>
      </c>
    </row>
    <row r="122" ht="25" customHeight="1" spans="1:14">
      <c r="A122" s="11" t="s">
        <v>50</v>
      </c>
      <c r="B122" s="12"/>
      <c r="C122" s="11"/>
      <c r="D122" s="13"/>
      <c r="E122" s="12"/>
      <c r="F122" s="11"/>
      <c r="G122" s="14"/>
      <c r="H122" s="14"/>
      <c r="I122" s="14"/>
      <c r="J122" s="14"/>
      <c r="K122" s="14"/>
      <c r="L122" s="14"/>
      <c r="M122" s="14"/>
      <c r="N122" s="14">
        <f>SUM(N117:N121)</f>
        <v>8362.27</v>
      </c>
    </row>
    <row r="123" ht="25" customHeight="1" spans="1:14">
      <c r="A123" s="4" t="s">
        <v>188</v>
      </c>
      <c r="B123" s="4"/>
      <c r="C123" s="4"/>
      <c r="D123" s="8"/>
      <c r="E123" s="4"/>
      <c r="F123" s="4"/>
      <c r="G123" s="9"/>
      <c r="H123" s="9"/>
      <c r="I123" s="9"/>
      <c r="J123" s="9"/>
      <c r="K123" s="9"/>
      <c r="L123" s="9"/>
      <c r="M123" s="9"/>
      <c r="N123" s="16">
        <f>SUM(N9+N14+N18+N23+N29+N34+N40+N46+N51+N55+N60+N62+N64+N67+N70+N76+N79+N83+N89+N95+N101+N107+N111+N116+N122)</f>
        <v>4735454.6983</v>
      </c>
    </row>
  </sheetData>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4"/>
  <sheetViews>
    <sheetView topLeftCell="A2" workbookViewId="0">
      <selection activeCell="A5" sqref="$A5:$XFD8"/>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0.3716814159292"/>
    <col min="15" max="15" width="19.9557522123894" customWidth="1"/>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s="37" customFormat="1" ht="45" customHeight="1" spans="1:14">
      <c r="A5" s="27">
        <v>1</v>
      </c>
      <c r="B5" s="27" t="s">
        <v>534</v>
      </c>
      <c r="C5" s="27" t="s">
        <v>535</v>
      </c>
      <c r="D5" s="39" t="s">
        <v>536</v>
      </c>
      <c r="E5" s="27" t="s">
        <v>55</v>
      </c>
      <c r="F5" s="27">
        <v>10</v>
      </c>
      <c r="G5" s="23">
        <v>9660.54</v>
      </c>
      <c r="H5" s="23">
        <v>371.55</v>
      </c>
      <c r="I5" s="23">
        <v>123.84</v>
      </c>
      <c r="J5" s="23">
        <v>495.42</v>
      </c>
      <c r="K5" s="23">
        <v>371.55</v>
      </c>
      <c r="L5" s="23">
        <v>1362.39</v>
      </c>
      <c r="M5" s="23">
        <v>1114.68</v>
      </c>
      <c r="N5" s="40">
        <f>SUM(G5:M5)</f>
        <v>13499.97</v>
      </c>
    </row>
    <row r="6" s="37" customFormat="1" ht="45" customHeight="1" spans="1:14">
      <c r="A6" s="27">
        <v>2</v>
      </c>
      <c r="B6" s="27" t="s">
        <v>537</v>
      </c>
      <c r="C6" s="27" t="s">
        <v>538</v>
      </c>
      <c r="D6" s="39" t="s">
        <v>539</v>
      </c>
      <c r="E6" s="27" t="s">
        <v>540</v>
      </c>
      <c r="F6" s="27">
        <v>1000</v>
      </c>
      <c r="G6" s="23">
        <v>21467.88</v>
      </c>
      <c r="H6" s="23">
        <v>825.69</v>
      </c>
      <c r="I6" s="23">
        <v>275.22</v>
      </c>
      <c r="J6" s="23">
        <v>1100.91</v>
      </c>
      <c r="K6" s="23">
        <v>825.69</v>
      </c>
      <c r="L6" s="23">
        <v>3027.51</v>
      </c>
      <c r="M6" s="23">
        <v>2477.07</v>
      </c>
      <c r="N6" s="40">
        <f>SUM(G6:M6)</f>
        <v>29999.97</v>
      </c>
    </row>
    <row r="7" s="37" customFormat="1" ht="45" customHeight="1" spans="1:14">
      <c r="A7" s="27">
        <v>3</v>
      </c>
      <c r="B7" s="27" t="s">
        <v>541</v>
      </c>
      <c r="C7" s="27" t="s">
        <v>277</v>
      </c>
      <c r="D7" s="39" t="s">
        <v>542</v>
      </c>
      <c r="E7" s="27" t="s">
        <v>62</v>
      </c>
      <c r="F7" s="27">
        <v>1</v>
      </c>
      <c r="G7" s="23">
        <v>522.93</v>
      </c>
      <c r="H7" s="23">
        <v>137.61</v>
      </c>
      <c r="I7" s="23">
        <v>68.82</v>
      </c>
      <c r="J7" s="23">
        <v>385.32</v>
      </c>
      <c r="K7" s="23">
        <v>110.1</v>
      </c>
      <c r="L7" s="23">
        <v>151.38</v>
      </c>
      <c r="M7" s="23">
        <v>123.84</v>
      </c>
      <c r="N7" s="40">
        <f>SUM(G7:M7)</f>
        <v>1500</v>
      </c>
    </row>
    <row r="8" s="37" customFormat="1" ht="89" customHeight="1" spans="1:14">
      <c r="A8" s="27">
        <v>4</v>
      </c>
      <c r="B8" s="27" t="s">
        <v>543</v>
      </c>
      <c r="C8" s="27" t="s">
        <v>133</v>
      </c>
      <c r="D8" s="39" t="s">
        <v>134</v>
      </c>
      <c r="E8" s="27" t="s">
        <v>66</v>
      </c>
      <c r="F8" s="27">
        <v>1</v>
      </c>
      <c r="G8" s="23">
        <v>836.7</v>
      </c>
      <c r="H8" s="23">
        <v>220.17</v>
      </c>
      <c r="I8" s="23">
        <v>110.1</v>
      </c>
      <c r="J8" s="23">
        <v>616.5</v>
      </c>
      <c r="K8" s="23">
        <v>176.16</v>
      </c>
      <c r="L8" s="23">
        <v>242.19</v>
      </c>
      <c r="M8" s="23">
        <v>198.18</v>
      </c>
      <c r="N8" s="40">
        <f>SUM(G8:M8)</f>
        <v>2400</v>
      </c>
    </row>
    <row r="9" ht="25" customHeight="1" spans="1:14">
      <c r="A9" s="11" t="s">
        <v>50</v>
      </c>
      <c r="B9" s="12"/>
      <c r="C9" s="11"/>
      <c r="D9" s="13"/>
      <c r="E9" s="12"/>
      <c r="F9" s="11"/>
      <c r="G9" s="14"/>
      <c r="H9" s="14"/>
      <c r="I9" s="14"/>
      <c r="J9" s="14"/>
      <c r="K9" s="14"/>
      <c r="L9" s="14"/>
      <c r="M9" s="14"/>
      <c r="N9" s="14">
        <f>SUM(N5:N8)</f>
        <v>47399.94</v>
      </c>
    </row>
    <row r="10" ht="45" customHeight="1" spans="1:14">
      <c r="A10" s="4">
        <v>5</v>
      </c>
      <c r="B10" s="4" t="s">
        <v>544</v>
      </c>
      <c r="C10" s="4" t="s">
        <v>64</v>
      </c>
      <c r="D10" s="8" t="s">
        <v>65</v>
      </c>
      <c r="E10" s="4" t="s">
        <v>66</v>
      </c>
      <c r="F10" s="4">
        <v>1</v>
      </c>
      <c r="G10" s="9">
        <v>104.59</v>
      </c>
      <c r="H10" s="9">
        <v>27.52</v>
      </c>
      <c r="I10" s="9">
        <v>13.76</v>
      </c>
      <c r="J10" s="9">
        <v>77.06</v>
      </c>
      <c r="K10" s="9">
        <v>22.02</v>
      </c>
      <c r="L10" s="9">
        <v>30.28</v>
      </c>
      <c r="M10" s="9">
        <v>24.77</v>
      </c>
      <c r="N10" s="16">
        <f t="shared" ref="N9:N14" si="0">SUM(G10:M10)</f>
        <v>300</v>
      </c>
    </row>
    <row r="11" ht="45" customHeight="1" spans="1:14">
      <c r="A11" s="4">
        <v>6</v>
      </c>
      <c r="B11" s="4" t="s">
        <v>545</v>
      </c>
      <c r="C11" s="4" t="s">
        <v>546</v>
      </c>
      <c r="D11" s="8" t="s">
        <v>547</v>
      </c>
      <c r="E11" s="4" t="s">
        <v>66</v>
      </c>
      <c r="F11" s="4">
        <v>1</v>
      </c>
      <c r="G11" s="9">
        <v>139.45</v>
      </c>
      <c r="H11" s="9">
        <v>36.7</v>
      </c>
      <c r="I11" s="9">
        <v>18.35</v>
      </c>
      <c r="J11" s="9">
        <v>102.75</v>
      </c>
      <c r="K11" s="9">
        <v>29.36</v>
      </c>
      <c r="L11" s="9">
        <v>40.37</v>
      </c>
      <c r="M11" s="9">
        <v>33.03</v>
      </c>
      <c r="N11" s="16">
        <f t="shared" si="0"/>
        <v>400.01</v>
      </c>
    </row>
    <row r="12" ht="45" customHeight="1" spans="1:14">
      <c r="A12" s="4">
        <v>7</v>
      </c>
      <c r="B12" s="4" t="s">
        <v>548</v>
      </c>
      <c r="C12" s="4" t="s">
        <v>549</v>
      </c>
      <c r="D12" s="8" t="s">
        <v>550</v>
      </c>
      <c r="E12" s="4" t="s">
        <v>66</v>
      </c>
      <c r="F12" s="4">
        <v>1</v>
      </c>
      <c r="G12" s="9">
        <v>69.72</v>
      </c>
      <c r="H12" s="9">
        <v>18.35</v>
      </c>
      <c r="I12" s="9">
        <v>9.17</v>
      </c>
      <c r="J12" s="9">
        <v>51.38</v>
      </c>
      <c r="K12" s="9">
        <v>14.68</v>
      </c>
      <c r="L12" s="9">
        <v>20.18</v>
      </c>
      <c r="M12" s="9">
        <v>16.51</v>
      </c>
      <c r="N12" s="16">
        <f t="shared" si="0"/>
        <v>199.99</v>
      </c>
    </row>
    <row r="13" ht="25" customHeight="1" spans="1:14">
      <c r="A13" s="11" t="s">
        <v>50</v>
      </c>
      <c r="B13" s="12"/>
      <c r="C13" s="11"/>
      <c r="D13" s="13"/>
      <c r="E13" s="12"/>
      <c r="F13" s="11"/>
      <c r="G13" s="14"/>
      <c r="H13" s="14"/>
      <c r="I13" s="14"/>
      <c r="J13" s="14"/>
      <c r="K13" s="14"/>
      <c r="L13" s="14"/>
      <c r="M13" s="14"/>
      <c r="N13" s="14">
        <f>SUM(N10:N12)</f>
        <v>900</v>
      </c>
    </row>
    <row r="14" ht="25" customHeight="1" spans="1:14">
      <c r="A14" s="4" t="s">
        <v>188</v>
      </c>
      <c r="B14" s="4"/>
      <c r="C14" s="4"/>
      <c r="D14" s="8"/>
      <c r="E14" s="4"/>
      <c r="F14" s="4"/>
      <c r="G14" s="9"/>
      <c r="H14" s="9"/>
      <c r="I14" s="9"/>
      <c r="J14" s="9"/>
      <c r="K14" s="9"/>
      <c r="L14" s="9"/>
      <c r="M14" s="9"/>
      <c r="N14" s="16">
        <f>N9+N13</f>
        <v>48299.94</v>
      </c>
    </row>
  </sheetData>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08"/>
  <sheetViews>
    <sheetView zoomScale="85" zoomScaleNormal="85" topLeftCell="A108" workbookViewId="0">
      <selection activeCell="A1" sqref="A1:N108"/>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0.5309734513274"/>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ht="45" customHeight="1" spans="1:14">
      <c r="A5" s="4">
        <v>1</v>
      </c>
      <c r="B5" s="4" t="s">
        <v>551</v>
      </c>
      <c r="C5" s="4" t="s">
        <v>552</v>
      </c>
      <c r="D5" s="8" t="s">
        <v>553</v>
      </c>
      <c r="E5" s="4" t="s">
        <v>55</v>
      </c>
      <c r="F5" s="4">
        <v>2</v>
      </c>
      <c r="G5" s="9">
        <v>500.92</v>
      </c>
      <c r="H5" s="9">
        <v>19.27</v>
      </c>
      <c r="I5" s="9">
        <v>6.42</v>
      </c>
      <c r="J5" s="9">
        <v>25.69</v>
      </c>
      <c r="K5" s="9">
        <v>19.27</v>
      </c>
      <c r="L5" s="9">
        <v>70.64</v>
      </c>
      <c r="M5" s="9">
        <v>57.8</v>
      </c>
      <c r="N5" s="16">
        <f>SUM(G5:M5)</f>
        <v>700.01</v>
      </c>
    </row>
    <row r="6" ht="74" customHeight="1" spans="1:14">
      <c r="A6" s="4">
        <v>2</v>
      </c>
      <c r="B6" s="4" t="s">
        <v>554</v>
      </c>
      <c r="C6" s="4" t="s">
        <v>555</v>
      </c>
      <c r="D6" s="8" t="s">
        <v>556</v>
      </c>
      <c r="E6" s="4" t="s">
        <v>55</v>
      </c>
      <c r="F6" s="4">
        <v>2</v>
      </c>
      <c r="G6" s="9">
        <v>457.98</v>
      </c>
      <c r="H6" s="9">
        <v>17.61</v>
      </c>
      <c r="I6" s="9">
        <v>5.87</v>
      </c>
      <c r="J6" s="9">
        <v>23.49</v>
      </c>
      <c r="K6" s="9">
        <v>17.61</v>
      </c>
      <c r="L6" s="9">
        <v>64.59</v>
      </c>
      <c r="M6" s="9">
        <v>52.84</v>
      </c>
      <c r="N6" s="16">
        <f>SUM(G6:M6)</f>
        <v>639.99</v>
      </c>
    </row>
    <row r="7" ht="45" customHeight="1" spans="1:14">
      <c r="A7" s="4">
        <v>3</v>
      </c>
      <c r="B7" s="4" t="s">
        <v>557</v>
      </c>
      <c r="C7" s="4" t="s">
        <v>558</v>
      </c>
      <c r="D7" s="8" t="s">
        <v>559</v>
      </c>
      <c r="E7" s="4" t="s">
        <v>540</v>
      </c>
      <c r="F7" s="4">
        <v>1000</v>
      </c>
      <c r="G7" s="9">
        <v>2146.79</v>
      </c>
      <c r="H7" s="9">
        <v>82.57</v>
      </c>
      <c r="I7" s="9">
        <v>27.52</v>
      </c>
      <c r="J7" s="9">
        <v>110.09</v>
      </c>
      <c r="K7" s="9">
        <v>82.57</v>
      </c>
      <c r="L7" s="9">
        <v>302.75</v>
      </c>
      <c r="M7" s="9">
        <v>247.71</v>
      </c>
      <c r="N7" s="16">
        <f>SUM(G7:M7)</f>
        <v>3000</v>
      </c>
    </row>
    <row r="8" ht="25" customHeight="1" spans="1:14">
      <c r="A8" s="11" t="s">
        <v>50</v>
      </c>
      <c r="B8" s="12"/>
      <c r="C8" s="11"/>
      <c r="D8" s="13"/>
      <c r="E8" s="12"/>
      <c r="F8" s="11"/>
      <c r="G8" s="14"/>
      <c r="H8" s="14"/>
      <c r="I8" s="14"/>
      <c r="J8" s="14"/>
      <c r="K8" s="14"/>
      <c r="L8" s="14"/>
      <c r="M8" s="14"/>
      <c r="N8" s="14">
        <f>SUM(N5:N7)</f>
        <v>4340</v>
      </c>
    </row>
    <row r="9" ht="108" customHeight="1" spans="1:14">
      <c r="A9" s="4">
        <v>4</v>
      </c>
      <c r="B9" s="4" t="s">
        <v>560</v>
      </c>
      <c r="C9" s="4" t="s">
        <v>561</v>
      </c>
      <c r="D9" s="8" t="s">
        <v>562</v>
      </c>
      <c r="E9" s="4" t="s">
        <v>55</v>
      </c>
      <c r="F9" s="4">
        <v>103</v>
      </c>
      <c r="G9" s="9">
        <v>50120.37</v>
      </c>
      <c r="H9" s="9">
        <v>1927.71</v>
      </c>
      <c r="I9" s="9">
        <v>642.57</v>
      </c>
      <c r="J9" s="9">
        <v>2570.28</v>
      </c>
      <c r="K9" s="9">
        <v>1927.71</v>
      </c>
      <c r="L9" s="9">
        <v>7068.26</v>
      </c>
      <c r="M9" s="9">
        <v>5783.12</v>
      </c>
      <c r="N9" s="16">
        <f>SUM(G9:M9)</f>
        <v>70040.02</v>
      </c>
    </row>
    <row r="10" ht="108" customHeight="1" spans="1:14">
      <c r="A10" s="4">
        <v>5</v>
      </c>
      <c r="B10" s="4" t="s">
        <v>563</v>
      </c>
      <c r="C10" s="4" t="s">
        <v>564</v>
      </c>
      <c r="D10" s="8" t="s">
        <v>565</v>
      </c>
      <c r="E10" s="4" t="s">
        <v>55</v>
      </c>
      <c r="F10" s="4">
        <v>2</v>
      </c>
      <c r="G10" s="9">
        <v>644.04</v>
      </c>
      <c r="H10" s="9">
        <v>24.77</v>
      </c>
      <c r="I10" s="9">
        <v>8.26</v>
      </c>
      <c r="J10" s="9">
        <v>33.03</v>
      </c>
      <c r="K10" s="9">
        <v>24.77</v>
      </c>
      <c r="L10" s="9">
        <v>90.83</v>
      </c>
      <c r="M10" s="9">
        <v>74.31</v>
      </c>
      <c r="N10" s="16">
        <f>SUM(G10:M10)</f>
        <v>900.01</v>
      </c>
    </row>
    <row r="11" ht="25" customHeight="1" spans="1:14">
      <c r="A11" s="11" t="s">
        <v>50</v>
      </c>
      <c r="B11" s="12"/>
      <c r="C11" s="11"/>
      <c r="D11" s="13"/>
      <c r="E11" s="12"/>
      <c r="F11" s="11"/>
      <c r="G11" s="14"/>
      <c r="H11" s="14"/>
      <c r="I11" s="14"/>
      <c r="J11" s="14"/>
      <c r="K11" s="14"/>
      <c r="L11" s="14"/>
      <c r="M11" s="14"/>
      <c r="N11" s="14">
        <f>SUM(N9:N10)</f>
        <v>70940.03</v>
      </c>
    </row>
    <row r="12" ht="73" customHeight="1" spans="1:14">
      <c r="A12" s="4">
        <v>6</v>
      </c>
      <c r="B12" s="4" t="s">
        <v>566</v>
      </c>
      <c r="C12" s="4" t="s">
        <v>567</v>
      </c>
      <c r="D12" s="8" t="s">
        <v>568</v>
      </c>
      <c r="E12" s="4" t="s">
        <v>93</v>
      </c>
      <c r="F12" s="4">
        <v>341</v>
      </c>
      <c r="G12" s="9">
        <v>26842.02</v>
      </c>
      <c r="H12" s="9">
        <v>1032.39</v>
      </c>
      <c r="I12" s="9">
        <v>344.13</v>
      </c>
      <c r="J12" s="9">
        <v>1376.51</v>
      </c>
      <c r="K12" s="9">
        <v>1032.39</v>
      </c>
      <c r="L12" s="9">
        <v>3785.41</v>
      </c>
      <c r="M12" s="9">
        <v>3097.16</v>
      </c>
      <c r="N12" s="16">
        <f>SUM(G12:M12)</f>
        <v>37510.01</v>
      </c>
    </row>
    <row r="13" ht="134" customHeight="1" spans="1:14">
      <c r="A13" s="4">
        <v>7</v>
      </c>
      <c r="B13" s="4" t="s">
        <v>569</v>
      </c>
      <c r="C13" s="4" t="s">
        <v>570</v>
      </c>
      <c r="D13" s="8" t="s">
        <v>571</v>
      </c>
      <c r="E13" s="4" t="s">
        <v>55</v>
      </c>
      <c r="F13" s="4">
        <v>480</v>
      </c>
      <c r="G13" s="9">
        <v>87588.99</v>
      </c>
      <c r="H13" s="9">
        <v>3368.81</v>
      </c>
      <c r="I13" s="9">
        <v>1122.94</v>
      </c>
      <c r="J13" s="9">
        <v>4491.74</v>
      </c>
      <c r="K13" s="9">
        <v>3368.81</v>
      </c>
      <c r="L13" s="9">
        <v>12352.29</v>
      </c>
      <c r="M13" s="9">
        <v>10106.42</v>
      </c>
      <c r="N13" s="16">
        <f>SUM(G13:M13)</f>
        <v>122400</v>
      </c>
    </row>
    <row r="14" ht="25" customHeight="1" spans="1:14">
      <c r="A14" s="11" t="s">
        <v>50</v>
      </c>
      <c r="B14" s="12"/>
      <c r="C14" s="11"/>
      <c r="D14" s="13"/>
      <c r="E14" s="12"/>
      <c r="F14" s="11"/>
      <c r="G14" s="14"/>
      <c r="H14" s="14"/>
      <c r="I14" s="14"/>
      <c r="J14" s="14"/>
      <c r="K14" s="14"/>
      <c r="L14" s="14"/>
      <c r="M14" s="14"/>
      <c r="N14" s="14">
        <f>SUM(N12:N13)</f>
        <v>159910.01</v>
      </c>
    </row>
    <row r="15" ht="45" customHeight="1" spans="1:14">
      <c r="A15" s="4">
        <v>8</v>
      </c>
      <c r="B15" s="4" t="s">
        <v>572</v>
      </c>
      <c r="C15" s="4" t="s">
        <v>573</v>
      </c>
      <c r="D15" s="8" t="s">
        <v>574</v>
      </c>
      <c r="E15" s="4" t="s">
        <v>248</v>
      </c>
      <c r="F15" s="4">
        <v>2</v>
      </c>
      <c r="G15" s="9">
        <v>1289.91</v>
      </c>
      <c r="H15" s="9">
        <v>339.45</v>
      </c>
      <c r="I15" s="9">
        <v>169.72</v>
      </c>
      <c r="J15" s="9">
        <v>950.46</v>
      </c>
      <c r="K15" s="9">
        <v>271.56</v>
      </c>
      <c r="L15" s="9">
        <v>373.39</v>
      </c>
      <c r="M15" s="9">
        <v>305.5</v>
      </c>
      <c r="N15" s="16">
        <f>SUM(G15:M15)</f>
        <v>3699.99</v>
      </c>
    </row>
    <row r="16" ht="45" customHeight="1" spans="1:14">
      <c r="A16" s="4">
        <v>9</v>
      </c>
      <c r="B16" s="4" t="s">
        <v>575</v>
      </c>
      <c r="C16" s="4" t="s">
        <v>576</v>
      </c>
      <c r="D16" s="8" t="s">
        <v>577</v>
      </c>
      <c r="E16" s="4" t="s">
        <v>55</v>
      </c>
      <c r="F16" s="4">
        <v>16</v>
      </c>
      <c r="G16" s="9">
        <v>2919.63</v>
      </c>
      <c r="H16" s="9">
        <v>112.29</v>
      </c>
      <c r="I16" s="9">
        <v>37.43</v>
      </c>
      <c r="J16" s="9">
        <v>149.72</v>
      </c>
      <c r="K16" s="9">
        <v>112.29</v>
      </c>
      <c r="L16" s="9">
        <v>411.74</v>
      </c>
      <c r="M16" s="9">
        <v>336.88</v>
      </c>
      <c r="N16" s="16">
        <f>SUM(G16:M16)</f>
        <v>4079.98</v>
      </c>
    </row>
    <row r="17" ht="76" customHeight="1" spans="1:14">
      <c r="A17" s="4">
        <v>10</v>
      </c>
      <c r="B17" s="4" t="s">
        <v>578</v>
      </c>
      <c r="C17" s="4" t="s">
        <v>579</v>
      </c>
      <c r="D17" s="8" t="s">
        <v>580</v>
      </c>
      <c r="E17" s="4" t="s">
        <v>55</v>
      </c>
      <c r="F17" s="4">
        <v>384</v>
      </c>
      <c r="G17" s="9">
        <v>4121.83</v>
      </c>
      <c r="H17" s="9">
        <v>158.53</v>
      </c>
      <c r="I17" s="9">
        <v>52.84</v>
      </c>
      <c r="J17" s="9">
        <v>211.38</v>
      </c>
      <c r="K17" s="9">
        <v>158.53</v>
      </c>
      <c r="L17" s="9">
        <v>581.28</v>
      </c>
      <c r="M17" s="9">
        <v>475.6</v>
      </c>
      <c r="N17" s="16">
        <f>SUM(G17:M17)</f>
        <v>5759.99</v>
      </c>
    </row>
    <row r="18" ht="25" customHeight="1" spans="1:14">
      <c r="A18" s="11" t="s">
        <v>50</v>
      </c>
      <c r="B18" s="12"/>
      <c r="C18" s="11"/>
      <c r="D18" s="13"/>
      <c r="E18" s="12"/>
      <c r="F18" s="11"/>
      <c r="G18" s="14"/>
      <c r="H18" s="14"/>
      <c r="I18" s="14"/>
      <c r="J18" s="14"/>
      <c r="K18" s="14"/>
      <c r="L18" s="14"/>
      <c r="M18" s="14"/>
      <c r="N18" s="14">
        <f>SUM(N15:N17)</f>
        <v>13539.96</v>
      </c>
    </row>
    <row r="19" ht="116" customHeight="1" spans="1:14">
      <c r="A19" s="4">
        <v>11</v>
      </c>
      <c r="B19" s="4" t="s">
        <v>581</v>
      </c>
      <c r="C19" s="4" t="s">
        <v>582</v>
      </c>
      <c r="D19" s="8" t="s">
        <v>583</v>
      </c>
      <c r="E19" s="4" t="s">
        <v>55</v>
      </c>
      <c r="F19" s="4">
        <v>203</v>
      </c>
      <c r="G19" s="9">
        <v>12347.61</v>
      </c>
      <c r="H19" s="9">
        <v>474.91</v>
      </c>
      <c r="I19" s="9">
        <v>158.3</v>
      </c>
      <c r="J19" s="9">
        <v>633.21</v>
      </c>
      <c r="K19" s="9">
        <v>474.91</v>
      </c>
      <c r="L19" s="9">
        <v>1741.33</v>
      </c>
      <c r="M19" s="9">
        <v>1424.72</v>
      </c>
      <c r="N19" s="16">
        <f>SUM(G19:M19)</f>
        <v>17254.99</v>
      </c>
    </row>
    <row r="20" ht="123" customHeight="1" spans="1:14">
      <c r="A20" s="4">
        <v>12</v>
      </c>
      <c r="B20" s="4" t="s">
        <v>584</v>
      </c>
      <c r="C20" s="4" t="s">
        <v>585</v>
      </c>
      <c r="D20" s="8" t="s">
        <v>586</v>
      </c>
      <c r="E20" s="4" t="s">
        <v>55</v>
      </c>
      <c r="F20" s="4">
        <v>283</v>
      </c>
      <c r="G20" s="9">
        <v>36452.48</v>
      </c>
      <c r="H20" s="9">
        <v>1402.02</v>
      </c>
      <c r="I20" s="9">
        <v>467.34</v>
      </c>
      <c r="J20" s="9">
        <v>1869.36</v>
      </c>
      <c r="K20" s="9">
        <v>1402.02</v>
      </c>
      <c r="L20" s="9">
        <v>5140.73</v>
      </c>
      <c r="M20" s="9">
        <v>4206.06</v>
      </c>
      <c r="N20" s="16">
        <f>SUM(G20:M20)</f>
        <v>50940.01</v>
      </c>
    </row>
    <row r="21" ht="25" customHeight="1" spans="1:14">
      <c r="A21" s="11" t="s">
        <v>50</v>
      </c>
      <c r="B21" s="12"/>
      <c r="C21" s="11"/>
      <c r="D21" s="13"/>
      <c r="E21" s="12"/>
      <c r="F21" s="11"/>
      <c r="G21" s="14"/>
      <c r="H21" s="14"/>
      <c r="I21" s="14"/>
      <c r="J21" s="14"/>
      <c r="K21" s="14"/>
      <c r="L21" s="14"/>
      <c r="M21" s="14"/>
      <c r="N21" s="14">
        <f>SUM(N19:N20)</f>
        <v>68195</v>
      </c>
    </row>
    <row r="22" ht="270" customHeight="1" spans="1:14">
      <c r="A22" s="4">
        <v>13</v>
      </c>
      <c r="B22" s="4" t="s">
        <v>587</v>
      </c>
      <c r="C22" s="4" t="s">
        <v>588</v>
      </c>
      <c r="D22" s="8" t="s">
        <v>589</v>
      </c>
      <c r="E22" s="4" t="s">
        <v>248</v>
      </c>
      <c r="F22" s="4">
        <v>2</v>
      </c>
      <c r="G22" s="9">
        <v>4007.34</v>
      </c>
      <c r="H22" s="9">
        <v>154.13</v>
      </c>
      <c r="I22" s="9">
        <v>51.38</v>
      </c>
      <c r="J22" s="9">
        <v>205.5</v>
      </c>
      <c r="K22" s="9">
        <v>154.13</v>
      </c>
      <c r="L22" s="9">
        <v>565.14</v>
      </c>
      <c r="M22" s="9">
        <v>462.39</v>
      </c>
      <c r="N22" s="16">
        <f>SUM(G22:M22)</f>
        <v>5600.01</v>
      </c>
    </row>
    <row r="23" ht="25" customHeight="1" spans="1:14">
      <c r="A23" s="11" t="s">
        <v>50</v>
      </c>
      <c r="B23" s="12"/>
      <c r="C23" s="11"/>
      <c r="D23" s="13"/>
      <c r="E23" s="12"/>
      <c r="F23" s="11"/>
      <c r="G23" s="14"/>
      <c r="H23" s="14"/>
      <c r="I23" s="14"/>
      <c r="J23" s="14"/>
      <c r="K23" s="14"/>
      <c r="L23" s="14"/>
      <c r="M23" s="14"/>
      <c r="N23" s="14">
        <f>N22</f>
        <v>5600.01</v>
      </c>
    </row>
    <row r="24" ht="263" customHeight="1" spans="1:14">
      <c r="A24" s="4">
        <v>14</v>
      </c>
      <c r="B24" s="4" t="s">
        <v>590</v>
      </c>
      <c r="C24" s="4" t="s">
        <v>588</v>
      </c>
      <c r="D24" s="8" t="s">
        <v>591</v>
      </c>
      <c r="E24" s="4" t="s">
        <v>248</v>
      </c>
      <c r="F24" s="4">
        <v>3</v>
      </c>
      <c r="G24" s="9">
        <v>6011.01</v>
      </c>
      <c r="H24" s="9">
        <v>231.19</v>
      </c>
      <c r="I24" s="9">
        <v>77.06</v>
      </c>
      <c r="J24" s="9">
        <v>308.26</v>
      </c>
      <c r="K24" s="9">
        <v>231.19</v>
      </c>
      <c r="L24" s="9">
        <v>847.71</v>
      </c>
      <c r="M24" s="9">
        <v>693.58</v>
      </c>
      <c r="N24" s="16">
        <f>SUM(G24:M24)</f>
        <v>8400</v>
      </c>
    </row>
    <row r="25" ht="25" customHeight="1" spans="1:14">
      <c r="A25" s="11" t="s">
        <v>50</v>
      </c>
      <c r="B25" s="12"/>
      <c r="C25" s="11"/>
      <c r="D25" s="13"/>
      <c r="E25" s="12"/>
      <c r="F25" s="11"/>
      <c r="G25" s="14"/>
      <c r="H25" s="14"/>
      <c r="I25" s="14"/>
      <c r="J25" s="14"/>
      <c r="K25" s="14"/>
      <c r="L25" s="14"/>
      <c r="M25" s="14"/>
      <c r="N25" s="14">
        <f>SUM(N24)</f>
        <v>8400</v>
      </c>
    </row>
    <row r="26" ht="265" customHeight="1" spans="1:14">
      <c r="A26" s="4">
        <v>15</v>
      </c>
      <c r="B26" s="4" t="s">
        <v>592</v>
      </c>
      <c r="C26" s="4" t="s">
        <v>588</v>
      </c>
      <c r="D26" s="8" t="s">
        <v>593</v>
      </c>
      <c r="E26" s="4" t="s">
        <v>248</v>
      </c>
      <c r="F26" s="4">
        <v>2</v>
      </c>
      <c r="G26" s="9">
        <v>4007.34</v>
      </c>
      <c r="H26" s="9">
        <v>154.13</v>
      </c>
      <c r="I26" s="9">
        <v>51.38</v>
      </c>
      <c r="J26" s="9">
        <v>205.5</v>
      </c>
      <c r="K26" s="9">
        <v>154.13</v>
      </c>
      <c r="L26" s="9">
        <v>565.14</v>
      </c>
      <c r="M26" s="9">
        <v>462.39</v>
      </c>
      <c r="N26" s="16">
        <f t="shared" ref="N26:N66" si="0">SUM(G26:M26)</f>
        <v>5600.01</v>
      </c>
    </row>
    <row r="27" ht="25" customHeight="1" spans="1:14">
      <c r="A27" s="11" t="s">
        <v>50</v>
      </c>
      <c r="B27" s="12"/>
      <c r="C27" s="11"/>
      <c r="D27" s="13"/>
      <c r="E27" s="12"/>
      <c r="F27" s="11"/>
      <c r="G27" s="14"/>
      <c r="H27" s="14"/>
      <c r="I27" s="14"/>
      <c r="J27" s="14"/>
      <c r="K27" s="14"/>
      <c r="L27" s="14"/>
      <c r="M27" s="14"/>
      <c r="N27" s="14">
        <f>N26</f>
        <v>5600.01</v>
      </c>
    </row>
    <row r="28" ht="45" customHeight="1" spans="1:14">
      <c r="A28" s="4">
        <v>16</v>
      </c>
      <c r="B28" s="4" t="s">
        <v>594</v>
      </c>
      <c r="C28" s="4" t="s">
        <v>595</v>
      </c>
      <c r="D28" s="8" t="s">
        <v>596</v>
      </c>
      <c r="E28" s="4" t="s">
        <v>55</v>
      </c>
      <c r="F28" s="4">
        <v>2</v>
      </c>
      <c r="G28" s="9">
        <v>280.73</v>
      </c>
      <c r="H28" s="9">
        <v>23.39</v>
      </c>
      <c r="I28" s="9">
        <v>9.36</v>
      </c>
      <c r="J28" s="9">
        <v>70.18</v>
      </c>
      <c r="K28" s="9">
        <v>32.75</v>
      </c>
      <c r="L28" s="9">
        <v>51.47</v>
      </c>
      <c r="M28" s="9">
        <v>42.11</v>
      </c>
      <c r="N28" s="16">
        <f t="shared" si="0"/>
        <v>509.99</v>
      </c>
    </row>
    <row r="29" ht="45" customHeight="1" spans="1:14">
      <c r="A29" s="4">
        <v>17</v>
      </c>
      <c r="B29" s="4" t="s">
        <v>597</v>
      </c>
      <c r="C29" s="4" t="s">
        <v>598</v>
      </c>
      <c r="D29" s="8" t="s">
        <v>599</v>
      </c>
      <c r="E29" s="4" t="s">
        <v>93</v>
      </c>
      <c r="F29" s="4">
        <v>220</v>
      </c>
      <c r="G29" s="9">
        <v>23009.17</v>
      </c>
      <c r="H29" s="9">
        <v>6055.05</v>
      </c>
      <c r="I29" s="9">
        <v>3027.52</v>
      </c>
      <c r="J29" s="9">
        <v>16954.13</v>
      </c>
      <c r="K29" s="9">
        <v>4844.04</v>
      </c>
      <c r="L29" s="9">
        <v>6660.55</v>
      </c>
      <c r="M29" s="9">
        <v>5449.54</v>
      </c>
      <c r="N29" s="16">
        <f t="shared" si="0"/>
        <v>66000</v>
      </c>
    </row>
    <row r="30" ht="25" customHeight="1" spans="1:14">
      <c r="A30" s="11" t="s">
        <v>50</v>
      </c>
      <c r="B30" s="12"/>
      <c r="C30" s="11"/>
      <c r="D30" s="13"/>
      <c r="E30" s="12"/>
      <c r="F30" s="11"/>
      <c r="G30" s="14"/>
      <c r="H30" s="14"/>
      <c r="I30" s="14"/>
      <c r="J30" s="14"/>
      <c r="K30" s="14"/>
      <c r="L30" s="14"/>
      <c r="M30" s="14"/>
      <c r="N30" s="14">
        <f>SUM(N28:N29)</f>
        <v>66509.99</v>
      </c>
    </row>
    <row r="31" ht="45" customHeight="1" spans="1:14">
      <c r="A31" s="4">
        <v>18</v>
      </c>
      <c r="B31" s="4" t="s">
        <v>600</v>
      </c>
      <c r="C31" s="4" t="s">
        <v>601</v>
      </c>
      <c r="D31" s="8" t="s">
        <v>602</v>
      </c>
      <c r="E31" s="4" t="s">
        <v>55</v>
      </c>
      <c r="F31" s="4">
        <v>44</v>
      </c>
      <c r="G31" s="9">
        <v>10899.08</v>
      </c>
      <c r="H31" s="9">
        <v>908.26</v>
      </c>
      <c r="I31" s="9">
        <v>363.3</v>
      </c>
      <c r="J31" s="9">
        <v>2724.77</v>
      </c>
      <c r="K31" s="9">
        <v>1271.56</v>
      </c>
      <c r="L31" s="9">
        <v>1998.17</v>
      </c>
      <c r="M31" s="9">
        <v>1634.86</v>
      </c>
      <c r="N31" s="16">
        <f t="shared" si="0"/>
        <v>19800</v>
      </c>
    </row>
    <row r="32" ht="45" customHeight="1" spans="1:14">
      <c r="A32" s="4">
        <v>19</v>
      </c>
      <c r="B32" s="4" t="s">
        <v>603</v>
      </c>
      <c r="C32" s="4" t="s">
        <v>165</v>
      </c>
      <c r="D32" s="8" t="s">
        <v>166</v>
      </c>
      <c r="E32" s="4" t="s">
        <v>157</v>
      </c>
      <c r="F32" s="4">
        <v>1100</v>
      </c>
      <c r="G32" s="9">
        <v>2361.47</v>
      </c>
      <c r="H32" s="9">
        <v>90.83</v>
      </c>
      <c r="I32" s="9">
        <v>30.28</v>
      </c>
      <c r="J32" s="9">
        <v>121.1</v>
      </c>
      <c r="K32" s="9">
        <v>90.83</v>
      </c>
      <c r="L32" s="9">
        <v>333.03</v>
      </c>
      <c r="M32" s="9">
        <v>272.48</v>
      </c>
      <c r="N32" s="16">
        <f t="shared" si="0"/>
        <v>3300.02</v>
      </c>
    </row>
    <row r="33" ht="45" customHeight="1" spans="1:14">
      <c r="A33" s="4">
        <v>20</v>
      </c>
      <c r="B33" s="4" t="s">
        <v>604</v>
      </c>
      <c r="C33" s="4" t="s">
        <v>277</v>
      </c>
      <c r="D33" s="8" t="s">
        <v>605</v>
      </c>
      <c r="E33" s="4" t="s">
        <v>62</v>
      </c>
      <c r="F33" s="4">
        <v>1</v>
      </c>
      <c r="G33" s="9">
        <v>2091.74</v>
      </c>
      <c r="H33" s="9">
        <v>550.46</v>
      </c>
      <c r="I33" s="9">
        <v>275.23</v>
      </c>
      <c r="J33" s="9">
        <v>1541.28</v>
      </c>
      <c r="K33" s="9">
        <v>440.37</v>
      </c>
      <c r="L33" s="9">
        <v>605.5</v>
      </c>
      <c r="M33" s="9">
        <v>495.41</v>
      </c>
      <c r="N33" s="16">
        <f t="shared" si="0"/>
        <v>5999.99</v>
      </c>
    </row>
    <row r="34" ht="89" customHeight="1" spans="1:14">
      <c r="A34" s="4">
        <v>21</v>
      </c>
      <c r="B34" s="4" t="s">
        <v>606</v>
      </c>
      <c r="C34" s="4" t="s">
        <v>133</v>
      </c>
      <c r="D34" s="8" t="s">
        <v>134</v>
      </c>
      <c r="E34" s="4" t="s">
        <v>66</v>
      </c>
      <c r="F34" s="4">
        <v>1</v>
      </c>
      <c r="G34" s="9">
        <v>1743.12</v>
      </c>
      <c r="H34" s="9">
        <v>458.72</v>
      </c>
      <c r="I34" s="9">
        <v>229.36</v>
      </c>
      <c r="J34" s="9">
        <v>1284.4</v>
      </c>
      <c r="K34" s="9">
        <v>366.97</v>
      </c>
      <c r="L34" s="9">
        <v>504.59</v>
      </c>
      <c r="M34" s="9">
        <v>412.84</v>
      </c>
      <c r="N34" s="16">
        <f t="shared" si="0"/>
        <v>5000</v>
      </c>
    </row>
    <row r="35" ht="25" customHeight="1" spans="1:14">
      <c r="A35" s="11" t="s">
        <v>50</v>
      </c>
      <c r="B35" s="12"/>
      <c r="C35" s="11"/>
      <c r="D35" s="13"/>
      <c r="E35" s="12"/>
      <c r="F35" s="11"/>
      <c r="G35" s="14"/>
      <c r="H35" s="14"/>
      <c r="I35" s="14"/>
      <c r="J35" s="14"/>
      <c r="K35" s="14"/>
      <c r="L35" s="14"/>
      <c r="M35" s="14"/>
      <c r="N35" s="14">
        <f>SUM(N31:N34)</f>
        <v>34100.01</v>
      </c>
    </row>
    <row r="36" ht="45" customHeight="1" spans="1:14">
      <c r="A36" s="4">
        <v>22</v>
      </c>
      <c r="B36" s="4" t="s">
        <v>607</v>
      </c>
      <c r="C36" s="4" t="s">
        <v>95</v>
      </c>
      <c r="D36" s="8" t="s">
        <v>608</v>
      </c>
      <c r="E36" s="4" t="s">
        <v>47</v>
      </c>
      <c r="F36" s="4">
        <v>534.57</v>
      </c>
      <c r="G36" s="9">
        <v>931.82</v>
      </c>
      <c r="H36" s="9">
        <v>245.22</v>
      </c>
      <c r="I36" s="9">
        <v>122.61</v>
      </c>
      <c r="J36" s="9">
        <v>686.6</v>
      </c>
      <c r="K36" s="9">
        <v>196.17</v>
      </c>
      <c r="L36" s="9">
        <v>269.74</v>
      </c>
      <c r="M36" s="9">
        <v>220.69</v>
      </c>
      <c r="N36" s="16">
        <f t="shared" si="0"/>
        <v>2672.85</v>
      </c>
    </row>
    <row r="37" ht="45" customHeight="1" spans="1:14">
      <c r="A37" s="4">
        <v>23</v>
      </c>
      <c r="B37" s="4" t="s">
        <v>609</v>
      </c>
      <c r="C37" s="4" t="s">
        <v>95</v>
      </c>
      <c r="D37" s="8" t="s">
        <v>610</v>
      </c>
      <c r="E37" s="4" t="s">
        <v>47</v>
      </c>
      <c r="F37" s="4">
        <v>508.4</v>
      </c>
      <c r="G37" s="9">
        <v>886.2</v>
      </c>
      <c r="H37" s="9">
        <v>233.21</v>
      </c>
      <c r="I37" s="9">
        <v>116.61</v>
      </c>
      <c r="J37" s="9">
        <v>652.99</v>
      </c>
      <c r="K37" s="9">
        <v>186.57</v>
      </c>
      <c r="L37" s="9">
        <v>256.53</v>
      </c>
      <c r="M37" s="9">
        <v>209.89</v>
      </c>
      <c r="N37" s="16">
        <f t="shared" si="0"/>
        <v>2542</v>
      </c>
    </row>
    <row r="38" ht="45" customHeight="1" spans="1:14">
      <c r="A38" s="4">
        <v>24</v>
      </c>
      <c r="B38" s="4" t="s">
        <v>611</v>
      </c>
      <c r="C38" s="4" t="s">
        <v>95</v>
      </c>
      <c r="D38" s="8" t="s">
        <v>281</v>
      </c>
      <c r="E38" s="4" t="s">
        <v>47</v>
      </c>
      <c r="F38" s="4">
        <v>594</v>
      </c>
      <c r="G38" s="9">
        <v>931.87</v>
      </c>
      <c r="H38" s="9">
        <v>245.23</v>
      </c>
      <c r="I38" s="9">
        <v>122.61</v>
      </c>
      <c r="J38" s="9">
        <v>686.64</v>
      </c>
      <c r="K38" s="9">
        <v>196.18</v>
      </c>
      <c r="L38" s="9">
        <v>269.75</v>
      </c>
      <c r="M38" s="9">
        <v>220.71</v>
      </c>
      <c r="N38" s="16">
        <f t="shared" si="0"/>
        <v>2672.99</v>
      </c>
    </row>
    <row r="39" ht="45" customHeight="1" spans="1:14">
      <c r="A39" s="4">
        <v>25</v>
      </c>
      <c r="B39" s="4" t="s">
        <v>612</v>
      </c>
      <c r="C39" s="4" t="s">
        <v>100</v>
      </c>
      <c r="D39" s="8" t="s">
        <v>285</v>
      </c>
      <c r="E39" s="4" t="s">
        <v>47</v>
      </c>
      <c r="F39" s="4">
        <v>26.1</v>
      </c>
      <c r="G39" s="9">
        <v>112.06</v>
      </c>
      <c r="H39" s="9">
        <v>9.34</v>
      </c>
      <c r="I39" s="9">
        <v>3.74</v>
      </c>
      <c r="J39" s="9">
        <v>28.02</v>
      </c>
      <c r="K39" s="9">
        <v>13.07</v>
      </c>
      <c r="L39" s="9">
        <v>20.54</v>
      </c>
      <c r="M39" s="9">
        <v>16.81</v>
      </c>
      <c r="N39" s="16">
        <f t="shared" si="0"/>
        <v>203.58</v>
      </c>
    </row>
    <row r="40" ht="25" customHeight="1" spans="1:14">
      <c r="A40" s="11" t="s">
        <v>50</v>
      </c>
      <c r="B40" s="12"/>
      <c r="C40" s="11"/>
      <c r="D40" s="13"/>
      <c r="E40" s="12"/>
      <c r="F40" s="11"/>
      <c r="G40" s="14"/>
      <c r="H40" s="14"/>
      <c r="I40" s="14"/>
      <c r="J40" s="14"/>
      <c r="K40" s="14"/>
      <c r="L40" s="14"/>
      <c r="M40" s="14"/>
      <c r="N40" s="14">
        <f>SUM(N36:N39)</f>
        <v>8091.42</v>
      </c>
    </row>
    <row r="41" ht="45" customHeight="1" spans="1:14">
      <c r="A41" s="4">
        <v>26</v>
      </c>
      <c r="B41" s="4" t="s">
        <v>613</v>
      </c>
      <c r="C41" s="4" t="s">
        <v>103</v>
      </c>
      <c r="D41" s="8" t="s">
        <v>287</v>
      </c>
      <c r="E41" s="4" t="s">
        <v>105</v>
      </c>
      <c r="F41" s="4">
        <v>88.51</v>
      </c>
      <c r="G41" s="9">
        <v>401.14</v>
      </c>
      <c r="H41" s="9">
        <v>105.56</v>
      </c>
      <c r="I41" s="9">
        <v>52.78</v>
      </c>
      <c r="J41" s="9">
        <v>295.57</v>
      </c>
      <c r="K41" s="9">
        <v>84.45</v>
      </c>
      <c r="L41" s="9">
        <v>116.12</v>
      </c>
      <c r="M41" s="9">
        <v>95.01</v>
      </c>
      <c r="N41" s="16">
        <f t="shared" si="0"/>
        <v>1150.63</v>
      </c>
    </row>
    <row r="42" ht="45" customHeight="1" spans="1:14">
      <c r="A42" s="4">
        <v>27</v>
      </c>
      <c r="B42" s="4" t="s">
        <v>614</v>
      </c>
      <c r="C42" s="4" t="s">
        <v>45</v>
      </c>
      <c r="D42" s="8" t="s">
        <v>293</v>
      </c>
      <c r="E42" s="4" t="s">
        <v>47</v>
      </c>
      <c r="F42" s="4">
        <v>894.2</v>
      </c>
      <c r="G42" s="9">
        <v>1402.83</v>
      </c>
      <c r="H42" s="9">
        <v>369.17</v>
      </c>
      <c r="I42" s="9">
        <v>184.58</v>
      </c>
      <c r="J42" s="9">
        <v>1033.66</v>
      </c>
      <c r="K42" s="9">
        <v>295.33</v>
      </c>
      <c r="L42" s="9">
        <v>406.08</v>
      </c>
      <c r="M42" s="9">
        <v>332.25</v>
      </c>
      <c r="N42" s="16">
        <f t="shared" si="0"/>
        <v>4023.9</v>
      </c>
    </row>
    <row r="43" ht="45" customHeight="1" spans="1:14">
      <c r="A43" s="4">
        <v>28</v>
      </c>
      <c r="B43" s="4" t="s">
        <v>615</v>
      </c>
      <c r="C43" s="4" t="s">
        <v>45</v>
      </c>
      <c r="D43" s="8" t="s">
        <v>295</v>
      </c>
      <c r="E43" s="4" t="s">
        <v>47</v>
      </c>
      <c r="F43" s="4">
        <v>2520.5</v>
      </c>
      <c r="G43" s="9">
        <v>3954.18</v>
      </c>
      <c r="H43" s="9">
        <v>1040.57</v>
      </c>
      <c r="I43" s="9">
        <v>520.29</v>
      </c>
      <c r="J43" s="9">
        <v>2913.61</v>
      </c>
      <c r="K43" s="9">
        <v>832.46</v>
      </c>
      <c r="L43" s="9">
        <v>1144.63</v>
      </c>
      <c r="M43" s="9">
        <v>936.52</v>
      </c>
      <c r="N43" s="16">
        <f t="shared" si="0"/>
        <v>11342.26</v>
      </c>
    </row>
    <row r="44" ht="45" customHeight="1" spans="1:14">
      <c r="A44" s="4">
        <v>29</v>
      </c>
      <c r="B44" s="4" t="s">
        <v>616</v>
      </c>
      <c r="C44" s="4" t="s">
        <v>45</v>
      </c>
      <c r="D44" s="8" t="s">
        <v>289</v>
      </c>
      <c r="E44" s="4" t="s">
        <v>47</v>
      </c>
      <c r="F44" s="4">
        <v>773.1</v>
      </c>
      <c r="G44" s="9">
        <v>2156.17</v>
      </c>
      <c r="H44" s="9">
        <v>567.41</v>
      </c>
      <c r="I44" s="9">
        <v>283.71</v>
      </c>
      <c r="J44" s="9">
        <v>1588.76</v>
      </c>
      <c r="K44" s="9">
        <v>453.93</v>
      </c>
      <c r="L44" s="9">
        <v>624.15</v>
      </c>
      <c r="M44" s="9">
        <v>510.67</v>
      </c>
      <c r="N44" s="16">
        <f t="shared" si="0"/>
        <v>6184.8</v>
      </c>
    </row>
    <row r="45" ht="25" customHeight="1" spans="1:14">
      <c r="A45" s="11" t="s">
        <v>50</v>
      </c>
      <c r="B45" s="12"/>
      <c r="C45" s="11"/>
      <c r="D45" s="13"/>
      <c r="E45" s="12"/>
      <c r="F45" s="11"/>
      <c r="G45" s="14"/>
      <c r="H45" s="14"/>
      <c r="I45" s="14"/>
      <c r="J45" s="14"/>
      <c r="K45" s="14"/>
      <c r="L45" s="14"/>
      <c r="M45" s="14"/>
      <c r="N45" s="14">
        <f>SUM(N41:N44)</f>
        <v>22701.59</v>
      </c>
    </row>
    <row r="46" ht="45" customHeight="1" spans="1:14">
      <c r="A46" s="4">
        <v>30</v>
      </c>
      <c r="B46" s="4" t="s">
        <v>617</v>
      </c>
      <c r="C46" s="4" t="s">
        <v>45</v>
      </c>
      <c r="D46" s="8" t="s">
        <v>291</v>
      </c>
      <c r="E46" s="4" t="s">
        <v>47</v>
      </c>
      <c r="F46" s="4">
        <v>2234.4</v>
      </c>
      <c r="G46" s="9">
        <v>4673.79</v>
      </c>
      <c r="H46" s="9">
        <v>1229.94</v>
      </c>
      <c r="I46" s="9">
        <v>614.97</v>
      </c>
      <c r="J46" s="9">
        <v>3443.85</v>
      </c>
      <c r="K46" s="9">
        <v>983.96</v>
      </c>
      <c r="L46" s="9">
        <v>1352.94</v>
      </c>
      <c r="M46" s="9">
        <v>1106.95</v>
      </c>
      <c r="N46" s="16">
        <f t="shared" si="0"/>
        <v>13406.4</v>
      </c>
    </row>
    <row r="47" ht="45" customHeight="1" spans="1:14">
      <c r="A47" s="4">
        <v>31</v>
      </c>
      <c r="B47" s="4" t="s">
        <v>618</v>
      </c>
      <c r="C47" s="4" t="s">
        <v>45</v>
      </c>
      <c r="D47" s="8" t="s">
        <v>619</v>
      </c>
      <c r="E47" s="4" t="s">
        <v>47</v>
      </c>
      <c r="F47" s="4">
        <v>1049.4</v>
      </c>
      <c r="G47" s="9">
        <v>2926.77</v>
      </c>
      <c r="H47" s="9">
        <v>770.2</v>
      </c>
      <c r="I47" s="9">
        <v>385.1</v>
      </c>
      <c r="J47" s="9">
        <v>2156.57</v>
      </c>
      <c r="K47" s="9">
        <v>616.16</v>
      </c>
      <c r="L47" s="9">
        <v>847.22</v>
      </c>
      <c r="M47" s="9">
        <v>693.18</v>
      </c>
      <c r="N47" s="16">
        <f t="shared" si="0"/>
        <v>8395.2</v>
      </c>
    </row>
    <row r="48" ht="45" customHeight="1" spans="1:14">
      <c r="A48" s="4">
        <v>32</v>
      </c>
      <c r="B48" s="4" t="s">
        <v>620</v>
      </c>
      <c r="C48" s="4" t="s">
        <v>45</v>
      </c>
      <c r="D48" s="8" t="s">
        <v>621</v>
      </c>
      <c r="E48" s="4" t="s">
        <v>47</v>
      </c>
      <c r="F48" s="4">
        <v>2872</v>
      </c>
      <c r="G48" s="9">
        <v>6007.49</v>
      </c>
      <c r="H48" s="9">
        <v>1580.92</v>
      </c>
      <c r="I48" s="9">
        <v>790.46</v>
      </c>
      <c r="J48" s="9">
        <v>4426.57</v>
      </c>
      <c r="K48" s="9">
        <v>1264.73</v>
      </c>
      <c r="L48" s="9">
        <v>1739.01</v>
      </c>
      <c r="M48" s="9">
        <v>1422.83</v>
      </c>
      <c r="N48" s="16">
        <f t="shared" si="0"/>
        <v>17232.01</v>
      </c>
    </row>
    <row r="49" ht="45" customHeight="1" spans="1:14">
      <c r="A49" s="4">
        <v>33</v>
      </c>
      <c r="B49" s="4" t="s">
        <v>622</v>
      </c>
      <c r="C49" s="4" t="s">
        <v>110</v>
      </c>
      <c r="D49" s="8" t="s">
        <v>422</v>
      </c>
      <c r="E49" s="4" t="s">
        <v>47</v>
      </c>
      <c r="F49" s="4">
        <v>461.8</v>
      </c>
      <c r="G49" s="9">
        <v>482.98</v>
      </c>
      <c r="H49" s="9">
        <v>127.1</v>
      </c>
      <c r="I49" s="9">
        <v>63.55</v>
      </c>
      <c r="J49" s="9">
        <v>355.88</v>
      </c>
      <c r="K49" s="9">
        <v>101.68</v>
      </c>
      <c r="L49" s="9">
        <v>139.81</v>
      </c>
      <c r="M49" s="9">
        <v>114.39</v>
      </c>
      <c r="N49" s="16">
        <f t="shared" si="0"/>
        <v>1385.39</v>
      </c>
    </row>
    <row r="50" ht="45" customHeight="1" spans="1:14">
      <c r="A50" s="4">
        <v>34</v>
      </c>
      <c r="B50" s="4" t="s">
        <v>623</v>
      </c>
      <c r="C50" s="4" t="s">
        <v>110</v>
      </c>
      <c r="D50" s="8" t="s">
        <v>424</v>
      </c>
      <c r="E50" s="4" t="s">
        <v>47</v>
      </c>
      <c r="F50" s="4">
        <v>154.5</v>
      </c>
      <c r="G50" s="9">
        <v>161.59</v>
      </c>
      <c r="H50" s="9">
        <v>42.52</v>
      </c>
      <c r="I50" s="9">
        <v>21.26</v>
      </c>
      <c r="J50" s="9">
        <v>119.06</v>
      </c>
      <c r="K50" s="9">
        <v>34.02</v>
      </c>
      <c r="L50" s="9">
        <v>46.78</v>
      </c>
      <c r="M50" s="9">
        <v>38.27</v>
      </c>
      <c r="N50" s="16">
        <f t="shared" si="0"/>
        <v>463.5</v>
      </c>
    </row>
    <row r="51" ht="25" customHeight="1" spans="1:14">
      <c r="A51" s="11" t="s">
        <v>50</v>
      </c>
      <c r="B51" s="12"/>
      <c r="C51" s="11"/>
      <c r="D51" s="13"/>
      <c r="E51" s="12"/>
      <c r="F51" s="11"/>
      <c r="G51" s="14"/>
      <c r="H51" s="14"/>
      <c r="I51" s="14"/>
      <c r="J51" s="14"/>
      <c r="K51" s="14"/>
      <c r="L51" s="14"/>
      <c r="M51" s="14"/>
      <c r="N51" s="14">
        <f>SUM(N46:N50)</f>
        <v>40882.5</v>
      </c>
    </row>
    <row r="52" ht="45" customHeight="1" spans="1:14">
      <c r="A52" s="4">
        <v>35</v>
      </c>
      <c r="B52" s="4" t="s">
        <v>624</v>
      </c>
      <c r="C52" s="4" t="s">
        <v>45</v>
      </c>
      <c r="D52" s="8" t="s">
        <v>625</v>
      </c>
      <c r="E52" s="4" t="s">
        <v>47</v>
      </c>
      <c r="F52" s="4">
        <v>594</v>
      </c>
      <c r="G52" s="9">
        <v>1201.08</v>
      </c>
      <c r="H52" s="9">
        <v>316.07</v>
      </c>
      <c r="I52" s="9">
        <v>158.04</v>
      </c>
      <c r="J52" s="9">
        <v>885.01</v>
      </c>
      <c r="K52" s="9">
        <v>252.86</v>
      </c>
      <c r="L52" s="9">
        <v>347.68</v>
      </c>
      <c r="M52" s="9">
        <v>284.47</v>
      </c>
      <c r="N52" s="16">
        <f t="shared" si="0"/>
        <v>3445.21</v>
      </c>
    </row>
    <row r="53" ht="45" customHeight="1" spans="1:14">
      <c r="A53" s="4">
        <v>36</v>
      </c>
      <c r="B53" s="4" t="s">
        <v>626</v>
      </c>
      <c r="C53" s="4" t="s">
        <v>45</v>
      </c>
      <c r="D53" s="8" t="s">
        <v>309</v>
      </c>
      <c r="E53" s="4" t="s">
        <v>47</v>
      </c>
      <c r="F53" s="4">
        <v>891</v>
      </c>
      <c r="G53" s="9">
        <v>1087.18</v>
      </c>
      <c r="H53" s="9">
        <v>286.1</v>
      </c>
      <c r="I53" s="9">
        <v>143.05</v>
      </c>
      <c r="J53" s="9">
        <v>801.08</v>
      </c>
      <c r="K53" s="9">
        <v>228.88</v>
      </c>
      <c r="L53" s="9">
        <v>314.71</v>
      </c>
      <c r="M53" s="9">
        <v>257.49</v>
      </c>
      <c r="N53" s="16">
        <f t="shared" si="0"/>
        <v>3118.49</v>
      </c>
    </row>
    <row r="54" ht="45" customHeight="1" spans="1:14">
      <c r="A54" s="4">
        <v>37</v>
      </c>
      <c r="B54" s="4" t="s">
        <v>627</v>
      </c>
      <c r="C54" s="4" t="s">
        <v>91</v>
      </c>
      <c r="D54" s="8" t="s">
        <v>297</v>
      </c>
      <c r="E54" s="4" t="s">
        <v>93</v>
      </c>
      <c r="F54" s="4">
        <v>87</v>
      </c>
      <c r="G54" s="9">
        <v>454.95</v>
      </c>
      <c r="H54" s="9">
        <v>119.72</v>
      </c>
      <c r="I54" s="9">
        <v>59.86</v>
      </c>
      <c r="J54" s="9">
        <v>335.23</v>
      </c>
      <c r="K54" s="9">
        <v>95.78</v>
      </c>
      <c r="L54" s="9">
        <v>131.7</v>
      </c>
      <c r="M54" s="9">
        <v>107.75</v>
      </c>
      <c r="N54" s="16">
        <f t="shared" si="0"/>
        <v>1304.99</v>
      </c>
    </row>
    <row r="55" ht="45" customHeight="1" spans="1:14">
      <c r="A55" s="4">
        <v>38</v>
      </c>
      <c r="B55" s="4" t="s">
        <v>628</v>
      </c>
      <c r="C55" s="4" t="s">
        <v>95</v>
      </c>
      <c r="D55" s="8" t="s">
        <v>608</v>
      </c>
      <c r="E55" s="4" t="s">
        <v>47</v>
      </c>
      <c r="F55" s="4">
        <v>191.3</v>
      </c>
      <c r="G55" s="9">
        <v>333.46</v>
      </c>
      <c r="H55" s="9">
        <v>87.75</v>
      </c>
      <c r="I55" s="9">
        <v>43.88</v>
      </c>
      <c r="J55" s="9">
        <v>245.71</v>
      </c>
      <c r="K55" s="9">
        <v>70.2</v>
      </c>
      <c r="L55" s="9">
        <v>96.53</v>
      </c>
      <c r="M55" s="9">
        <v>78.98</v>
      </c>
      <c r="N55" s="16">
        <f t="shared" si="0"/>
        <v>956.51</v>
      </c>
    </row>
    <row r="56" ht="25" customHeight="1" spans="1:14">
      <c r="A56" s="11" t="s">
        <v>50</v>
      </c>
      <c r="B56" s="12"/>
      <c r="C56" s="11"/>
      <c r="D56" s="13"/>
      <c r="E56" s="12"/>
      <c r="F56" s="11"/>
      <c r="G56" s="14"/>
      <c r="H56" s="14"/>
      <c r="I56" s="14"/>
      <c r="J56" s="14"/>
      <c r="K56" s="14"/>
      <c r="L56" s="14"/>
      <c r="M56" s="14"/>
      <c r="N56" s="14">
        <f>SUM(N52:N55)</f>
        <v>8825.2</v>
      </c>
    </row>
    <row r="57" ht="45" customHeight="1" spans="1:14">
      <c r="A57" s="4">
        <v>39</v>
      </c>
      <c r="B57" s="4" t="s">
        <v>629</v>
      </c>
      <c r="C57" s="4" t="s">
        <v>95</v>
      </c>
      <c r="D57" s="8" t="s">
        <v>610</v>
      </c>
      <c r="E57" s="4" t="s">
        <v>47</v>
      </c>
      <c r="F57" s="4">
        <v>6</v>
      </c>
      <c r="G57" s="9">
        <v>10.46</v>
      </c>
      <c r="H57" s="9">
        <v>2.75</v>
      </c>
      <c r="I57" s="9">
        <v>1.38</v>
      </c>
      <c r="J57" s="9">
        <v>7.71</v>
      </c>
      <c r="K57" s="9">
        <v>2.2</v>
      </c>
      <c r="L57" s="9">
        <v>3.03</v>
      </c>
      <c r="M57" s="9">
        <v>2.48</v>
      </c>
      <c r="N57" s="16">
        <f t="shared" si="0"/>
        <v>30.01</v>
      </c>
    </row>
    <row r="58" ht="45" customHeight="1" spans="1:14">
      <c r="A58" s="4">
        <v>40</v>
      </c>
      <c r="B58" s="4" t="s">
        <v>630</v>
      </c>
      <c r="C58" s="4" t="s">
        <v>95</v>
      </c>
      <c r="D58" s="8" t="s">
        <v>281</v>
      </c>
      <c r="E58" s="4" t="s">
        <v>47</v>
      </c>
      <c r="F58" s="4">
        <v>120</v>
      </c>
      <c r="G58" s="9">
        <v>188.26</v>
      </c>
      <c r="H58" s="9">
        <v>49.54</v>
      </c>
      <c r="I58" s="9">
        <v>24.77</v>
      </c>
      <c r="J58" s="9">
        <v>138.72</v>
      </c>
      <c r="K58" s="9">
        <v>39.63</v>
      </c>
      <c r="L58" s="9">
        <v>54.5</v>
      </c>
      <c r="M58" s="9">
        <v>44.59</v>
      </c>
      <c r="N58" s="16">
        <f t="shared" si="0"/>
        <v>540.01</v>
      </c>
    </row>
    <row r="59" ht="45" customHeight="1" spans="1:14">
      <c r="A59" s="4">
        <v>41</v>
      </c>
      <c r="B59" s="4" t="s">
        <v>631</v>
      </c>
      <c r="C59" s="4" t="s">
        <v>100</v>
      </c>
      <c r="D59" s="8" t="s">
        <v>285</v>
      </c>
      <c r="E59" s="4" t="s">
        <v>47</v>
      </c>
      <c r="F59" s="4">
        <v>6</v>
      </c>
      <c r="G59" s="9">
        <v>25.76</v>
      </c>
      <c r="H59" s="9">
        <v>2.15</v>
      </c>
      <c r="I59" s="9">
        <v>0.86</v>
      </c>
      <c r="J59" s="9">
        <v>6.44</v>
      </c>
      <c r="K59" s="9">
        <v>3.01</v>
      </c>
      <c r="L59" s="9">
        <v>4.72</v>
      </c>
      <c r="M59" s="9">
        <v>3.86</v>
      </c>
      <c r="N59" s="16">
        <f t="shared" si="0"/>
        <v>46.8</v>
      </c>
    </row>
    <row r="60" ht="45" customHeight="1" spans="1:14">
      <c r="A60" s="4">
        <v>42</v>
      </c>
      <c r="B60" s="4" t="s">
        <v>632</v>
      </c>
      <c r="C60" s="4" t="s">
        <v>103</v>
      </c>
      <c r="D60" s="8" t="s">
        <v>287</v>
      </c>
      <c r="E60" s="4" t="s">
        <v>105</v>
      </c>
      <c r="F60" s="4">
        <v>12.74</v>
      </c>
      <c r="G60" s="9">
        <v>57.74</v>
      </c>
      <c r="H60" s="9">
        <v>15.19</v>
      </c>
      <c r="I60" s="9">
        <v>7.6</v>
      </c>
      <c r="J60" s="9">
        <v>42.54</v>
      </c>
      <c r="K60" s="9">
        <v>12.16</v>
      </c>
      <c r="L60" s="9">
        <v>16.71</v>
      </c>
      <c r="M60" s="9">
        <v>13.68</v>
      </c>
      <c r="N60" s="16">
        <f t="shared" si="0"/>
        <v>165.62</v>
      </c>
    </row>
    <row r="61" ht="45" customHeight="1" spans="1:14">
      <c r="A61" s="4">
        <v>43</v>
      </c>
      <c r="B61" s="4" t="s">
        <v>633</v>
      </c>
      <c r="C61" s="4" t="s">
        <v>45</v>
      </c>
      <c r="D61" s="8" t="s">
        <v>293</v>
      </c>
      <c r="E61" s="4" t="s">
        <v>47</v>
      </c>
      <c r="F61" s="4">
        <v>77.3</v>
      </c>
      <c r="G61" s="9">
        <v>94.32</v>
      </c>
      <c r="H61" s="9">
        <v>24.82</v>
      </c>
      <c r="I61" s="9">
        <v>12.41</v>
      </c>
      <c r="J61" s="9">
        <v>69.5</v>
      </c>
      <c r="K61" s="9">
        <v>19.86</v>
      </c>
      <c r="L61" s="9">
        <v>27.3</v>
      </c>
      <c r="M61" s="9">
        <v>22.34</v>
      </c>
      <c r="N61" s="16">
        <f t="shared" si="0"/>
        <v>270.55</v>
      </c>
    </row>
    <row r="62" ht="25" customHeight="1" spans="1:14">
      <c r="A62" s="11" t="s">
        <v>50</v>
      </c>
      <c r="B62" s="12"/>
      <c r="C62" s="11"/>
      <c r="D62" s="13"/>
      <c r="E62" s="12"/>
      <c r="F62" s="11"/>
      <c r="G62" s="14"/>
      <c r="H62" s="14"/>
      <c r="I62" s="14"/>
      <c r="J62" s="14"/>
      <c r="K62" s="14"/>
      <c r="L62" s="14"/>
      <c r="M62" s="14"/>
      <c r="N62" s="14">
        <f>SUM(N57:N61)</f>
        <v>1052.99</v>
      </c>
    </row>
    <row r="63" ht="45" customHeight="1" spans="1:14">
      <c r="A63" s="4">
        <v>44</v>
      </c>
      <c r="B63" s="4" t="s">
        <v>634</v>
      </c>
      <c r="C63" s="4" t="s">
        <v>45</v>
      </c>
      <c r="D63" s="8" t="s">
        <v>295</v>
      </c>
      <c r="E63" s="4" t="s">
        <v>47</v>
      </c>
      <c r="F63" s="4">
        <v>1515.5</v>
      </c>
      <c r="G63" s="9">
        <v>2377.53</v>
      </c>
      <c r="H63" s="9">
        <v>625.67</v>
      </c>
      <c r="I63" s="9">
        <v>312.83</v>
      </c>
      <c r="J63" s="9">
        <v>1751.86</v>
      </c>
      <c r="K63" s="9">
        <v>500.53</v>
      </c>
      <c r="L63" s="9">
        <v>688.23</v>
      </c>
      <c r="M63" s="9">
        <v>563.1</v>
      </c>
      <c r="N63" s="16">
        <f t="shared" si="0"/>
        <v>6819.75</v>
      </c>
    </row>
    <row r="64" ht="45" customHeight="1" spans="1:14">
      <c r="A64" s="4">
        <v>45</v>
      </c>
      <c r="B64" s="4" t="s">
        <v>635</v>
      </c>
      <c r="C64" s="4" t="s">
        <v>45</v>
      </c>
      <c r="D64" s="8" t="s">
        <v>289</v>
      </c>
      <c r="E64" s="4" t="s">
        <v>47</v>
      </c>
      <c r="F64" s="4">
        <v>77.3</v>
      </c>
      <c r="G64" s="9">
        <v>161.69</v>
      </c>
      <c r="H64" s="9">
        <v>42.55</v>
      </c>
      <c r="I64" s="9">
        <v>21.28</v>
      </c>
      <c r="J64" s="9">
        <v>119.14</v>
      </c>
      <c r="K64" s="9">
        <v>34.04</v>
      </c>
      <c r="L64" s="9">
        <v>46.81</v>
      </c>
      <c r="M64" s="9">
        <v>38.3</v>
      </c>
      <c r="N64" s="16">
        <f t="shared" si="0"/>
        <v>463.81</v>
      </c>
    </row>
    <row r="65" ht="45" customHeight="1" spans="1:14">
      <c r="A65" s="4">
        <v>46</v>
      </c>
      <c r="B65" s="4" t="s">
        <v>636</v>
      </c>
      <c r="C65" s="4" t="s">
        <v>45</v>
      </c>
      <c r="D65" s="8" t="s">
        <v>291</v>
      </c>
      <c r="E65" s="4" t="s">
        <v>47</v>
      </c>
      <c r="F65" s="4">
        <v>1515.5</v>
      </c>
      <c r="G65" s="9">
        <v>2377.53</v>
      </c>
      <c r="H65" s="9">
        <v>625.67</v>
      </c>
      <c r="I65" s="9">
        <v>312.83</v>
      </c>
      <c r="J65" s="9">
        <v>1751.86</v>
      </c>
      <c r="K65" s="9">
        <v>500.53</v>
      </c>
      <c r="L65" s="9">
        <v>688.23</v>
      </c>
      <c r="M65" s="9">
        <v>563.1</v>
      </c>
      <c r="N65" s="16">
        <f t="shared" si="0"/>
        <v>6819.75</v>
      </c>
    </row>
    <row r="66" ht="45" customHeight="1" spans="1:14">
      <c r="A66" s="4">
        <v>47</v>
      </c>
      <c r="B66" s="4" t="s">
        <v>637</v>
      </c>
      <c r="C66" s="4" t="s">
        <v>45</v>
      </c>
      <c r="D66" s="8" t="s">
        <v>619</v>
      </c>
      <c r="E66" s="4" t="s">
        <v>47</v>
      </c>
      <c r="F66" s="4">
        <v>77.3</v>
      </c>
      <c r="G66" s="9">
        <v>161.69</v>
      </c>
      <c r="H66" s="9">
        <v>42.55</v>
      </c>
      <c r="I66" s="9">
        <v>21.28</v>
      </c>
      <c r="J66" s="9">
        <v>119.14</v>
      </c>
      <c r="K66" s="9">
        <v>34.04</v>
      </c>
      <c r="L66" s="9">
        <v>46.81</v>
      </c>
      <c r="M66" s="9">
        <v>38.3</v>
      </c>
      <c r="N66" s="16">
        <f t="shared" si="0"/>
        <v>463.81</v>
      </c>
    </row>
    <row r="67" ht="45" customHeight="1" spans="1:14">
      <c r="A67" s="4">
        <v>48</v>
      </c>
      <c r="B67" s="4" t="s">
        <v>638</v>
      </c>
      <c r="C67" s="4" t="s">
        <v>45</v>
      </c>
      <c r="D67" s="8" t="s">
        <v>621</v>
      </c>
      <c r="E67" s="4" t="s">
        <v>47</v>
      </c>
      <c r="F67" s="4">
        <v>1515.5</v>
      </c>
      <c r="G67" s="9">
        <v>3170.04</v>
      </c>
      <c r="H67" s="9">
        <v>834.22</v>
      </c>
      <c r="I67" s="9">
        <v>417.11</v>
      </c>
      <c r="J67" s="9">
        <v>2335.82</v>
      </c>
      <c r="K67" s="9">
        <v>667.38</v>
      </c>
      <c r="L67" s="9">
        <v>917.64</v>
      </c>
      <c r="M67" s="9">
        <v>750.8</v>
      </c>
      <c r="N67" s="16">
        <f t="shared" ref="N67:N108" si="1">SUM(G67:M67)</f>
        <v>9093.01</v>
      </c>
    </row>
    <row r="68" ht="25" customHeight="1" spans="1:14">
      <c r="A68" s="11" t="s">
        <v>50</v>
      </c>
      <c r="B68" s="12"/>
      <c r="C68" s="11"/>
      <c r="D68" s="13"/>
      <c r="E68" s="12"/>
      <c r="F68" s="11"/>
      <c r="G68" s="14"/>
      <c r="H68" s="14"/>
      <c r="I68" s="14"/>
      <c r="J68" s="14"/>
      <c r="K68" s="14"/>
      <c r="L68" s="14"/>
      <c r="M68" s="14"/>
      <c r="N68" s="14">
        <f>SUM(N63:N67)</f>
        <v>23660.13</v>
      </c>
    </row>
    <row r="69" ht="45" customHeight="1" spans="1:14">
      <c r="A69" s="4">
        <v>49</v>
      </c>
      <c r="B69" s="4" t="s">
        <v>639</v>
      </c>
      <c r="C69" s="4" t="s">
        <v>45</v>
      </c>
      <c r="D69" s="8" t="s">
        <v>625</v>
      </c>
      <c r="E69" s="4" t="s">
        <v>47</v>
      </c>
      <c r="F69" s="4">
        <v>120</v>
      </c>
      <c r="G69" s="9">
        <v>209.17</v>
      </c>
      <c r="H69" s="9">
        <v>55.05</v>
      </c>
      <c r="I69" s="9">
        <v>27.52</v>
      </c>
      <c r="J69" s="9">
        <v>154.13</v>
      </c>
      <c r="K69" s="9">
        <v>44.04</v>
      </c>
      <c r="L69" s="9">
        <v>60.55</v>
      </c>
      <c r="M69" s="9">
        <v>49.54</v>
      </c>
      <c r="N69" s="16">
        <f t="shared" si="1"/>
        <v>600</v>
      </c>
    </row>
    <row r="70" ht="45" customHeight="1" spans="1:14">
      <c r="A70" s="4">
        <v>50</v>
      </c>
      <c r="B70" s="4" t="s">
        <v>640</v>
      </c>
      <c r="C70" s="4" t="s">
        <v>45</v>
      </c>
      <c r="D70" s="8" t="s">
        <v>309</v>
      </c>
      <c r="E70" s="4" t="s">
        <v>47</v>
      </c>
      <c r="F70" s="4">
        <v>180</v>
      </c>
      <c r="G70" s="9">
        <v>219.63</v>
      </c>
      <c r="H70" s="9">
        <v>57.8</v>
      </c>
      <c r="I70" s="9">
        <v>28.9</v>
      </c>
      <c r="J70" s="9">
        <v>161.83</v>
      </c>
      <c r="K70" s="9">
        <v>46.24</v>
      </c>
      <c r="L70" s="9">
        <v>63.58</v>
      </c>
      <c r="M70" s="9">
        <v>52.02</v>
      </c>
      <c r="N70" s="16">
        <f t="shared" si="1"/>
        <v>630</v>
      </c>
    </row>
    <row r="71" ht="45" customHeight="1" spans="1:14">
      <c r="A71" s="4">
        <v>51</v>
      </c>
      <c r="B71" s="4" t="s">
        <v>641</v>
      </c>
      <c r="C71" s="4" t="s">
        <v>91</v>
      </c>
      <c r="D71" s="8" t="s">
        <v>297</v>
      </c>
      <c r="E71" s="4" t="s">
        <v>93</v>
      </c>
      <c r="F71" s="4">
        <v>20</v>
      </c>
      <c r="G71" s="9">
        <v>104.59</v>
      </c>
      <c r="H71" s="9">
        <v>27.52</v>
      </c>
      <c r="I71" s="9">
        <v>13.76</v>
      </c>
      <c r="J71" s="9">
        <v>77.06</v>
      </c>
      <c r="K71" s="9">
        <v>22.02</v>
      </c>
      <c r="L71" s="9">
        <v>30.28</v>
      </c>
      <c r="M71" s="9">
        <v>24.77</v>
      </c>
      <c r="N71" s="16">
        <f t="shared" si="1"/>
        <v>300</v>
      </c>
    </row>
    <row r="72" ht="45" customHeight="1" spans="1:14">
      <c r="A72" s="4">
        <v>52</v>
      </c>
      <c r="B72" s="4" t="s">
        <v>642</v>
      </c>
      <c r="C72" s="4" t="s">
        <v>95</v>
      </c>
      <c r="D72" s="8" t="s">
        <v>610</v>
      </c>
      <c r="E72" s="4" t="s">
        <v>47</v>
      </c>
      <c r="F72" s="4">
        <v>194.36</v>
      </c>
      <c r="G72" s="9">
        <v>338.79</v>
      </c>
      <c r="H72" s="9">
        <v>89.16</v>
      </c>
      <c r="I72" s="9">
        <v>44.58</v>
      </c>
      <c r="J72" s="9">
        <v>249.64</v>
      </c>
      <c r="K72" s="9">
        <v>71.32</v>
      </c>
      <c r="L72" s="9">
        <v>98.07</v>
      </c>
      <c r="M72" s="9">
        <v>80.24</v>
      </c>
      <c r="N72" s="16">
        <f t="shared" si="1"/>
        <v>971.8</v>
      </c>
    </row>
    <row r="73" ht="25" customHeight="1" spans="1:14">
      <c r="A73" s="11" t="s">
        <v>50</v>
      </c>
      <c r="B73" s="12"/>
      <c r="C73" s="11"/>
      <c r="D73" s="13"/>
      <c r="E73" s="12"/>
      <c r="F73" s="11"/>
      <c r="G73" s="14"/>
      <c r="H73" s="14"/>
      <c r="I73" s="14"/>
      <c r="J73" s="14"/>
      <c r="K73" s="14"/>
      <c r="L73" s="14"/>
      <c r="M73" s="14"/>
      <c r="N73" s="14">
        <f>SUM(N69:N72)</f>
        <v>2501.8</v>
      </c>
    </row>
    <row r="74" ht="45" customHeight="1" spans="1:14">
      <c r="A74" s="4">
        <v>53</v>
      </c>
      <c r="B74" s="4" t="s">
        <v>643</v>
      </c>
      <c r="C74" s="4" t="s">
        <v>95</v>
      </c>
      <c r="D74" s="8" t="s">
        <v>281</v>
      </c>
      <c r="E74" s="4" t="s">
        <v>47</v>
      </c>
      <c r="F74" s="4">
        <v>56</v>
      </c>
      <c r="G74" s="9">
        <v>87.85</v>
      </c>
      <c r="H74" s="9">
        <v>23.12</v>
      </c>
      <c r="I74" s="9">
        <v>11.56</v>
      </c>
      <c r="J74" s="9">
        <v>64.73</v>
      </c>
      <c r="K74" s="9">
        <v>18.5</v>
      </c>
      <c r="L74" s="9">
        <v>25.43</v>
      </c>
      <c r="M74" s="9">
        <v>20.81</v>
      </c>
      <c r="N74" s="16">
        <f t="shared" si="1"/>
        <v>252</v>
      </c>
    </row>
    <row r="75" ht="45" customHeight="1" spans="1:14">
      <c r="A75" s="4">
        <v>54</v>
      </c>
      <c r="B75" s="4" t="s">
        <v>644</v>
      </c>
      <c r="C75" s="4" t="s">
        <v>103</v>
      </c>
      <c r="D75" s="8" t="s">
        <v>287</v>
      </c>
      <c r="E75" s="4" t="s">
        <v>105</v>
      </c>
      <c r="F75" s="4">
        <v>6.72</v>
      </c>
      <c r="G75" s="9">
        <v>30.46</v>
      </c>
      <c r="H75" s="9">
        <v>8.01</v>
      </c>
      <c r="I75" s="9">
        <v>4.01</v>
      </c>
      <c r="J75" s="9">
        <v>22.44</v>
      </c>
      <c r="K75" s="9">
        <v>6.41</v>
      </c>
      <c r="L75" s="9">
        <v>8.82</v>
      </c>
      <c r="M75" s="9">
        <v>7.21</v>
      </c>
      <c r="N75" s="16">
        <f t="shared" si="1"/>
        <v>87.36</v>
      </c>
    </row>
    <row r="76" ht="45" customHeight="1" spans="1:14">
      <c r="A76" s="4">
        <v>55</v>
      </c>
      <c r="B76" s="4" t="s">
        <v>645</v>
      </c>
      <c r="C76" s="4" t="s">
        <v>100</v>
      </c>
      <c r="D76" s="8" t="s">
        <v>285</v>
      </c>
      <c r="E76" s="4" t="s">
        <v>47</v>
      </c>
      <c r="F76" s="4">
        <v>138.36</v>
      </c>
      <c r="G76" s="9">
        <v>594.06</v>
      </c>
      <c r="H76" s="9">
        <v>49.5</v>
      </c>
      <c r="I76" s="9">
        <v>19.8</v>
      </c>
      <c r="J76" s="9">
        <v>148.51</v>
      </c>
      <c r="K76" s="9">
        <v>69.31</v>
      </c>
      <c r="L76" s="9">
        <v>108.91</v>
      </c>
      <c r="M76" s="9">
        <v>89.11</v>
      </c>
      <c r="N76" s="16">
        <f t="shared" si="1"/>
        <v>1079.2</v>
      </c>
    </row>
    <row r="77" ht="45" customHeight="1" spans="1:14">
      <c r="A77" s="4">
        <v>56</v>
      </c>
      <c r="B77" s="4" t="s">
        <v>646</v>
      </c>
      <c r="C77" s="4" t="s">
        <v>45</v>
      </c>
      <c r="D77" s="8" t="s">
        <v>293</v>
      </c>
      <c r="E77" s="4" t="s">
        <v>47</v>
      </c>
      <c r="F77" s="4">
        <v>429.6</v>
      </c>
      <c r="G77" s="9">
        <v>524.19</v>
      </c>
      <c r="H77" s="9">
        <v>137.94</v>
      </c>
      <c r="I77" s="9">
        <v>68.97</v>
      </c>
      <c r="J77" s="9">
        <v>386.25</v>
      </c>
      <c r="K77" s="9">
        <v>110.36</v>
      </c>
      <c r="L77" s="9">
        <v>151.74</v>
      </c>
      <c r="M77" s="9">
        <v>124.15</v>
      </c>
      <c r="N77" s="16">
        <f t="shared" si="1"/>
        <v>1503.6</v>
      </c>
    </row>
    <row r="78" ht="45" customHeight="1" spans="1:14">
      <c r="A78" s="4">
        <v>57</v>
      </c>
      <c r="B78" s="4" t="s">
        <v>647</v>
      </c>
      <c r="C78" s="4" t="s">
        <v>45</v>
      </c>
      <c r="D78" s="8" t="s">
        <v>289</v>
      </c>
      <c r="E78" s="4" t="s">
        <v>47</v>
      </c>
      <c r="F78" s="4">
        <v>292.2</v>
      </c>
      <c r="G78" s="9">
        <v>458.41</v>
      </c>
      <c r="H78" s="9">
        <v>120.63</v>
      </c>
      <c r="I78" s="9">
        <v>60.32</v>
      </c>
      <c r="J78" s="9">
        <v>337.77</v>
      </c>
      <c r="K78" s="9">
        <v>96.51</v>
      </c>
      <c r="L78" s="9">
        <v>132.7</v>
      </c>
      <c r="M78" s="9">
        <v>108.57</v>
      </c>
      <c r="N78" s="16">
        <f t="shared" si="1"/>
        <v>1314.91</v>
      </c>
    </row>
    <row r="79" ht="25" customHeight="1" spans="1:14">
      <c r="A79" s="11" t="s">
        <v>50</v>
      </c>
      <c r="B79" s="12"/>
      <c r="C79" s="11"/>
      <c r="D79" s="13"/>
      <c r="E79" s="12"/>
      <c r="F79" s="11"/>
      <c r="G79" s="14"/>
      <c r="H79" s="14"/>
      <c r="I79" s="14"/>
      <c r="J79" s="14"/>
      <c r="K79" s="14"/>
      <c r="L79" s="14"/>
      <c r="M79" s="14"/>
      <c r="N79" s="14">
        <f>SUM(N74:N78)</f>
        <v>4237.07</v>
      </c>
    </row>
    <row r="80" ht="45" customHeight="1" spans="1:14">
      <c r="A80" s="4">
        <v>58</v>
      </c>
      <c r="B80" s="4" t="s">
        <v>648</v>
      </c>
      <c r="C80" s="4" t="s">
        <v>45</v>
      </c>
      <c r="D80" s="8" t="s">
        <v>619</v>
      </c>
      <c r="E80" s="4" t="s">
        <v>47</v>
      </c>
      <c r="F80" s="4">
        <v>292.2</v>
      </c>
      <c r="G80" s="9">
        <v>611.21</v>
      </c>
      <c r="H80" s="9">
        <v>160.84</v>
      </c>
      <c r="I80" s="9">
        <v>80.42</v>
      </c>
      <c r="J80" s="9">
        <v>450.36</v>
      </c>
      <c r="K80" s="9">
        <v>128.68</v>
      </c>
      <c r="L80" s="9">
        <v>176.93</v>
      </c>
      <c r="M80" s="9">
        <v>144.76</v>
      </c>
      <c r="N80" s="16">
        <f t="shared" si="1"/>
        <v>1753.2</v>
      </c>
    </row>
    <row r="81" ht="45" customHeight="1" spans="1:14">
      <c r="A81" s="4">
        <v>59</v>
      </c>
      <c r="B81" s="4" t="s">
        <v>649</v>
      </c>
      <c r="C81" s="4" t="s">
        <v>110</v>
      </c>
      <c r="D81" s="8" t="s">
        <v>424</v>
      </c>
      <c r="E81" s="4" t="s">
        <v>47</v>
      </c>
      <c r="F81" s="4">
        <v>272.3</v>
      </c>
      <c r="G81" s="9">
        <v>284.79</v>
      </c>
      <c r="H81" s="9">
        <v>74.94</v>
      </c>
      <c r="I81" s="9">
        <v>37.47</v>
      </c>
      <c r="J81" s="9">
        <v>209.85</v>
      </c>
      <c r="K81" s="9">
        <v>59.96</v>
      </c>
      <c r="L81" s="9">
        <v>82.44</v>
      </c>
      <c r="M81" s="9">
        <v>67.45</v>
      </c>
      <c r="N81" s="16">
        <f t="shared" si="1"/>
        <v>816.9</v>
      </c>
    </row>
    <row r="82" ht="45" customHeight="1" spans="1:14">
      <c r="A82" s="4">
        <v>60</v>
      </c>
      <c r="B82" s="4" t="s">
        <v>650</v>
      </c>
      <c r="C82" s="4" t="s">
        <v>45</v>
      </c>
      <c r="D82" s="8" t="s">
        <v>625</v>
      </c>
      <c r="E82" s="4" t="s">
        <v>47</v>
      </c>
      <c r="F82" s="4">
        <v>168</v>
      </c>
      <c r="G82" s="9">
        <v>351.41</v>
      </c>
      <c r="H82" s="9">
        <v>92.48</v>
      </c>
      <c r="I82" s="9">
        <v>46.24</v>
      </c>
      <c r="J82" s="9">
        <v>258.94</v>
      </c>
      <c r="K82" s="9">
        <v>73.98</v>
      </c>
      <c r="L82" s="9">
        <v>101.72</v>
      </c>
      <c r="M82" s="9">
        <v>83.23</v>
      </c>
      <c r="N82" s="16">
        <f t="shared" si="1"/>
        <v>1008</v>
      </c>
    </row>
    <row r="83" ht="45" customHeight="1" spans="1:14">
      <c r="A83" s="4">
        <v>61</v>
      </c>
      <c r="B83" s="4" t="s">
        <v>651</v>
      </c>
      <c r="C83" s="4" t="s">
        <v>45</v>
      </c>
      <c r="D83" s="8" t="s">
        <v>309</v>
      </c>
      <c r="E83" s="4" t="s">
        <v>47</v>
      </c>
      <c r="F83" s="4">
        <v>252</v>
      </c>
      <c r="G83" s="9">
        <v>298.7</v>
      </c>
      <c r="H83" s="9">
        <v>78.61</v>
      </c>
      <c r="I83" s="9">
        <v>39.3</v>
      </c>
      <c r="J83" s="9">
        <v>220.1</v>
      </c>
      <c r="K83" s="9">
        <v>62.88</v>
      </c>
      <c r="L83" s="9">
        <v>86.47</v>
      </c>
      <c r="M83" s="9">
        <v>70.74</v>
      </c>
      <c r="N83" s="16">
        <f t="shared" si="1"/>
        <v>856.8</v>
      </c>
    </row>
    <row r="84" ht="45" customHeight="1" spans="1:14">
      <c r="A84" s="4">
        <v>62</v>
      </c>
      <c r="B84" s="4" t="s">
        <v>652</v>
      </c>
      <c r="C84" s="4" t="s">
        <v>91</v>
      </c>
      <c r="D84" s="8" t="s">
        <v>297</v>
      </c>
      <c r="E84" s="4" t="s">
        <v>93</v>
      </c>
      <c r="F84" s="4">
        <v>16</v>
      </c>
      <c r="G84" s="9">
        <v>83.67</v>
      </c>
      <c r="H84" s="9">
        <v>22.02</v>
      </c>
      <c r="I84" s="9">
        <v>11.01</v>
      </c>
      <c r="J84" s="9">
        <v>61.65</v>
      </c>
      <c r="K84" s="9">
        <v>17.61</v>
      </c>
      <c r="L84" s="9">
        <v>24.22</v>
      </c>
      <c r="M84" s="9">
        <v>19.82</v>
      </c>
      <c r="N84" s="16">
        <f t="shared" si="1"/>
        <v>240</v>
      </c>
    </row>
    <row r="85" ht="25" customHeight="1" spans="1:14">
      <c r="A85" s="11" t="s">
        <v>50</v>
      </c>
      <c r="B85" s="12"/>
      <c r="C85" s="11"/>
      <c r="D85" s="13"/>
      <c r="E85" s="12"/>
      <c r="F85" s="11"/>
      <c r="G85" s="14"/>
      <c r="H85" s="14"/>
      <c r="I85" s="14"/>
      <c r="J85" s="14"/>
      <c r="K85" s="14"/>
      <c r="L85" s="14"/>
      <c r="M85" s="14"/>
      <c r="N85" s="14">
        <f>SUM(N80:N84)</f>
        <v>4674.9</v>
      </c>
    </row>
    <row r="86" ht="45" customHeight="1" spans="1:14">
      <c r="A86" s="4">
        <v>63</v>
      </c>
      <c r="B86" s="4" t="s">
        <v>653</v>
      </c>
      <c r="C86" s="4" t="s">
        <v>95</v>
      </c>
      <c r="D86" s="8" t="s">
        <v>608</v>
      </c>
      <c r="E86" s="4" t="s">
        <v>47</v>
      </c>
      <c r="F86" s="4">
        <v>1622.94</v>
      </c>
      <c r="G86" s="9">
        <v>2828.98</v>
      </c>
      <c r="H86" s="9">
        <v>744.47</v>
      </c>
      <c r="I86" s="9">
        <v>372.23</v>
      </c>
      <c r="J86" s="9">
        <v>2084.51</v>
      </c>
      <c r="K86" s="9">
        <v>595.57</v>
      </c>
      <c r="L86" s="9">
        <v>818.91</v>
      </c>
      <c r="M86" s="9">
        <v>670.02</v>
      </c>
      <c r="N86" s="16">
        <f t="shared" si="1"/>
        <v>8114.69</v>
      </c>
    </row>
    <row r="87" ht="45" customHeight="1" spans="1:14">
      <c r="A87" s="4">
        <v>64</v>
      </c>
      <c r="B87" s="4" t="s">
        <v>654</v>
      </c>
      <c r="C87" s="4" t="s">
        <v>95</v>
      </c>
      <c r="D87" s="8" t="s">
        <v>610</v>
      </c>
      <c r="E87" s="4" t="s">
        <v>47</v>
      </c>
      <c r="F87" s="4">
        <v>1046.4</v>
      </c>
      <c r="G87" s="9">
        <v>1824</v>
      </c>
      <c r="H87" s="9">
        <v>480</v>
      </c>
      <c r="I87" s="9">
        <v>240</v>
      </c>
      <c r="J87" s="9">
        <v>1344</v>
      </c>
      <c r="K87" s="9">
        <v>384</v>
      </c>
      <c r="L87" s="9">
        <v>528</v>
      </c>
      <c r="M87" s="9">
        <v>432</v>
      </c>
      <c r="N87" s="16">
        <f t="shared" si="1"/>
        <v>5232</v>
      </c>
    </row>
    <row r="88" ht="45" customHeight="1" spans="1:14">
      <c r="A88" s="4">
        <v>65</v>
      </c>
      <c r="B88" s="4" t="s">
        <v>655</v>
      </c>
      <c r="C88" s="4" t="s">
        <v>95</v>
      </c>
      <c r="D88" s="8" t="s">
        <v>281</v>
      </c>
      <c r="E88" s="4" t="s">
        <v>47</v>
      </c>
      <c r="F88" s="4">
        <v>382</v>
      </c>
      <c r="G88" s="9">
        <v>599.28</v>
      </c>
      <c r="H88" s="9">
        <v>157.71</v>
      </c>
      <c r="I88" s="9">
        <v>78.85</v>
      </c>
      <c r="J88" s="9">
        <v>441.58</v>
      </c>
      <c r="K88" s="9">
        <v>126.17</v>
      </c>
      <c r="L88" s="9">
        <v>173.48</v>
      </c>
      <c r="M88" s="9">
        <v>141.94</v>
      </c>
      <c r="N88" s="16">
        <f t="shared" si="1"/>
        <v>1719.01</v>
      </c>
    </row>
    <row r="89" ht="45" customHeight="1" spans="1:14">
      <c r="A89" s="4">
        <v>66</v>
      </c>
      <c r="B89" s="4" t="s">
        <v>656</v>
      </c>
      <c r="C89" s="4" t="s">
        <v>100</v>
      </c>
      <c r="D89" s="8" t="s">
        <v>285</v>
      </c>
      <c r="E89" s="4" t="s">
        <v>47</v>
      </c>
      <c r="F89" s="4">
        <v>523</v>
      </c>
      <c r="G89" s="9">
        <v>2245.54</v>
      </c>
      <c r="H89" s="9">
        <v>187.13</v>
      </c>
      <c r="I89" s="9">
        <v>74.85</v>
      </c>
      <c r="J89" s="9">
        <v>561.39</v>
      </c>
      <c r="K89" s="9">
        <v>261.98</v>
      </c>
      <c r="L89" s="9">
        <v>411.68</v>
      </c>
      <c r="M89" s="9">
        <v>336.83</v>
      </c>
      <c r="N89" s="16">
        <f t="shared" si="1"/>
        <v>4079.4</v>
      </c>
    </row>
    <row r="90" ht="25" customHeight="1" spans="1:14">
      <c r="A90" s="11" t="s">
        <v>50</v>
      </c>
      <c r="B90" s="12"/>
      <c r="C90" s="11"/>
      <c r="D90" s="13"/>
      <c r="E90" s="12"/>
      <c r="F90" s="11"/>
      <c r="G90" s="14"/>
      <c r="H90" s="14"/>
      <c r="I90" s="14"/>
      <c r="J90" s="14"/>
      <c r="K90" s="14"/>
      <c r="L90" s="14"/>
      <c r="M90" s="14"/>
      <c r="N90" s="14">
        <f>SUM(N86:N89)</f>
        <v>19145.1</v>
      </c>
    </row>
    <row r="91" ht="45" customHeight="1" spans="1:14">
      <c r="A91" s="4">
        <v>67</v>
      </c>
      <c r="B91" s="4" t="s">
        <v>657</v>
      </c>
      <c r="C91" s="4" t="s">
        <v>103</v>
      </c>
      <c r="D91" s="8" t="s">
        <v>287</v>
      </c>
      <c r="E91" s="4" t="s">
        <v>105</v>
      </c>
      <c r="F91" s="4">
        <v>289.8</v>
      </c>
      <c r="G91" s="9">
        <v>1313.41</v>
      </c>
      <c r="H91" s="9">
        <v>345.63</v>
      </c>
      <c r="I91" s="9">
        <v>172.82</v>
      </c>
      <c r="J91" s="9">
        <v>967.77</v>
      </c>
      <c r="K91" s="9">
        <v>276.51</v>
      </c>
      <c r="L91" s="9">
        <v>380.2</v>
      </c>
      <c r="M91" s="9">
        <v>311.07</v>
      </c>
      <c r="N91" s="16">
        <f t="shared" si="1"/>
        <v>3767.41</v>
      </c>
    </row>
    <row r="92" ht="45" customHeight="1" spans="1:14">
      <c r="A92" s="4">
        <v>68</v>
      </c>
      <c r="B92" s="4" t="s">
        <v>658</v>
      </c>
      <c r="C92" s="4" t="s">
        <v>45</v>
      </c>
      <c r="D92" s="8" t="s">
        <v>293</v>
      </c>
      <c r="E92" s="4" t="s">
        <v>47</v>
      </c>
      <c r="F92" s="4">
        <v>2136.11</v>
      </c>
      <c r="G92" s="9">
        <v>2606.45</v>
      </c>
      <c r="H92" s="9">
        <v>685.91</v>
      </c>
      <c r="I92" s="9">
        <v>342.95</v>
      </c>
      <c r="J92" s="9">
        <v>1920.54</v>
      </c>
      <c r="K92" s="9">
        <v>548.73</v>
      </c>
      <c r="L92" s="9">
        <v>754.5</v>
      </c>
      <c r="M92" s="9">
        <v>617.32</v>
      </c>
      <c r="N92" s="16">
        <f t="shared" si="1"/>
        <v>7476.4</v>
      </c>
    </row>
    <row r="93" ht="45" customHeight="1" spans="1:14">
      <c r="A93" s="4">
        <v>69</v>
      </c>
      <c r="B93" s="4" t="s">
        <v>659</v>
      </c>
      <c r="C93" s="4" t="s">
        <v>45</v>
      </c>
      <c r="D93" s="8" t="s">
        <v>295</v>
      </c>
      <c r="E93" s="4" t="s">
        <v>47</v>
      </c>
      <c r="F93" s="4">
        <v>13773.37</v>
      </c>
      <c r="G93" s="9">
        <v>16806.04</v>
      </c>
      <c r="H93" s="9">
        <v>4422.64</v>
      </c>
      <c r="I93" s="9">
        <v>2211.32</v>
      </c>
      <c r="J93" s="9">
        <v>12383.4</v>
      </c>
      <c r="K93" s="9">
        <v>3538.11</v>
      </c>
      <c r="L93" s="9">
        <v>4864.91</v>
      </c>
      <c r="M93" s="9">
        <v>3980.38</v>
      </c>
      <c r="N93" s="16">
        <f t="shared" si="1"/>
        <v>48206.8</v>
      </c>
    </row>
    <row r="94" ht="45" customHeight="1" spans="1:14">
      <c r="A94" s="4">
        <v>70</v>
      </c>
      <c r="B94" s="4" t="s">
        <v>660</v>
      </c>
      <c r="C94" s="4" t="s">
        <v>45</v>
      </c>
      <c r="D94" s="8" t="s">
        <v>289</v>
      </c>
      <c r="E94" s="4" t="s">
        <v>47</v>
      </c>
      <c r="F94" s="4">
        <v>2136.11</v>
      </c>
      <c r="G94" s="9">
        <v>4468.19</v>
      </c>
      <c r="H94" s="9">
        <v>1175.84</v>
      </c>
      <c r="I94" s="9">
        <v>587.92</v>
      </c>
      <c r="J94" s="9">
        <v>3292.35</v>
      </c>
      <c r="K94" s="9">
        <v>940.67</v>
      </c>
      <c r="L94" s="9">
        <v>1293.42</v>
      </c>
      <c r="M94" s="9">
        <v>1058.26</v>
      </c>
      <c r="N94" s="16">
        <f t="shared" si="1"/>
        <v>12816.65</v>
      </c>
    </row>
    <row r="95" ht="25" customHeight="1" spans="1:14">
      <c r="A95" s="11" t="s">
        <v>50</v>
      </c>
      <c r="B95" s="12"/>
      <c r="C95" s="11"/>
      <c r="D95" s="13"/>
      <c r="E95" s="12"/>
      <c r="F95" s="11"/>
      <c r="G95" s="14"/>
      <c r="H95" s="14"/>
      <c r="I95" s="14"/>
      <c r="J95" s="14"/>
      <c r="K95" s="14"/>
      <c r="L95" s="14"/>
      <c r="M95" s="14"/>
      <c r="N95" s="14">
        <f>SUM(N91:N94)</f>
        <v>72267.26</v>
      </c>
    </row>
    <row r="96" ht="45" customHeight="1" spans="1:14">
      <c r="A96" s="4">
        <v>71</v>
      </c>
      <c r="B96" s="4" t="s">
        <v>661</v>
      </c>
      <c r="C96" s="4" t="s">
        <v>45</v>
      </c>
      <c r="D96" s="8" t="s">
        <v>291</v>
      </c>
      <c r="E96" s="4" t="s">
        <v>47</v>
      </c>
      <c r="F96" s="4">
        <v>13773.37</v>
      </c>
      <c r="G96" s="9">
        <v>28810.35</v>
      </c>
      <c r="H96" s="9">
        <v>7581.67</v>
      </c>
      <c r="I96" s="9">
        <v>3790.84</v>
      </c>
      <c r="J96" s="9">
        <v>21228.68</v>
      </c>
      <c r="K96" s="9">
        <v>6065.34</v>
      </c>
      <c r="L96" s="9">
        <v>8339.84</v>
      </c>
      <c r="M96" s="9">
        <v>6823.5</v>
      </c>
      <c r="N96" s="16">
        <f t="shared" si="1"/>
        <v>82640.22</v>
      </c>
    </row>
    <row r="97" ht="45" customHeight="1" spans="1:14">
      <c r="A97" s="4">
        <v>72</v>
      </c>
      <c r="B97" s="4" t="s">
        <v>662</v>
      </c>
      <c r="C97" s="4" t="s">
        <v>45</v>
      </c>
      <c r="D97" s="8" t="s">
        <v>619</v>
      </c>
      <c r="E97" s="4" t="s">
        <v>47</v>
      </c>
      <c r="F97" s="4">
        <v>2136.11</v>
      </c>
      <c r="G97" s="9">
        <v>4468.19</v>
      </c>
      <c r="H97" s="9">
        <v>1175.84</v>
      </c>
      <c r="I97" s="9">
        <v>587.92</v>
      </c>
      <c r="J97" s="9">
        <v>3292.35</v>
      </c>
      <c r="K97" s="9">
        <v>940.67</v>
      </c>
      <c r="L97" s="9">
        <v>1293.42</v>
      </c>
      <c r="M97" s="9">
        <v>1058.26</v>
      </c>
      <c r="N97" s="16">
        <f t="shared" si="1"/>
        <v>12816.65</v>
      </c>
    </row>
    <row r="98" ht="45" customHeight="1" spans="1:14">
      <c r="A98" s="4">
        <v>73</v>
      </c>
      <c r="B98" s="4" t="s">
        <v>663</v>
      </c>
      <c r="C98" s="4" t="s">
        <v>45</v>
      </c>
      <c r="D98" s="8" t="s">
        <v>621</v>
      </c>
      <c r="E98" s="4" t="s">
        <v>47</v>
      </c>
      <c r="F98" s="4">
        <v>13773.37</v>
      </c>
      <c r="G98" s="9">
        <v>28810.35</v>
      </c>
      <c r="H98" s="9">
        <v>7581.67</v>
      </c>
      <c r="I98" s="9">
        <v>3790.84</v>
      </c>
      <c r="J98" s="9">
        <v>21228.68</v>
      </c>
      <c r="K98" s="9">
        <v>6065.34</v>
      </c>
      <c r="L98" s="9">
        <v>8339.84</v>
      </c>
      <c r="M98" s="9">
        <v>6823.5</v>
      </c>
      <c r="N98" s="16">
        <f t="shared" si="1"/>
        <v>82640.22</v>
      </c>
    </row>
    <row r="99" ht="45" customHeight="1" spans="1:14">
      <c r="A99" s="4">
        <v>74</v>
      </c>
      <c r="B99" s="4" t="s">
        <v>664</v>
      </c>
      <c r="C99" s="4" t="s">
        <v>45</v>
      </c>
      <c r="D99" s="8" t="s">
        <v>625</v>
      </c>
      <c r="E99" s="4" t="s">
        <v>47</v>
      </c>
      <c r="F99" s="4">
        <v>1146</v>
      </c>
      <c r="G99" s="9">
        <v>2397.14</v>
      </c>
      <c r="H99" s="9">
        <v>630.83</v>
      </c>
      <c r="I99" s="9">
        <v>315.41</v>
      </c>
      <c r="J99" s="9">
        <v>1766.31</v>
      </c>
      <c r="K99" s="9">
        <v>504.66</v>
      </c>
      <c r="L99" s="9">
        <v>693.91</v>
      </c>
      <c r="M99" s="9">
        <v>567.74</v>
      </c>
      <c r="N99" s="16">
        <f t="shared" si="1"/>
        <v>6876</v>
      </c>
    </row>
    <row r="100" ht="45" customHeight="1" spans="1:14">
      <c r="A100" s="4">
        <v>75</v>
      </c>
      <c r="B100" s="4" t="s">
        <v>665</v>
      </c>
      <c r="C100" s="4" t="s">
        <v>45</v>
      </c>
      <c r="D100" s="8" t="s">
        <v>309</v>
      </c>
      <c r="E100" s="4" t="s">
        <v>47</v>
      </c>
      <c r="F100" s="4">
        <v>1719</v>
      </c>
      <c r="G100" s="9">
        <v>2696.78</v>
      </c>
      <c r="H100" s="9">
        <v>709.68</v>
      </c>
      <c r="I100" s="9">
        <v>354.84</v>
      </c>
      <c r="J100" s="9">
        <v>1987.1</v>
      </c>
      <c r="K100" s="9">
        <v>567.74</v>
      </c>
      <c r="L100" s="9">
        <v>780.65</v>
      </c>
      <c r="M100" s="9">
        <v>638.71</v>
      </c>
      <c r="N100" s="16">
        <f t="shared" si="1"/>
        <v>7735.5</v>
      </c>
    </row>
    <row r="101" ht="25" customHeight="1" spans="1:14">
      <c r="A101" s="11" t="s">
        <v>50</v>
      </c>
      <c r="B101" s="12"/>
      <c r="C101" s="11"/>
      <c r="D101" s="13"/>
      <c r="E101" s="12"/>
      <c r="F101" s="11"/>
      <c r="G101" s="14"/>
      <c r="H101" s="14"/>
      <c r="I101" s="14"/>
      <c r="J101" s="14"/>
      <c r="K101" s="14"/>
      <c r="L101" s="14"/>
      <c r="M101" s="14"/>
      <c r="N101" s="14">
        <f>SUM(N96:N100)</f>
        <v>192708.59</v>
      </c>
    </row>
    <row r="102" ht="45" customHeight="1" spans="1:14">
      <c r="A102" s="4">
        <v>76</v>
      </c>
      <c r="B102" s="4" t="s">
        <v>666</v>
      </c>
      <c r="C102" s="4" t="s">
        <v>110</v>
      </c>
      <c r="D102" s="8" t="s">
        <v>422</v>
      </c>
      <c r="E102" s="4" t="s">
        <v>47</v>
      </c>
      <c r="F102" s="4">
        <v>461.8</v>
      </c>
      <c r="G102" s="9">
        <v>482.98</v>
      </c>
      <c r="H102" s="9">
        <v>127.1</v>
      </c>
      <c r="I102" s="9">
        <v>63.55</v>
      </c>
      <c r="J102" s="9">
        <v>355.88</v>
      </c>
      <c r="K102" s="9">
        <v>101.68</v>
      </c>
      <c r="L102" s="9">
        <v>139.81</v>
      </c>
      <c r="M102" s="9">
        <v>114.39</v>
      </c>
      <c r="N102" s="16">
        <f t="shared" si="1"/>
        <v>1385.39</v>
      </c>
    </row>
    <row r="103" ht="45" customHeight="1" spans="1:14">
      <c r="A103" s="4">
        <v>77</v>
      </c>
      <c r="B103" s="4" t="s">
        <v>667</v>
      </c>
      <c r="C103" s="4" t="s">
        <v>110</v>
      </c>
      <c r="D103" s="8" t="s">
        <v>424</v>
      </c>
      <c r="E103" s="4" t="s">
        <v>47</v>
      </c>
      <c r="F103" s="4">
        <v>249.5</v>
      </c>
      <c r="G103" s="9">
        <v>260.94</v>
      </c>
      <c r="H103" s="9">
        <v>68.67</v>
      </c>
      <c r="I103" s="9">
        <v>34.33</v>
      </c>
      <c r="J103" s="9">
        <v>192.28</v>
      </c>
      <c r="K103" s="9">
        <v>54.94</v>
      </c>
      <c r="L103" s="9">
        <v>75.54</v>
      </c>
      <c r="M103" s="9">
        <v>61.8</v>
      </c>
      <c r="N103" s="16">
        <f t="shared" si="1"/>
        <v>748.5</v>
      </c>
    </row>
    <row r="104" ht="45" customHeight="1" spans="1:14">
      <c r="A104" s="4">
        <v>78</v>
      </c>
      <c r="B104" s="4" t="s">
        <v>668</v>
      </c>
      <c r="C104" s="4" t="s">
        <v>91</v>
      </c>
      <c r="D104" s="8" t="s">
        <v>297</v>
      </c>
      <c r="E104" s="4" t="s">
        <v>93</v>
      </c>
      <c r="F104" s="4">
        <v>107</v>
      </c>
      <c r="G104" s="9">
        <v>559.54</v>
      </c>
      <c r="H104" s="9">
        <v>147.25</v>
      </c>
      <c r="I104" s="9">
        <v>73.62</v>
      </c>
      <c r="J104" s="9">
        <v>412.29</v>
      </c>
      <c r="K104" s="9">
        <v>117.8</v>
      </c>
      <c r="L104" s="9">
        <v>161.97</v>
      </c>
      <c r="M104" s="9">
        <v>132.52</v>
      </c>
      <c r="N104" s="16">
        <f t="shared" si="1"/>
        <v>1604.99</v>
      </c>
    </row>
    <row r="105" ht="45" customHeight="1" spans="1:14">
      <c r="A105" s="4">
        <v>79</v>
      </c>
      <c r="B105" s="4" t="s">
        <v>669</v>
      </c>
      <c r="C105" s="4" t="s">
        <v>64</v>
      </c>
      <c r="D105" s="8" t="s">
        <v>65</v>
      </c>
      <c r="E105" s="4" t="s">
        <v>66</v>
      </c>
      <c r="F105" s="4">
        <v>1</v>
      </c>
      <c r="G105" s="9">
        <v>1045.87</v>
      </c>
      <c r="H105" s="9">
        <v>275.23</v>
      </c>
      <c r="I105" s="9">
        <v>137.61</v>
      </c>
      <c r="J105" s="9">
        <v>770.64</v>
      </c>
      <c r="K105" s="9">
        <v>220.18</v>
      </c>
      <c r="L105" s="9">
        <v>302.75</v>
      </c>
      <c r="M105" s="9">
        <v>247.71</v>
      </c>
      <c r="N105" s="16">
        <f t="shared" si="1"/>
        <v>2999.99</v>
      </c>
    </row>
    <row r="106" ht="25" customHeight="1" spans="1:14">
      <c r="A106" s="4">
        <v>80</v>
      </c>
      <c r="B106" s="4" t="s">
        <v>670</v>
      </c>
      <c r="C106" s="4" t="s">
        <v>319</v>
      </c>
      <c r="D106" s="8"/>
      <c r="E106" s="4" t="s">
        <v>66</v>
      </c>
      <c r="F106" s="4">
        <v>1</v>
      </c>
      <c r="G106" s="9">
        <v>1100.92</v>
      </c>
      <c r="H106" s="9">
        <v>91.74</v>
      </c>
      <c r="I106" s="9">
        <v>36.7</v>
      </c>
      <c r="J106" s="9">
        <v>275.23</v>
      </c>
      <c r="K106" s="9">
        <v>128.44</v>
      </c>
      <c r="L106" s="9">
        <v>201.83</v>
      </c>
      <c r="M106" s="9">
        <v>165.14</v>
      </c>
      <c r="N106" s="16">
        <f t="shared" si="1"/>
        <v>2000</v>
      </c>
    </row>
    <row r="107" ht="25" customHeight="1" spans="1:14">
      <c r="A107" s="11" t="s">
        <v>50</v>
      </c>
      <c r="B107" s="12"/>
      <c r="C107" s="11"/>
      <c r="D107" s="13"/>
      <c r="E107" s="12"/>
      <c r="F107" s="11"/>
      <c r="G107" s="14"/>
      <c r="H107" s="14"/>
      <c r="I107" s="14"/>
      <c r="J107" s="14"/>
      <c r="K107" s="14"/>
      <c r="L107" s="14"/>
      <c r="M107" s="14"/>
      <c r="N107" s="14">
        <f>SUM(N102:N106)</f>
        <v>8738.87</v>
      </c>
    </row>
    <row r="108" ht="25" customHeight="1" spans="1:14">
      <c r="A108" s="4" t="s">
        <v>188</v>
      </c>
      <c r="B108" s="4"/>
      <c r="C108" s="4"/>
      <c r="D108" s="8"/>
      <c r="E108" s="4"/>
      <c r="F108" s="4"/>
      <c r="G108" s="9"/>
      <c r="H108" s="9"/>
      <c r="I108" s="9"/>
      <c r="J108" s="9"/>
      <c r="K108" s="9"/>
      <c r="L108" s="9"/>
      <c r="M108" s="9"/>
      <c r="N108" s="16">
        <f>N8+N11+N14+N18+N21+N23+N25+N27+N30+N35+N40+N45+N51+N56+N62+N68+N73+N79+N85+N90+N95+N101+N107</f>
        <v>846622.44</v>
      </c>
    </row>
  </sheetData>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42"/>
  <sheetViews>
    <sheetView zoomScale="85" zoomScaleNormal="85" topLeftCell="C36" workbookViewId="0">
      <selection activeCell="O35" sqref="O35"/>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0.5309734513274"/>
    <col min="18" max="18" width="10.3716814159292"/>
  </cols>
  <sheetData>
    <row r="1" ht="30" customHeight="1" spans="1:15">
      <c r="A1" s="2" t="s">
        <v>27</v>
      </c>
      <c r="B1" s="2"/>
      <c r="C1" s="2"/>
      <c r="D1" s="2"/>
      <c r="E1" s="2"/>
      <c r="F1" s="2"/>
      <c r="G1" s="2"/>
      <c r="H1" s="2"/>
      <c r="I1" s="2"/>
      <c r="J1" s="2"/>
      <c r="K1" s="2"/>
      <c r="L1" s="2"/>
      <c r="M1" s="2"/>
      <c r="N1" s="17"/>
    </row>
    <row r="2" ht="25" customHeight="1" spans="1:15">
      <c r="A2" s="4" t="s">
        <v>27</v>
      </c>
      <c r="B2" s="4"/>
      <c r="C2" s="4"/>
      <c r="D2" s="4"/>
      <c r="E2" s="4"/>
      <c r="F2" s="4"/>
      <c r="G2" s="4"/>
      <c r="H2" s="4"/>
      <c r="I2" s="4"/>
      <c r="J2" s="4"/>
      <c r="K2" s="4"/>
      <c r="L2" s="4"/>
      <c r="M2" s="4"/>
      <c r="N2" s="18"/>
    </row>
    <row r="3" ht="25" customHeight="1" spans="1:15">
      <c r="A3" s="6" t="s">
        <v>1</v>
      </c>
      <c r="B3" s="6" t="s">
        <v>31</v>
      </c>
      <c r="C3" s="6" t="s">
        <v>32</v>
      </c>
      <c r="D3" s="6" t="s">
        <v>33</v>
      </c>
      <c r="E3" s="6" t="s">
        <v>34</v>
      </c>
      <c r="F3" s="6" t="s">
        <v>35</v>
      </c>
      <c r="G3" s="6" t="s">
        <v>3</v>
      </c>
      <c r="H3" s="6"/>
      <c r="I3" s="6"/>
      <c r="J3" s="6"/>
      <c r="K3" s="6"/>
      <c r="L3" s="6"/>
      <c r="M3" s="6"/>
      <c r="N3" s="19"/>
    </row>
    <row r="4" ht="25" customHeight="1" spans="1:15">
      <c r="A4" s="7"/>
      <c r="B4" s="7"/>
      <c r="C4" s="7"/>
      <c r="D4" s="7"/>
      <c r="E4" s="7"/>
      <c r="F4" s="7"/>
      <c r="G4" s="6" t="s">
        <v>36</v>
      </c>
      <c r="H4" s="6" t="s">
        <v>37</v>
      </c>
      <c r="I4" s="6" t="s">
        <v>38</v>
      </c>
      <c r="J4" s="6" t="s">
        <v>39</v>
      </c>
      <c r="K4" s="6" t="s">
        <v>40</v>
      </c>
      <c r="L4" s="6" t="s">
        <v>41</v>
      </c>
      <c r="M4" s="6" t="s">
        <v>42</v>
      </c>
      <c r="N4" s="6" t="s">
        <v>43</v>
      </c>
    </row>
    <row r="5" s="20" customFormat="1" ht="183" customHeight="1" spans="1:15">
      <c r="A5" s="21">
        <v>1</v>
      </c>
      <c r="B5" s="21" t="s">
        <v>671</v>
      </c>
      <c r="C5" s="27" t="s">
        <v>672</v>
      </c>
      <c r="D5" s="39" t="s">
        <v>673</v>
      </c>
      <c r="E5" s="27" t="s">
        <v>55</v>
      </c>
      <c r="F5" s="27">
        <v>2</v>
      </c>
      <c r="G5" s="23">
        <v>27550.46</v>
      </c>
      <c r="H5" s="23">
        <v>1059.635</v>
      </c>
      <c r="I5" s="23">
        <v>353.21</v>
      </c>
      <c r="J5" s="23">
        <v>1412.845</v>
      </c>
      <c r="K5" s="23">
        <v>1059.635</v>
      </c>
      <c r="L5" s="23">
        <v>3885.32</v>
      </c>
      <c r="M5" s="23">
        <v>3178.9</v>
      </c>
      <c r="N5" s="40">
        <f>SUM(G5:M5)</f>
        <v>38500.005</v>
      </c>
    </row>
    <row r="6" ht="25" customHeight="1" spans="1:15">
      <c r="A6" s="11" t="s">
        <v>50</v>
      </c>
      <c r="B6" s="12"/>
      <c r="C6" s="11"/>
      <c r="D6" s="13"/>
      <c r="E6" s="12"/>
      <c r="F6" s="11"/>
      <c r="G6" s="14"/>
      <c r="H6" s="14"/>
      <c r="I6" s="14"/>
      <c r="J6" s="14"/>
      <c r="K6" s="14"/>
      <c r="L6" s="14"/>
      <c r="M6" s="14"/>
      <c r="N6" s="14">
        <f>N5</f>
        <v>38500.005</v>
      </c>
    </row>
    <row r="7" s="20" customFormat="1" ht="183" customHeight="1" spans="1:15">
      <c r="A7" s="21">
        <v>2</v>
      </c>
      <c r="B7" s="21" t="s">
        <v>674</v>
      </c>
      <c r="C7" s="27" t="s">
        <v>675</v>
      </c>
      <c r="D7" s="39" t="s">
        <v>676</v>
      </c>
      <c r="E7" s="27" t="s">
        <v>55</v>
      </c>
      <c r="F7" s="27">
        <v>1</v>
      </c>
      <c r="G7" s="23">
        <v>13775.23</v>
      </c>
      <c r="H7" s="23">
        <v>529.815</v>
      </c>
      <c r="I7" s="23">
        <v>176.605</v>
      </c>
      <c r="J7" s="23">
        <v>706.42</v>
      </c>
      <c r="K7" s="23">
        <v>529.815</v>
      </c>
      <c r="L7" s="23">
        <v>1942.66</v>
      </c>
      <c r="M7" s="23">
        <v>1589.45</v>
      </c>
      <c r="N7" s="40">
        <f>SUM(G7:M7)</f>
        <v>19249.995</v>
      </c>
      <c r="O7" s="37"/>
    </row>
    <row r="8" s="20" customFormat="1" ht="45" customHeight="1" spans="1:15">
      <c r="A8" s="21">
        <v>3</v>
      </c>
      <c r="B8" s="21" t="s">
        <v>677</v>
      </c>
      <c r="C8" s="27" t="s">
        <v>678</v>
      </c>
      <c r="D8" s="39" t="s">
        <v>679</v>
      </c>
      <c r="E8" s="27" t="s">
        <v>55</v>
      </c>
      <c r="F8" s="27">
        <v>1</v>
      </c>
      <c r="G8" s="23">
        <v>12385.32</v>
      </c>
      <c r="H8" s="23">
        <v>1032.11</v>
      </c>
      <c r="I8" s="23">
        <v>412.845</v>
      </c>
      <c r="J8" s="23">
        <v>3096.33</v>
      </c>
      <c r="K8" s="23">
        <v>1444.955</v>
      </c>
      <c r="L8" s="23">
        <v>2270.64</v>
      </c>
      <c r="M8" s="23">
        <v>1857.8</v>
      </c>
      <c r="N8" s="40">
        <f>SUM(G8:M8)</f>
        <v>22500</v>
      </c>
      <c r="O8" s="37"/>
    </row>
    <row r="9" ht="25" customHeight="1" spans="1:15">
      <c r="A9" s="11" t="s">
        <v>50</v>
      </c>
      <c r="B9" s="12"/>
      <c r="C9" s="11"/>
      <c r="D9" s="13"/>
      <c r="E9" s="12"/>
      <c r="F9" s="11"/>
      <c r="G9" s="14"/>
      <c r="H9" s="14"/>
      <c r="I9" s="14"/>
      <c r="J9" s="14"/>
      <c r="K9" s="14"/>
      <c r="L9" s="14"/>
      <c r="M9" s="14"/>
      <c r="N9" s="14">
        <f>SUM(N7:N8)</f>
        <v>41749.995</v>
      </c>
    </row>
    <row r="10" s="20" customFormat="1" ht="45" customHeight="1" spans="1:15">
      <c r="A10" s="21">
        <v>4</v>
      </c>
      <c r="B10" s="21" t="s">
        <v>680</v>
      </c>
      <c r="C10" s="27" t="s">
        <v>681</v>
      </c>
      <c r="D10" s="39" t="s">
        <v>682</v>
      </c>
      <c r="E10" s="27" t="s">
        <v>55</v>
      </c>
      <c r="F10" s="27">
        <v>2</v>
      </c>
      <c r="G10" s="23">
        <v>15412.845</v>
      </c>
      <c r="H10" s="23">
        <v>1284.405</v>
      </c>
      <c r="I10" s="23">
        <v>513.76</v>
      </c>
      <c r="J10" s="23">
        <v>3853.21</v>
      </c>
      <c r="K10" s="23">
        <v>1798.165</v>
      </c>
      <c r="L10" s="23">
        <v>2825.69</v>
      </c>
      <c r="M10" s="23">
        <v>2311.925</v>
      </c>
      <c r="N10" s="40">
        <f>SUM(G10:M10)</f>
        <v>28000</v>
      </c>
      <c r="O10" s="37"/>
    </row>
    <row r="11" s="20" customFormat="1" ht="45" customHeight="1" spans="1:15">
      <c r="A11" s="21">
        <v>5</v>
      </c>
      <c r="B11" s="21" t="s">
        <v>683</v>
      </c>
      <c r="C11" s="27" t="s">
        <v>684</v>
      </c>
      <c r="D11" s="39" t="s">
        <v>685</v>
      </c>
      <c r="E11" s="27" t="s">
        <v>55</v>
      </c>
      <c r="F11" s="27">
        <v>1</v>
      </c>
      <c r="G11" s="23">
        <v>22018.35</v>
      </c>
      <c r="H11" s="23">
        <v>1834.86</v>
      </c>
      <c r="I11" s="23">
        <v>733.945</v>
      </c>
      <c r="J11" s="23">
        <v>5504.585</v>
      </c>
      <c r="K11" s="23">
        <v>2568.805</v>
      </c>
      <c r="L11" s="23">
        <v>4036.695</v>
      </c>
      <c r="M11" s="23">
        <v>3302.75</v>
      </c>
      <c r="N11" s="40">
        <f>SUM(G11:M11)</f>
        <v>39999.99</v>
      </c>
      <c r="O11" s="37"/>
    </row>
    <row r="12" s="20" customFormat="1" ht="45" customHeight="1" spans="1:15">
      <c r="A12" s="21">
        <v>6</v>
      </c>
      <c r="B12" s="21" t="s">
        <v>686</v>
      </c>
      <c r="C12" s="27" t="s">
        <v>687</v>
      </c>
      <c r="D12" s="39" t="s">
        <v>688</v>
      </c>
      <c r="E12" s="27" t="s">
        <v>55</v>
      </c>
      <c r="F12" s="27">
        <v>2</v>
      </c>
      <c r="G12" s="23">
        <v>8587.155</v>
      </c>
      <c r="H12" s="23">
        <v>330.275</v>
      </c>
      <c r="I12" s="23">
        <v>110.09</v>
      </c>
      <c r="J12" s="23">
        <v>440.365</v>
      </c>
      <c r="K12" s="23">
        <v>330.275</v>
      </c>
      <c r="L12" s="23">
        <v>1211.01</v>
      </c>
      <c r="M12" s="23">
        <v>990.825</v>
      </c>
      <c r="N12" s="40">
        <f>SUM(G12:M12)</f>
        <v>11999.995</v>
      </c>
      <c r="O12" s="37"/>
    </row>
    <row r="13" s="20" customFormat="1" ht="45" customHeight="1" spans="1:15">
      <c r="A13" s="21">
        <v>7</v>
      </c>
      <c r="B13" s="21" t="s">
        <v>689</v>
      </c>
      <c r="C13" s="27" t="s">
        <v>690</v>
      </c>
      <c r="D13" s="39" t="s">
        <v>691</v>
      </c>
      <c r="E13" s="27" t="s">
        <v>62</v>
      </c>
      <c r="F13" s="27">
        <v>1</v>
      </c>
      <c r="G13" s="23">
        <v>2788.99</v>
      </c>
      <c r="H13" s="23">
        <v>733.94</v>
      </c>
      <c r="I13" s="23">
        <v>366.97</v>
      </c>
      <c r="J13" s="23">
        <v>2055.05</v>
      </c>
      <c r="K13" s="23">
        <v>587.16</v>
      </c>
      <c r="L13" s="23">
        <v>807.34</v>
      </c>
      <c r="M13" s="23">
        <v>660.55</v>
      </c>
      <c r="N13" s="40">
        <f>SUM(G13:M13)</f>
        <v>8000</v>
      </c>
      <c r="O13" s="37"/>
    </row>
    <row r="14" ht="25" customHeight="1" spans="1:15">
      <c r="A14" s="11" t="s">
        <v>50</v>
      </c>
      <c r="B14" s="12"/>
      <c r="C14" s="11"/>
      <c r="D14" s="13"/>
      <c r="E14" s="12"/>
      <c r="F14" s="11"/>
      <c r="G14" s="14"/>
      <c r="H14" s="14"/>
      <c r="I14" s="14"/>
      <c r="J14" s="14"/>
      <c r="K14" s="14"/>
      <c r="L14" s="14"/>
      <c r="M14" s="14"/>
      <c r="N14" s="14">
        <f>SUM(N10:N13)</f>
        <v>87999.985</v>
      </c>
    </row>
    <row r="15" s="20" customFormat="1" ht="60" customHeight="1" spans="1:15">
      <c r="A15" s="21">
        <v>8</v>
      </c>
      <c r="B15" s="21" t="s">
        <v>692</v>
      </c>
      <c r="C15" s="27" t="s">
        <v>693</v>
      </c>
      <c r="D15" s="39" t="s">
        <v>694</v>
      </c>
      <c r="E15" s="27" t="s">
        <v>55</v>
      </c>
      <c r="F15" s="27">
        <v>1</v>
      </c>
      <c r="G15" s="23">
        <v>550.46</v>
      </c>
      <c r="H15" s="23">
        <v>45.87</v>
      </c>
      <c r="I15" s="23">
        <v>18.35</v>
      </c>
      <c r="J15" s="23">
        <v>137.615</v>
      </c>
      <c r="K15" s="23">
        <v>64.22</v>
      </c>
      <c r="L15" s="23">
        <v>100.915</v>
      </c>
      <c r="M15" s="23">
        <v>82.57</v>
      </c>
      <c r="N15" s="40">
        <f>SUM(G15:M15)</f>
        <v>1000</v>
      </c>
      <c r="O15" s="37"/>
    </row>
    <row r="16" s="20" customFormat="1" ht="60" customHeight="1" spans="1:15">
      <c r="A16" s="21">
        <v>9</v>
      </c>
      <c r="B16" s="21" t="s">
        <v>695</v>
      </c>
      <c r="C16" s="27" t="s">
        <v>696</v>
      </c>
      <c r="D16" s="39" t="s">
        <v>697</v>
      </c>
      <c r="E16" s="27" t="s">
        <v>55</v>
      </c>
      <c r="F16" s="27">
        <v>1</v>
      </c>
      <c r="G16" s="23">
        <v>550.46</v>
      </c>
      <c r="H16" s="23">
        <v>45.87</v>
      </c>
      <c r="I16" s="23">
        <v>18.35</v>
      </c>
      <c r="J16" s="23">
        <v>137.615</v>
      </c>
      <c r="K16" s="23">
        <v>64.22</v>
      </c>
      <c r="L16" s="23">
        <v>100.915</v>
      </c>
      <c r="M16" s="23">
        <v>82.57</v>
      </c>
      <c r="N16" s="40">
        <f>SUM(G16:M16)</f>
        <v>1000</v>
      </c>
      <c r="O16" s="37"/>
    </row>
    <row r="17" s="20" customFormat="1" ht="60" customHeight="1" spans="1:15">
      <c r="A17" s="21">
        <v>10</v>
      </c>
      <c r="B17" s="21" t="s">
        <v>698</v>
      </c>
      <c r="C17" s="27" t="s">
        <v>699</v>
      </c>
      <c r="D17" s="39" t="s">
        <v>700</v>
      </c>
      <c r="E17" s="27" t="s">
        <v>55</v>
      </c>
      <c r="F17" s="27">
        <v>1</v>
      </c>
      <c r="G17" s="23">
        <v>550.46</v>
      </c>
      <c r="H17" s="23">
        <v>45.87</v>
      </c>
      <c r="I17" s="23">
        <v>18.35</v>
      </c>
      <c r="J17" s="23">
        <v>137.615</v>
      </c>
      <c r="K17" s="23">
        <v>64.22</v>
      </c>
      <c r="L17" s="23">
        <v>100.915</v>
      </c>
      <c r="M17" s="23">
        <v>82.57</v>
      </c>
      <c r="N17" s="40">
        <f>SUM(G17:M17)</f>
        <v>1000</v>
      </c>
      <c r="O17" s="37"/>
    </row>
    <row r="18" s="20" customFormat="1" ht="60" customHeight="1" spans="1:15">
      <c r="A18" s="21">
        <v>11</v>
      </c>
      <c r="B18" s="21" t="s">
        <v>701</v>
      </c>
      <c r="C18" s="27" t="s">
        <v>702</v>
      </c>
      <c r="D18" s="39" t="s">
        <v>703</v>
      </c>
      <c r="E18" s="27" t="s">
        <v>55</v>
      </c>
      <c r="F18" s="27">
        <v>1</v>
      </c>
      <c r="G18" s="23">
        <v>825.69</v>
      </c>
      <c r="H18" s="23">
        <v>68.805</v>
      </c>
      <c r="I18" s="23">
        <v>27.525</v>
      </c>
      <c r="J18" s="23">
        <v>206.42</v>
      </c>
      <c r="K18" s="23">
        <v>96.33</v>
      </c>
      <c r="L18" s="23">
        <v>151.375</v>
      </c>
      <c r="M18" s="23">
        <v>123.855</v>
      </c>
      <c r="N18" s="40">
        <f>SUM(G18:M18)</f>
        <v>1500</v>
      </c>
      <c r="O18" s="37"/>
    </row>
    <row r="19" ht="25" customHeight="1" spans="1:15">
      <c r="A19" s="11" t="s">
        <v>50</v>
      </c>
      <c r="B19" s="12"/>
      <c r="C19" s="11"/>
      <c r="D19" s="13"/>
      <c r="E19" s="12"/>
      <c r="F19" s="11"/>
      <c r="G19" s="14"/>
      <c r="H19" s="14"/>
      <c r="I19" s="14"/>
      <c r="J19" s="14"/>
      <c r="K19" s="14"/>
      <c r="L19" s="14"/>
      <c r="M19" s="14"/>
      <c r="N19" s="14">
        <f>SUM(N15:N18)</f>
        <v>4500</v>
      </c>
    </row>
    <row r="20" s="20" customFormat="1" ht="67" customHeight="1" spans="1:15">
      <c r="A20" s="21">
        <v>12</v>
      </c>
      <c r="B20" s="21" t="s">
        <v>704</v>
      </c>
      <c r="C20" s="27" t="s">
        <v>705</v>
      </c>
      <c r="D20" s="39" t="s">
        <v>706</v>
      </c>
      <c r="E20" s="27" t="s">
        <v>55</v>
      </c>
      <c r="F20" s="27">
        <v>1</v>
      </c>
      <c r="G20" s="23">
        <v>825.69</v>
      </c>
      <c r="H20" s="23">
        <v>68.805</v>
      </c>
      <c r="I20" s="23">
        <v>27.525</v>
      </c>
      <c r="J20" s="23">
        <v>206.42</v>
      </c>
      <c r="K20" s="23">
        <v>96.33</v>
      </c>
      <c r="L20" s="23">
        <v>151.375</v>
      </c>
      <c r="M20" s="23">
        <v>123.855</v>
      </c>
      <c r="N20" s="40">
        <f>SUM(G20:M20)</f>
        <v>1500</v>
      </c>
      <c r="O20" s="37"/>
    </row>
    <row r="21" s="20" customFormat="1" ht="120" customHeight="1" spans="1:15">
      <c r="A21" s="21">
        <v>13</v>
      </c>
      <c r="B21" s="21" t="s">
        <v>707</v>
      </c>
      <c r="C21" s="27" t="s">
        <v>708</v>
      </c>
      <c r="D21" s="39" t="s">
        <v>709</v>
      </c>
      <c r="E21" s="27" t="s">
        <v>55</v>
      </c>
      <c r="F21" s="27">
        <v>1</v>
      </c>
      <c r="G21" s="23">
        <v>2201.835</v>
      </c>
      <c r="H21" s="23">
        <v>183.485</v>
      </c>
      <c r="I21" s="23">
        <v>73.395</v>
      </c>
      <c r="J21" s="23">
        <v>550.46</v>
      </c>
      <c r="K21" s="23">
        <v>256.88</v>
      </c>
      <c r="L21" s="23">
        <v>403.67</v>
      </c>
      <c r="M21" s="23">
        <v>330.275</v>
      </c>
      <c r="N21" s="40">
        <f>SUM(G21:M21)</f>
        <v>4000</v>
      </c>
      <c r="O21" s="37"/>
    </row>
    <row r="22" ht="25" customHeight="1" spans="1:15">
      <c r="A22" s="11" t="s">
        <v>50</v>
      </c>
      <c r="B22" s="12"/>
      <c r="C22" s="11"/>
      <c r="D22" s="13"/>
      <c r="E22" s="12"/>
      <c r="F22" s="11"/>
      <c r="G22" s="14"/>
      <c r="H22" s="14"/>
      <c r="I22" s="14"/>
      <c r="J22" s="14"/>
      <c r="K22" s="14"/>
      <c r="L22" s="14"/>
      <c r="M22" s="14"/>
      <c r="N22" s="14">
        <f>SUM(N20:N21)</f>
        <v>5500</v>
      </c>
    </row>
    <row r="23" s="20" customFormat="1" ht="64" customHeight="1" spans="1:15">
      <c r="A23" s="21">
        <v>14</v>
      </c>
      <c r="B23" s="21" t="s">
        <v>710</v>
      </c>
      <c r="C23" s="27" t="s">
        <v>711</v>
      </c>
      <c r="D23" s="39" t="s">
        <v>712</v>
      </c>
      <c r="E23" s="27" t="s">
        <v>55</v>
      </c>
      <c r="F23" s="27">
        <v>1</v>
      </c>
      <c r="G23" s="23">
        <v>1651.375</v>
      </c>
      <c r="H23" s="23">
        <v>137.615</v>
      </c>
      <c r="I23" s="23">
        <v>55.045</v>
      </c>
      <c r="J23" s="23">
        <v>412.845</v>
      </c>
      <c r="K23" s="23">
        <v>192.66</v>
      </c>
      <c r="L23" s="23">
        <v>302.75</v>
      </c>
      <c r="M23" s="23">
        <v>247.705</v>
      </c>
      <c r="N23" s="40">
        <f>SUM(G23:M23)</f>
        <v>2999.995</v>
      </c>
      <c r="O23" s="37"/>
    </row>
    <row r="24" s="20" customFormat="1" ht="68" customHeight="1" spans="1:15">
      <c r="A24" s="21">
        <v>15</v>
      </c>
      <c r="B24" s="21" t="s">
        <v>713</v>
      </c>
      <c r="C24" s="27" t="s">
        <v>714</v>
      </c>
      <c r="D24" s="39" t="s">
        <v>715</v>
      </c>
      <c r="E24" s="27" t="s">
        <v>55</v>
      </c>
      <c r="F24" s="27">
        <v>1</v>
      </c>
      <c r="G24" s="23">
        <v>1651.375</v>
      </c>
      <c r="H24" s="23">
        <v>137.615</v>
      </c>
      <c r="I24" s="23">
        <v>55.045</v>
      </c>
      <c r="J24" s="23">
        <v>412.845</v>
      </c>
      <c r="K24" s="23">
        <v>192.66</v>
      </c>
      <c r="L24" s="23">
        <v>302.75</v>
      </c>
      <c r="M24" s="23">
        <v>247.705</v>
      </c>
      <c r="N24" s="40">
        <f>SUM(G24:M24)</f>
        <v>2999.995</v>
      </c>
      <c r="O24" s="37"/>
    </row>
    <row r="25" s="20" customFormat="1" ht="60" customHeight="1" spans="1:15">
      <c r="A25" s="21">
        <v>16</v>
      </c>
      <c r="B25" s="21" t="s">
        <v>716</v>
      </c>
      <c r="C25" s="27" t="s">
        <v>717</v>
      </c>
      <c r="D25" s="39" t="s">
        <v>718</v>
      </c>
      <c r="E25" s="27" t="s">
        <v>55</v>
      </c>
      <c r="F25" s="27">
        <v>1</v>
      </c>
      <c r="G25" s="23">
        <v>1045.87</v>
      </c>
      <c r="H25" s="23">
        <v>275.23</v>
      </c>
      <c r="I25" s="23">
        <v>137.615</v>
      </c>
      <c r="J25" s="23">
        <v>770.64</v>
      </c>
      <c r="K25" s="23">
        <v>220.185</v>
      </c>
      <c r="L25" s="23">
        <v>302.75</v>
      </c>
      <c r="M25" s="23">
        <v>247.705</v>
      </c>
      <c r="N25" s="40">
        <f>SUM(G25:M25)</f>
        <v>2999.995</v>
      </c>
      <c r="O25" s="37"/>
    </row>
    <row r="26" ht="25" customHeight="1" spans="1:15">
      <c r="A26" s="11" t="s">
        <v>50</v>
      </c>
      <c r="B26" s="12"/>
      <c r="C26" s="11"/>
      <c r="D26" s="13"/>
      <c r="E26" s="12"/>
      <c r="F26" s="11"/>
      <c r="G26" s="14"/>
      <c r="H26" s="14"/>
      <c r="I26" s="14"/>
      <c r="J26" s="14"/>
      <c r="K26" s="14"/>
      <c r="L26" s="14"/>
      <c r="M26" s="14"/>
      <c r="N26" s="14">
        <f>SUM(N23:N25)</f>
        <v>8999.985</v>
      </c>
    </row>
    <row r="27" s="20" customFormat="1" ht="60" customHeight="1" spans="1:15">
      <c r="A27" s="21">
        <v>17</v>
      </c>
      <c r="B27" s="21" t="s">
        <v>719</v>
      </c>
      <c r="C27" s="27" t="s">
        <v>720</v>
      </c>
      <c r="D27" s="39" t="s">
        <v>721</v>
      </c>
      <c r="E27" s="27" t="s">
        <v>55</v>
      </c>
      <c r="F27" s="27">
        <v>1</v>
      </c>
      <c r="G27" s="23">
        <v>2862.385</v>
      </c>
      <c r="H27" s="23">
        <v>110.09</v>
      </c>
      <c r="I27" s="23">
        <v>36.695</v>
      </c>
      <c r="J27" s="23">
        <v>146.79</v>
      </c>
      <c r="K27" s="23">
        <v>110.09</v>
      </c>
      <c r="L27" s="23">
        <v>403.67</v>
      </c>
      <c r="M27" s="23">
        <v>330.275</v>
      </c>
      <c r="N27" s="40">
        <f>SUM(G27:M27)</f>
        <v>3999.995</v>
      </c>
      <c r="O27" s="37"/>
    </row>
    <row r="28" s="20" customFormat="1" ht="45" customHeight="1" spans="1:15">
      <c r="A28" s="21">
        <v>18</v>
      </c>
      <c r="B28" s="21" t="s">
        <v>722</v>
      </c>
      <c r="C28" s="27" t="s">
        <v>723</v>
      </c>
      <c r="D28" s="39" t="s">
        <v>724</v>
      </c>
      <c r="E28" s="27" t="s">
        <v>55</v>
      </c>
      <c r="F28" s="27">
        <v>1</v>
      </c>
      <c r="G28" s="23">
        <v>6055.045</v>
      </c>
      <c r="H28" s="23">
        <v>504.585</v>
      </c>
      <c r="I28" s="23">
        <v>201.835</v>
      </c>
      <c r="J28" s="23">
        <v>1513.76</v>
      </c>
      <c r="K28" s="23">
        <v>706.42</v>
      </c>
      <c r="L28" s="23">
        <v>1110.09</v>
      </c>
      <c r="M28" s="23">
        <v>908.255</v>
      </c>
      <c r="N28" s="40">
        <f>SUM(G28:M28)</f>
        <v>10999.99</v>
      </c>
      <c r="O28" s="37"/>
    </row>
    <row r="29" s="20" customFormat="1" ht="45" customHeight="1" spans="1:15">
      <c r="A29" s="21">
        <v>19</v>
      </c>
      <c r="B29" s="21" t="s">
        <v>725</v>
      </c>
      <c r="C29" s="27" t="s">
        <v>726</v>
      </c>
      <c r="D29" s="39" t="s">
        <v>727</v>
      </c>
      <c r="E29" s="27" t="s">
        <v>55</v>
      </c>
      <c r="F29" s="27">
        <v>1</v>
      </c>
      <c r="G29" s="23">
        <v>2862.385</v>
      </c>
      <c r="H29" s="23">
        <v>110.09</v>
      </c>
      <c r="I29" s="23">
        <v>36.695</v>
      </c>
      <c r="J29" s="23">
        <v>146.79</v>
      </c>
      <c r="K29" s="23">
        <v>110.09</v>
      </c>
      <c r="L29" s="23">
        <v>403.67</v>
      </c>
      <c r="M29" s="23">
        <v>330.275</v>
      </c>
      <c r="N29" s="40">
        <f>SUM(G29:M29)</f>
        <v>3999.995</v>
      </c>
      <c r="O29" s="37"/>
    </row>
    <row r="30" s="20" customFormat="1" ht="60" customHeight="1" spans="1:15">
      <c r="A30" s="21">
        <v>20</v>
      </c>
      <c r="B30" s="21" t="s">
        <v>728</v>
      </c>
      <c r="C30" s="27" t="s">
        <v>729</v>
      </c>
      <c r="D30" s="39" t="s">
        <v>730</v>
      </c>
      <c r="E30" s="27" t="s">
        <v>55</v>
      </c>
      <c r="F30" s="27">
        <v>1</v>
      </c>
      <c r="G30" s="23">
        <v>2201.835</v>
      </c>
      <c r="H30" s="23">
        <v>183.485</v>
      </c>
      <c r="I30" s="23">
        <v>73.395</v>
      </c>
      <c r="J30" s="23">
        <v>550.46</v>
      </c>
      <c r="K30" s="23">
        <v>256.88</v>
      </c>
      <c r="L30" s="23">
        <v>403.67</v>
      </c>
      <c r="M30" s="23">
        <v>330.275</v>
      </c>
      <c r="N30" s="40">
        <f>SUM(G30:M30)</f>
        <v>4000</v>
      </c>
      <c r="O30" s="37"/>
    </row>
    <row r="31" ht="25" customHeight="1" spans="1:15">
      <c r="A31" s="11" t="s">
        <v>50</v>
      </c>
      <c r="B31" s="12"/>
      <c r="C31" s="11"/>
      <c r="D31" s="13"/>
      <c r="E31" s="12"/>
      <c r="F31" s="11"/>
      <c r="G31" s="14"/>
      <c r="H31" s="14"/>
      <c r="I31" s="14"/>
      <c r="J31" s="14"/>
      <c r="K31" s="14"/>
      <c r="L31" s="14"/>
      <c r="M31" s="14"/>
      <c r="N31" s="14">
        <f>SUM(N27:N30)</f>
        <v>22999.98</v>
      </c>
    </row>
    <row r="32" s="20" customFormat="1" ht="134" customHeight="1" spans="1:15">
      <c r="A32" s="21">
        <v>21</v>
      </c>
      <c r="B32" s="21" t="s">
        <v>731</v>
      </c>
      <c r="C32" s="27" t="s">
        <v>732</v>
      </c>
      <c r="D32" s="39" t="s">
        <v>733</v>
      </c>
      <c r="E32" s="27" t="s">
        <v>55</v>
      </c>
      <c r="F32" s="27">
        <v>1</v>
      </c>
      <c r="G32" s="23">
        <v>2201.835</v>
      </c>
      <c r="H32" s="23">
        <v>183.485</v>
      </c>
      <c r="I32" s="23">
        <v>73.395</v>
      </c>
      <c r="J32" s="23">
        <v>550.46</v>
      </c>
      <c r="K32" s="23">
        <v>256.88</v>
      </c>
      <c r="L32" s="23">
        <v>403.67</v>
      </c>
      <c r="M32" s="23">
        <v>330.275</v>
      </c>
      <c r="N32" s="40">
        <f>SUM(G32:M32)</f>
        <v>4000</v>
      </c>
      <c r="O32" s="37"/>
    </row>
    <row r="33" s="20" customFormat="1" ht="45" customHeight="1" spans="1:15">
      <c r="A33" s="21">
        <v>22</v>
      </c>
      <c r="B33" s="21" t="s">
        <v>734</v>
      </c>
      <c r="C33" s="27" t="s">
        <v>735</v>
      </c>
      <c r="D33" s="39" t="s">
        <v>736</v>
      </c>
      <c r="E33" s="27" t="s">
        <v>55</v>
      </c>
      <c r="F33" s="27">
        <v>1</v>
      </c>
      <c r="G33" s="23">
        <v>1073.395</v>
      </c>
      <c r="H33" s="23">
        <v>41.285</v>
      </c>
      <c r="I33" s="23">
        <v>13.76</v>
      </c>
      <c r="J33" s="23">
        <v>55.045</v>
      </c>
      <c r="K33" s="23">
        <v>41.285</v>
      </c>
      <c r="L33" s="23">
        <v>151.375</v>
      </c>
      <c r="M33" s="23">
        <v>123.855</v>
      </c>
      <c r="N33" s="40">
        <f>SUM(G33:M33)</f>
        <v>1500</v>
      </c>
      <c r="O33" s="37"/>
    </row>
    <row r="34" ht="25" customHeight="1" spans="1:15">
      <c r="A34" s="11" t="s">
        <v>50</v>
      </c>
      <c r="B34" s="12"/>
      <c r="C34" s="11"/>
      <c r="D34" s="13"/>
      <c r="E34" s="12"/>
      <c r="F34" s="11"/>
      <c r="G34" s="14"/>
      <c r="H34" s="14"/>
      <c r="I34" s="14"/>
      <c r="J34" s="14"/>
      <c r="K34" s="14"/>
      <c r="L34" s="14"/>
      <c r="M34" s="14"/>
      <c r="N34" s="14">
        <f>SUM(N32:N33)</f>
        <v>5500</v>
      </c>
    </row>
    <row r="35" s="20" customFormat="1" ht="63" customHeight="1" spans="1:15">
      <c r="A35" s="21">
        <v>23</v>
      </c>
      <c r="B35" s="21" t="s">
        <v>737</v>
      </c>
      <c r="C35" s="27" t="s">
        <v>738</v>
      </c>
      <c r="D35" s="39" t="s">
        <v>739</v>
      </c>
      <c r="E35" s="27" t="s">
        <v>55</v>
      </c>
      <c r="F35" s="27">
        <v>1</v>
      </c>
      <c r="G35" s="23">
        <v>5504.585</v>
      </c>
      <c r="H35" s="23">
        <v>458.715</v>
      </c>
      <c r="I35" s="23">
        <v>183.485</v>
      </c>
      <c r="J35" s="23">
        <v>1376.145</v>
      </c>
      <c r="K35" s="23">
        <v>642.2</v>
      </c>
      <c r="L35" s="23">
        <v>1009.175</v>
      </c>
      <c r="M35" s="23">
        <v>825.69</v>
      </c>
      <c r="N35" s="40">
        <f>SUM(G35:M35)</f>
        <v>9999.995</v>
      </c>
      <c r="O35" s="37"/>
    </row>
    <row r="36" s="20" customFormat="1" ht="89" customHeight="1" spans="1:15">
      <c r="A36" s="21">
        <v>24</v>
      </c>
      <c r="B36" s="21" t="s">
        <v>740</v>
      </c>
      <c r="C36" s="27" t="s">
        <v>133</v>
      </c>
      <c r="D36" s="39" t="s">
        <v>134</v>
      </c>
      <c r="E36" s="27" t="s">
        <v>66</v>
      </c>
      <c r="F36" s="27">
        <v>1</v>
      </c>
      <c r="G36" s="23">
        <v>6450.2195</v>
      </c>
      <c r="H36" s="23">
        <v>917.43</v>
      </c>
      <c r="I36" s="23">
        <v>458.715</v>
      </c>
      <c r="J36" s="23">
        <v>2568.805</v>
      </c>
      <c r="K36" s="23">
        <v>733.945</v>
      </c>
      <c r="L36" s="23">
        <v>1009.175</v>
      </c>
      <c r="M36" s="23">
        <v>825.69</v>
      </c>
      <c r="N36" s="40">
        <f>SUM(G36:M36)</f>
        <v>12963.9795</v>
      </c>
      <c r="O36" s="37"/>
    </row>
    <row r="37" ht="45" customHeight="1" spans="1:15">
      <c r="A37" s="4">
        <v>25</v>
      </c>
      <c r="B37" s="4" t="s">
        <v>741</v>
      </c>
      <c r="C37" s="4" t="s">
        <v>64</v>
      </c>
      <c r="D37" s="8" t="s">
        <v>353</v>
      </c>
      <c r="E37" s="4" t="s">
        <v>66</v>
      </c>
      <c r="F37" s="4">
        <v>1</v>
      </c>
      <c r="G37" s="9">
        <v>697.25</v>
      </c>
      <c r="H37" s="9">
        <v>183.49</v>
      </c>
      <c r="I37" s="9">
        <v>91.74</v>
      </c>
      <c r="J37" s="9">
        <v>513.76</v>
      </c>
      <c r="K37" s="9">
        <v>146.79</v>
      </c>
      <c r="L37" s="9">
        <v>201.83</v>
      </c>
      <c r="M37" s="9">
        <v>165.14</v>
      </c>
      <c r="N37" s="16">
        <f>SUM(G37:M37)</f>
        <v>2000</v>
      </c>
    </row>
    <row r="38" ht="25" customHeight="1" spans="1:15">
      <c r="A38" s="4">
        <v>26</v>
      </c>
      <c r="B38" s="4" t="s">
        <v>742</v>
      </c>
      <c r="C38" s="4" t="s">
        <v>319</v>
      </c>
      <c r="D38" s="8"/>
      <c r="E38" s="4" t="s">
        <v>66</v>
      </c>
      <c r="F38" s="4">
        <v>1</v>
      </c>
      <c r="G38" s="9">
        <v>550.46</v>
      </c>
      <c r="H38" s="9">
        <v>45.87</v>
      </c>
      <c r="I38" s="9">
        <v>18.35</v>
      </c>
      <c r="J38" s="9">
        <v>137.61</v>
      </c>
      <c r="K38" s="9">
        <v>64.22</v>
      </c>
      <c r="L38" s="9">
        <v>100.92</v>
      </c>
      <c r="M38" s="9">
        <v>82.57</v>
      </c>
      <c r="N38" s="16">
        <f>SUM(G38:M38)</f>
        <v>1000</v>
      </c>
    </row>
    <row r="39" ht="25" customHeight="1" spans="1:15">
      <c r="A39" s="11" t="s">
        <v>50</v>
      </c>
      <c r="B39" s="12"/>
      <c r="C39" s="11"/>
      <c r="D39" s="13"/>
      <c r="E39" s="12"/>
      <c r="F39" s="11"/>
      <c r="G39" s="14"/>
      <c r="H39" s="14"/>
      <c r="I39" s="14"/>
      <c r="J39" s="14"/>
      <c r="K39" s="14"/>
      <c r="L39" s="14"/>
      <c r="M39" s="14"/>
      <c r="N39" s="14">
        <f>SUM(N35:N38)</f>
        <v>25963.9745</v>
      </c>
    </row>
    <row r="40" ht="25" customHeight="1" spans="1:15">
      <c r="A40" s="4" t="s">
        <v>188</v>
      </c>
      <c r="B40" s="4"/>
      <c r="C40" s="4"/>
      <c r="D40" s="8"/>
      <c r="E40" s="4"/>
      <c r="F40" s="4"/>
      <c r="G40" s="9"/>
      <c r="H40" s="9"/>
      <c r="I40" s="9"/>
      <c r="J40" s="9"/>
      <c r="K40" s="9"/>
      <c r="L40" s="9"/>
      <c r="M40" s="9"/>
      <c r="N40" s="16">
        <f>N6+N9+N14+N19+N22+N26+N31+N34+N39</f>
        <v>241713.9245</v>
      </c>
    </row>
    <row r="42" spans="1:15">
      <c r="G42">
        <f>G36+2963.9795</f>
        <v>9414.199</v>
      </c>
    </row>
  </sheetData>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68"/>
  <sheetViews>
    <sheetView zoomScale="70" zoomScaleNormal="70" topLeftCell="B59" workbookViewId="0">
      <selection activeCell="B15" sqref="$A15:$XFD15"/>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2.6283185840708"/>
    <col min="15" max="15" width="22.0796460176991" customWidth="1"/>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s="37" customFormat="1" ht="45" customHeight="1" spans="1:14">
      <c r="A5" s="27">
        <v>1</v>
      </c>
      <c r="B5" s="27" t="s">
        <v>743</v>
      </c>
      <c r="C5" s="27" t="s">
        <v>744</v>
      </c>
      <c r="D5" s="39" t="s">
        <v>745</v>
      </c>
      <c r="E5" s="27" t="s">
        <v>55</v>
      </c>
      <c r="F5" s="27">
        <v>1</v>
      </c>
      <c r="G5" s="23">
        <v>19321.098</v>
      </c>
      <c r="H5" s="23">
        <v>743.118</v>
      </c>
      <c r="I5" s="23">
        <v>247.704</v>
      </c>
      <c r="J5" s="23">
        <v>990.828</v>
      </c>
      <c r="K5" s="23">
        <v>743.118</v>
      </c>
      <c r="L5" s="23">
        <v>2724.768</v>
      </c>
      <c r="M5" s="23">
        <v>2229.36</v>
      </c>
      <c r="N5" s="40">
        <f>SUM(G5:M5)</f>
        <v>26999.994</v>
      </c>
    </row>
    <row r="6" s="38" customFormat="1" ht="45" customHeight="1" spans="1:14">
      <c r="A6" s="41">
        <v>2</v>
      </c>
      <c r="B6" s="41" t="s">
        <v>746</v>
      </c>
      <c r="C6" s="41" t="s">
        <v>107</v>
      </c>
      <c r="D6" s="42" t="s">
        <v>747</v>
      </c>
      <c r="E6" s="41" t="s">
        <v>47</v>
      </c>
      <c r="F6" s="41">
        <v>1400</v>
      </c>
      <c r="G6" s="15">
        <v>5856.88</v>
      </c>
      <c r="H6" s="15">
        <v>1541.28</v>
      </c>
      <c r="I6" s="15">
        <v>770.64</v>
      </c>
      <c r="J6" s="15">
        <v>4315.6</v>
      </c>
      <c r="K6" s="15">
        <v>1233.03</v>
      </c>
      <c r="L6" s="15">
        <v>1695.41</v>
      </c>
      <c r="M6" s="15">
        <v>1387.16</v>
      </c>
      <c r="N6" s="43">
        <f>SUM(G6:M6)</f>
        <v>16800</v>
      </c>
    </row>
    <row r="7" ht="45" customHeight="1" spans="1:14">
      <c r="A7" s="4">
        <v>3</v>
      </c>
      <c r="B7" s="4" t="s">
        <v>748</v>
      </c>
      <c r="C7" s="4" t="s">
        <v>107</v>
      </c>
      <c r="D7" s="8" t="s">
        <v>749</v>
      </c>
      <c r="E7" s="4" t="s">
        <v>47</v>
      </c>
      <c r="F7" s="4">
        <v>1400</v>
      </c>
      <c r="G7" s="9">
        <v>3904.59</v>
      </c>
      <c r="H7" s="9">
        <v>1027.52</v>
      </c>
      <c r="I7" s="9">
        <v>513.76</v>
      </c>
      <c r="J7" s="9">
        <v>2877.06</v>
      </c>
      <c r="K7" s="9">
        <v>822.02</v>
      </c>
      <c r="L7" s="9">
        <v>1130.28</v>
      </c>
      <c r="M7" s="9">
        <v>924.77</v>
      </c>
      <c r="N7" s="16">
        <f>SUM(G7:M7)</f>
        <v>11200</v>
      </c>
    </row>
    <row r="8" ht="45" customHeight="1" spans="1:14">
      <c r="A8" s="4">
        <v>4</v>
      </c>
      <c r="B8" s="4" t="s">
        <v>750</v>
      </c>
      <c r="C8" s="4" t="s">
        <v>107</v>
      </c>
      <c r="D8" s="8" t="s">
        <v>751</v>
      </c>
      <c r="E8" s="4" t="s">
        <v>47</v>
      </c>
      <c r="F8" s="4">
        <v>6856.45</v>
      </c>
      <c r="G8" s="9">
        <v>39251.6</v>
      </c>
      <c r="H8" s="9">
        <v>1509.68</v>
      </c>
      <c r="I8" s="9">
        <v>503.23</v>
      </c>
      <c r="J8" s="9">
        <v>2012.9</v>
      </c>
      <c r="K8" s="9">
        <v>1509.68</v>
      </c>
      <c r="L8" s="9">
        <v>5535.48</v>
      </c>
      <c r="M8" s="9">
        <v>4529.03</v>
      </c>
      <c r="N8" s="16">
        <f>SUM(G8:M8)</f>
        <v>54851.6</v>
      </c>
    </row>
    <row r="9" ht="45" customHeight="1" spans="1:14">
      <c r="A9" s="4">
        <v>5</v>
      </c>
      <c r="B9" s="4" t="s">
        <v>752</v>
      </c>
      <c r="C9" s="4" t="s">
        <v>107</v>
      </c>
      <c r="D9" s="8" t="s">
        <v>753</v>
      </c>
      <c r="E9" s="4" t="s">
        <v>47</v>
      </c>
      <c r="F9" s="4">
        <v>411.4</v>
      </c>
      <c r="G9" s="9">
        <v>4710.34</v>
      </c>
      <c r="H9" s="9">
        <v>181.17</v>
      </c>
      <c r="I9" s="9">
        <v>60.39</v>
      </c>
      <c r="J9" s="9">
        <v>241.56</v>
      </c>
      <c r="K9" s="9">
        <v>181.17</v>
      </c>
      <c r="L9" s="9">
        <v>664.28</v>
      </c>
      <c r="M9" s="9">
        <v>543.5</v>
      </c>
      <c r="N9" s="16">
        <f>SUM(G9:M9)</f>
        <v>6582.41</v>
      </c>
    </row>
    <row r="10" ht="25" customHeight="1" spans="1:14">
      <c r="A10" s="11" t="s">
        <v>50</v>
      </c>
      <c r="B10" s="12"/>
      <c r="C10" s="11"/>
      <c r="D10" s="13"/>
      <c r="E10" s="12"/>
      <c r="F10" s="11"/>
      <c r="G10" s="14"/>
      <c r="H10" s="14"/>
      <c r="I10" s="14"/>
      <c r="J10" s="14"/>
      <c r="K10" s="14"/>
      <c r="L10" s="14"/>
      <c r="M10" s="14"/>
      <c r="N10" s="14">
        <f>SUM(N5:N9)</f>
        <v>116434.004</v>
      </c>
    </row>
    <row r="11" ht="45" customHeight="1" spans="1:14">
      <c r="A11" s="4">
        <v>6</v>
      </c>
      <c r="B11" s="4" t="s">
        <v>754</v>
      </c>
      <c r="C11" s="4" t="s">
        <v>495</v>
      </c>
      <c r="D11" s="8" t="s">
        <v>496</v>
      </c>
      <c r="E11" s="4" t="s">
        <v>47</v>
      </c>
      <c r="F11" s="4">
        <v>196.94</v>
      </c>
      <c r="G11" s="9">
        <v>704.65</v>
      </c>
      <c r="H11" s="9">
        <v>27.1</v>
      </c>
      <c r="I11" s="9">
        <v>9.03</v>
      </c>
      <c r="J11" s="9">
        <v>36.14</v>
      </c>
      <c r="K11" s="9">
        <v>27.1</v>
      </c>
      <c r="L11" s="9">
        <v>99.37</v>
      </c>
      <c r="M11" s="9">
        <v>81.31</v>
      </c>
      <c r="N11" s="16">
        <f>SUM(G11:M11)</f>
        <v>984.7</v>
      </c>
    </row>
    <row r="12" ht="45" customHeight="1" spans="1:14">
      <c r="A12" s="4">
        <v>7</v>
      </c>
      <c r="B12" s="4" t="s">
        <v>755</v>
      </c>
      <c r="C12" s="4" t="s">
        <v>141</v>
      </c>
      <c r="D12" s="8" t="s">
        <v>756</v>
      </c>
      <c r="E12" s="4" t="s">
        <v>93</v>
      </c>
      <c r="F12" s="4">
        <v>16</v>
      </c>
      <c r="G12" s="9">
        <v>3205.87</v>
      </c>
      <c r="H12" s="9">
        <v>123.3</v>
      </c>
      <c r="I12" s="9">
        <v>41.1</v>
      </c>
      <c r="J12" s="9">
        <v>164.4</v>
      </c>
      <c r="K12" s="9">
        <v>123.3</v>
      </c>
      <c r="L12" s="9">
        <v>452.11</v>
      </c>
      <c r="M12" s="9">
        <v>369.91</v>
      </c>
      <c r="N12" s="16">
        <f>SUM(G12:M12)</f>
        <v>4479.99</v>
      </c>
    </row>
    <row r="13" s="37" customFormat="1" ht="45" customHeight="1" spans="1:14">
      <c r="A13" s="27">
        <v>8</v>
      </c>
      <c r="B13" s="27" t="s">
        <v>757</v>
      </c>
      <c r="C13" s="27" t="s">
        <v>141</v>
      </c>
      <c r="D13" s="39" t="s">
        <v>758</v>
      </c>
      <c r="E13" s="27" t="s">
        <v>93</v>
      </c>
      <c r="F13" s="27">
        <v>81</v>
      </c>
      <c r="G13" s="23">
        <v>34777.98</v>
      </c>
      <c r="H13" s="23">
        <v>1337.61</v>
      </c>
      <c r="I13" s="23">
        <v>445.86</v>
      </c>
      <c r="J13" s="23">
        <v>1783.5</v>
      </c>
      <c r="K13" s="23">
        <v>1337.61</v>
      </c>
      <c r="L13" s="23">
        <v>4904.58</v>
      </c>
      <c r="M13" s="23">
        <v>4012.83</v>
      </c>
      <c r="N13" s="40">
        <f>SUM(G13:M13)</f>
        <v>48599.97</v>
      </c>
    </row>
    <row r="14" ht="45" customHeight="1" spans="1:14">
      <c r="A14" s="4">
        <v>9</v>
      </c>
      <c r="B14" s="4" t="s">
        <v>759</v>
      </c>
      <c r="C14" s="4" t="s">
        <v>760</v>
      </c>
      <c r="D14" s="8" t="s">
        <v>761</v>
      </c>
      <c r="E14" s="4" t="s">
        <v>93</v>
      </c>
      <c r="F14" s="4">
        <v>22</v>
      </c>
      <c r="G14" s="9">
        <v>363.3</v>
      </c>
      <c r="H14" s="9">
        <v>30.28</v>
      </c>
      <c r="I14" s="9">
        <v>12.11</v>
      </c>
      <c r="J14" s="9">
        <v>90.83</v>
      </c>
      <c r="K14" s="9">
        <v>42.39</v>
      </c>
      <c r="L14" s="9">
        <v>66.61</v>
      </c>
      <c r="M14" s="9">
        <v>54.5</v>
      </c>
      <c r="N14" s="16">
        <f>SUM(G14:M14)</f>
        <v>660.02</v>
      </c>
    </row>
    <row r="15" s="37" customFormat="1" ht="45" customHeight="1" spans="1:14">
      <c r="A15" s="27">
        <v>10</v>
      </c>
      <c r="B15" s="27" t="s">
        <v>762</v>
      </c>
      <c r="C15" s="27" t="s">
        <v>763</v>
      </c>
      <c r="D15" s="39" t="s">
        <v>764</v>
      </c>
      <c r="E15" s="27" t="s">
        <v>93</v>
      </c>
      <c r="F15" s="27">
        <v>293</v>
      </c>
      <c r="G15" s="23">
        <v>83867.88</v>
      </c>
      <c r="H15" s="23">
        <v>3225.68</v>
      </c>
      <c r="I15" s="23">
        <v>1075.22</v>
      </c>
      <c r="J15" s="23">
        <v>4300.92</v>
      </c>
      <c r="K15" s="23">
        <v>3225.68</v>
      </c>
      <c r="L15" s="23">
        <v>11827.52</v>
      </c>
      <c r="M15" s="23">
        <v>9677.06</v>
      </c>
      <c r="N15" s="40">
        <f>SUM(G15:M15)</f>
        <v>117199.96</v>
      </c>
    </row>
    <row r="16" ht="25" customHeight="1" spans="1:14">
      <c r="A16" s="11" t="s">
        <v>50</v>
      </c>
      <c r="B16" s="12"/>
      <c r="C16" s="11"/>
      <c r="D16" s="13"/>
      <c r="E16" s="12"/>
      <c r="F16" s="11"/>
      <c r="G16" s="14"/>
      <c r="H16" s="14"/>
      <c r="I16" s="14"/>
      <c r="J16" s="14"/>
      <c r="K16" s="14"/>
      <c r="L16" s="14"/>
      <c r="M16" s="14"/>
      <c r="N16" s="14">
        <f>SUM(N11:N15)</f>
        <v>171924.64</v>
      </c>
    </row>
    <row r="17" ht="45" customHeight="1" spans="1:14">
      <c r="A17" s="4">
        <v>11</v>
      </c>
      <c r="B17" s="4" t="s">
        <v>765</v>
      </c>
      <c r="C17" s="4" t="s">
        <v>159</v>
      </c>
      <c r="D17" s="8" t="s">
        <v>160</v>
      </c>
      <c r="E17" s="4" t="s">
        <v>157</v>
      </c>
      <c r="F17" s="4">
        <v>48</v>
      </c>
      <c r="G17" s="9">
        <v>686.97</v>
      </c>
      <c r="H17" s="9">
        <v>26.42</v>
      </c>
      <c r="I17" s="9">
        <v>8.81</v>
      </c>
      <c r="J17" s="9">
        <v>35.23</v>
      </c>
      <c r="K17" s="9">
        <v>26.42</v>
      </c>
      <c r="L17" s="9">
        <v>96.88</v>
      </c>
      <c r="M17" s="9">
        <v>79.27</v>
      </c>
      <c r="N17" s="16">
        <f>SUM(G17:M17)</f>
        <v>960</v>
      </c>
    </row>
    <row r="18" ht="45" customHeight="1" spans="1:14">
      <c r="A18" s="4">
        <v>12</v>
      </c>
      <c r="B18" s="4" t="s">
        <v>766</v>
      </c>
      <c r="C18" s="4" t="s">
        <v>162</v>
      </c>
      <c r="D18" s="8" t="s">
        <v>163</v>
      </c>
      <c r="E18" s="4" t="s">
        <v>157</v>
      </c>
      <c r="F18" s="4">
        <v>48</v>
      </c>
      <c r="G18" s="9">
        <v>858.72</v>
      </c>
      <c r="H18" s="9">
        <v>33.03</v>
      </c>
      <c r="I18" s="9">
        <v>11.01</v>
      </c>
      <c r="J18" s="9">
        <v>44.04</v>
      </c>
      <c r="K18" s="9">
        <v>33.03</v>
      </c>
      <c r="L18" s="9">
        <v>121.1</v>
      </c>
      <c r="M18" s="9">
        <v>99.08</v>
      </c>
      <c r="N18" s="16">
        <f>SUM(G18:M18)</f>
        <v>1200.01</v>
      </c>
    </row>
    <row r="19" ht="45" customHeight="1" spans="1:14">
      <c r="A19" s="4">
        <v>13</v>
      </c>
      <c r="B19" s="4" t="s">
        <v>767</v>
      </c>
      <c r="C19" s="4" t="s">
        <v>768</v>
      </c>
      <c r="D19" s="8" t="s">
        <v>769</v>
      </c>
      <c r="E19" s="4" t="s">
        <v>157</v>
      </c>
      <c r="F19" s="4">
        <v>402</v>
      </c>
      <c r="G19" s="9">
        <v>7191.74</v>
      </c>
      <c r="H19" s="9">
        <v>276.61</v>
      </c>
      <c r="I19" s="9">
        <v>92.2</v>
      </c>
      <c r="J19" s="9">
        <v>368.81</v>
      </c>
      <c r="K19" s="9">
        <v>276.61</v>
      </c>
      <c r="L19" s="9">
        <v>1014.22</v>
      </c>
      <c r="M19" s="9">
        <v>829.82</v>
      </c>
      <c r="N19" s="16">
        <f>SUM(G19:M19)</f>
        <v>10050.01</v>
      </c>
    </row>
    <row r="20" s="37" customFormat="1" ht="45" customHeight="1" spans="1:14">
      <c r="A20" s="27">
        <v>14</v>
      </c>
      <c r="B20" s="27" t="s">
        <v>770</v>
      </c>
      <c r="C20" s="27" t="s">
        <v>53</v>
      </c>
      <c r="D20" s="39" t="s">
        <v>771</v>
      </c>
      <c r="E20" s="27" t="s">
        <v>55</v>
      </c>
      <c r="F20" s="27">
        <v>11</v>
      </c>
      <c r="G20" s="23">
        <v>11335.044</v>
      </c>
      <c r="H20" s="23">
        <v>435.966</v>
      </c>
      <c r="I20" s="23">
        <v>145.32</v>
      </c>
      <c r="J20" s="23">
        <v>581.286</v>
      </c>
      <c r="K20" s="23">
        <v>435.966</v>
      </c>
      <c r="L20" s="23">
        <v>1598.532</v>
      </c>
      <c r="M20" s="23">
        <v>1307.892</v>
      </c>
      <c r="N20" s="40">
        <f>SUM(G20:M20)</f>
        <v>15840.006</v>
      </c>
    </row>
    <row r="21" s="37" customFormat="1" ht="45" customHeight="1" spans="1:14">
      <c r="A21" s="27">
        <v>15</v>
      </c>
      <c r="B21" s="27" t="s">
        <v>772</v>
      </c>
      <c r="C21" s="27" t="s">
        <v>155</v>
      </c>
      <c r="D21" s="39" t="s">
        <v>773</v>
      </c>
      <c r="E21" s="27" t="s">
        <v>157</v>
      </c>
      <c r="F21" s="27">
        <v>10460</v>
      </c>
      <c r="G21" s="23">
        <v>164673.0272</v>
      </c>
      <c r="H21" s="23">
        <v>6333.58</v>
      </c>
      <c r="I21" s="23">
        <v>2111.1904</v>
      </c>
      <c r="J21" s="23">
        <v>8444.7704</v>
      </c>
      <c r="K21" s="23">
        <v>6333.58</v>
      </c>
      <c r="L21" s="23">
        <v>23223.1208</v>
      </c>
      <c r="M21" s="23">
        <v>19000.7312</v>
      </c>
      <c r="N21" s="40">
        <f>SUM(G21:M21)</f>
        <v>230120</v>
      </c>
    </row>
    <row r="22" ht="25" customHeight="1" spans="1:14">
      <c r="A22" s="11" t="s">
        <v>50</v>
      </c>
      <c r="B22" s="12"/>
      <c r="C22" s="11"/>
      <c r="D22" s="13"/>
      <c r="E22" s="12"/>
      <c r="F22" s="11"/>
      <c r="G22" s="14"/>
      <c r="H22" s="14"/>
      <c r="I22" s="14"/>
      <c r="J22" s="14"/>
      <c r="K22" s="14"/>
      <c r="L22" s="14"/>
      <c r="M22" s="14"/>
      <c r="N22" s="14">
        <f>SUM(N17:N21)</f>
        <v>258170.026</v>
      </c>
    </row>
    <row r="23" s="37" customFormat="1" ht="66" customHeight="1" spans="1:14">
      <c r="A23" s="27">
        <v>16</v>
      </c>
      <c r="B23" s="27" t="s">
        <v>774</v>
      </c>
      <c r="C23" s="27" t="s">
        <v>379</v>
      </c>
      <c r="D23" s="39" t="s">
        <v>775</v>
      </c>
      <c r="E23" s="27" t="s">
        <v>55</v>
      </c>
      <c r="F23" s="27">
        <v>14</v>
      </c>
      <c r="G23" s="23">
        <v>42077.07</v>
      </c>
      <c r="H23" s="23">
        <v>1618.35</v>
      </c>
      <c r="I23" s="23">
        <v>539.445</v>
      </c>
      <c r="J23" s="23">
        <v>2157.795</v>
      </c>
      <c r="K23" s="23">
        <v>1618.35</v>
      </c>
      <c r="L23" s="23">
        <v>5933.94</v>
      </c>
      <c r="M23" s="23">
        <v>4855.05</v>
      </c>
      <c r="N23" s="40">
        <f>SUM(G23:M23)</f>
        <v>58800</v>
      </c>
    </row>
    <row r="24" s="37" customFormat="1" ht="45" customHeight="1" spans="1:14">
      <c r="A24" s="27">
        <v>17</v>
      </c>
      <c r="B24" s="27" t="s">
        <v>776</v>
      </c>
      <c r="C24" s="27" t="s">
        <v>777</v>
      </c>
      <c r="D24" s="39" t="s">
        <v>778</v>
      </c>
      <c r="E24" s="27" t="s">
        <v>395</v>
      </c>
      <c r="F24" s="27">
        <v>4056</v>
      </c>
      <c r="G24" s="23">
        <v>55727.2144</v>
      </c>
      <c r="H24" s="23">
        <v>4643.9328</v>
      </c>
      <c r="I24" s="23">
        <v>1857.5648</v>
      </c>
      <c r="J24" s="23">
        <v>13931.7984</v>
      </c>
      <c r="K24" s="23">
        <v>6501.4976</v>
      </c>
      <c r="L24" s="23">
        <v>10216.648</v>
      </c>
      <c r="M24" s="23">
        <v>8359.0832</v>
      </c>
      <c r="N24" s="40">
        <f>SUM(G24:M24)</f>
        <v>101237.7392</v>
      </c>
    </row>
    <row r="25" ht="89" customHeight="1" spans="1:14">
      <c r="A25" s="4">
        <v>18</v>
      </c>
      <c r="B25" s="4" t="s">
        <v>779</v>
      </c>
      <c r="C25" s="4" t="s">
        <v>133</v>
      </c>
      <c r="D25" s="8" t="s">
        <v>134</v>
      </c>
      <c r="E25" s="4" t="s">
        <v>66</v>
      </c>
      <c r="F25" s="4">
        <v>1</v>
      </c>
      <c r="G25" s="9">
        <v>1394.5</v>
      </c>
      <c r="H25" s="9">
        <v>366.97</v>
      </c>
      <c r="I25" s="9">
        <v>183.49</v>
      </c>
      <c r="J25" s="9">
        <v>1027.52</v>
      </c>
      <c r="K25" s="9">
        <v>293.58</v>
      </c>
      <c r="L25" s="9">
        <v>403.67</v>
      </c>
      <c r="M25" s="9">
        <v>330.28</v>
      </c>
      <c r="N25" s="16">
        <f>SUM(G25:M25)</f>
        <v>4000.01</v>
      </c>
    </row>
    <row r="26" ht="25" customHeight="1" spans="1:14">
      <c r="A26" s="11" t="s">
        <v>50</v>
      </c>
      <c r="B26" s="12"/>
      <c r="C26" s="11"/>
      <c r="D26" s="13"/>
      <c r="E26" s="12"/>
      <c r="F26" s="11"/>
      <c r="G26" s="14"/>
      <c r="H26" s="14"/>
      <c r="I26" s="14"/>
      <c r="J26" s="14"/>
      <c r="K26" s="14"/>
      <c r="L26" s="14"/>
      <c r="M26" s="14"/>
      <c r="N26" s="14">
        <f>SUM(N23:N25)</f>
        <v>164037.7492</v>
      </c>
    </row>
    <row r="27" ht="45" customHeight="1" spans="1:14">
      <c r="A27" s="4">
        <v>19</v>
      </c>
      <c r="B27" s="4" t="s">
        <v>780</v>
      </c>
      <c r="C27" s="4" t="s">
        <v>95</v>
      </c>
      <c r="D27" s="8" t="s">
        <v>283</v>
      </c>
      <c r="E27" s="4" t="s">
        <v>47</v>
      </c>
      <c r="F27" s="4">
        <v>94.4</v>
      </c>
      <c r="G27" s="9">
        <v>148.1</v>
      </c>
      <c r="H27" s="9">
        <v>38.97</v>
      </c>
      <c r="I27" s="9">
        <v>19.49</v>
      </c>
      <c r="J27" s="9">
        <v>109.12</v>
      </c>
      <c r="K27" s="9">
        <v>31.18</v>
      </c>
      <c r="L27" s="9">
        <v>42.87</v>
      </c>
      <c r="M27" s="9">
        <v>35.08</v>
      </c>
      <c r="N27" s="16">
        <f>SUM(G27:M27)</f>
        <v>424.81</v>
      </c>
    </row>
    <row r="28" ht="45" customHeight="1" spans="1:14">
      <c r="A28" s="4">
        <v>20</v>
      </c>
      <c r="B28" s="4" t="s">
        <v>781</v>
      </c>
      <c r="C28" s="4" t="s">
        <v>95</v>
      </c>
      <c r="D28" s="8" t="s">
        <v>281</v>
      </c>
      <c r="E28" s="4" t="s">
        <v>47</v>
      </c>
      <c r="F28" s="4">
        <v>153.8</v>
      </c>
      <c r="G28" s="9">
        <v>241.28</v>
      </c>
      <c r="H28" s="9">
        <v>63.5</v>
      </c>
      <c r="I28" s="9">
        <v>31.75</v>
      </c>
      <c r="J28" s="9">
        <v>177.79</v>
      </c>
      <c r="K28" s="9">
        <v>50.8</v>
      </c>
      <c r="L28" s="9">
        <v>69.84</v>
      </c>
      <c r="M28" s="9">
        <v>57.15</v>
      </c>
      <c r="N28" s="16">
        <f>SUM(G28:M28)</f>
        <v>692.11</v>
      </c>
    </row>
    <row r="29" ht="45" customHeight="1" spans="1:14">
      <c r="A29" s="4">
        <v>21</v>
      </c>
      <c r="B29" s="4" t="s">
        <v>782</v>
      </c>
      <c r="C29" s="4" t="s">
        <v>100</v>
      </c>
      <c r="D29" s="8" t="s">
        <v>285</v>
      </c>
      <c r="E29" s="4" t="s">
        <v>47</v>
      </c>
      <c r="F29" s="4">
        <v>94.4</v>
      </c>
      <c r="G29" s="9">
        <v>405.31</v>
      </c>
      <c r="H29" s="9">
        <v>33.78</v>
      </c>
      <c r="I29" s="9">
        <v>13.51</v>
      </c>
      <c r="J29" s="9">
        <v>101.33</v>
      </c>
      <c r="K29" s="9">
        <v>47.29</v>
      </c>
      <c r="L29" s="9">
        <v>74.31</v>
      </c>
      <c r="M29" s="9">
        <v>60.8</v>
      </c>
      <c r="N29" s="16">
        <f>SUM(G29:M29)</f>
        <v>736.33</v>
      </c>
    </row>
    <row r="30" ht="45" customHeight="1" spans="1:14">
      <c r="A30" s="4">
        <v>22</v>
      </c>
      <c r="B30" s="4" t="s">
        <v>783</v>
      </c>
      <c r="C30" s="4" t="s">
        <v>103</v>
      </c>
      <c r="D30" s="8" t="s">
        <v>287</v>
      </c>
      <c r="E30" s="4" t="s">
        <v>105</v>
      </c>
      <c r="F30" s="4">
        <v>27.48</v>
      </c>
      <c r="G30" s="9">
        <v>45.98</v>
      </c>
      <c r="H30" s="9">
        <v>12.1</v>
      </c>
      <c r="I30" s="9">
        <v>6.05</v>
      </c>
      <c r="J30" s="9">
        <v>33.88</v>
      </c>
      <c r="K30" s="9">
        <v>9.68</v>
      </c>
      <c r="L30" s="9">
        <v>13.31</v>
      </c>
      <c r="M30" s="9">
        <v>10.89</v>
      </c>
      <c r="N30" s="16">
        <f>SUM(G30:M30)</f>
        <v>131.89</v>
      </c>
    </row>
    <row r="31" ht="45" customHeight="1" spans="1:14">
      <c r="A31" s="4">
        <v>23</v>
      </c>
      <c r="B31" s="4" t="s">
        <v>784</v>
      </c>
      <c r="C31" s="4" t="s">
        <v>110</v>
      </c>
      <c r="D31" s="8" t="s">
        <v>422</v>
      </c>
      <c r="E31" s="4" t="s">
        <v>47</v>
      </c>
      <c r="F31" s="4">
        <v>4592.6</v>
      </c>
      <c r="G31" s="9">
        <v>4803.27</v>
      </c>
      <c r="H31" s="9">
        <v>1264.02</v>
      </c>
      <c r="I31" s="9">
        <v>632.01</v>
      </c>
      <c r="J31" s="9">
        <v>3539.25</v>
      </c>
      <c r="K31" s="9">
        <v>1011.21</v>
      </c>
      <c r="L31" s="9">
        <v>1390.42</v>
      </c>
      <c r="M31" s="9">
        <v>1137.62</v>
      </c>
      <c r="N31" s="16">
        <f>SUM(G31:M31)</f>
        <v>13777.8</v>
      </c>
    </row>
    <row r="32" ht="25" customHeight="1" spans="1:14">
      <c r="A32" s="11" t="s">
        <v>50</v>
      </c>
      <c r="B32" s="12"/>
      <c r="C32" s="11"/>
      <c r="D32" s="13"/>
      <c r="E32" s="12"/>
      <c r="F32" s="11"/>
      <c r="G32" s="14"/>
      <c r="H32" s="14"/>
      <c r="I32" s="14"/>
      <c r="J32" s="14"/>
      <c r="K32" s="14"/>
      <c r="L32" s="14"/>
      <c r="M32" s="14"/>
      <c r="N32" s="14">
        <f>SUM(N27:N31)</f>
        <v>15762.94</v>
      </c>
    </row>
    <row r="33" ht="45" customHeight="1" spans="1:14">
      <c r="A33" s="4">
        <v>24</v>
      </c>
      <c r="B33" s="4" t="s">
        <v>785</v>
      </c>
      <c r="C33" s="4" t="s">
        <v>110</v>
      </c>
      <c r="D33" s="8" t="s">
        <v>424</v>
      </c>
      <c r="E33" s="4" t="s">
        <v>47</v>
      </c>
      <c r="F33" s="4">
        <v>806.1</v>
      </c>
      <c r="G33" s="9">
        <v>843.08</v>
      </c>
      <c r="H33" s="9">
        <v>221.86</v>
      </c>
      <c r="I33" s="9">
        <v>110.93</v>
      </c>
      <c r="J33" s="9">
        <v>621.21</v>
      </c>
      <c r="K33" s="9">
        <v>177.49</v>
      </c>
      <c r="L33" s="9">
        <v>244.05</v>
      </c>
      <c r="M33" s="9">
        <v>199.68</v>
      </c>
      <c r="N33" s="16">
        <f>SUM(G33:M33)</f>
        <v>2418.3</v>
      </c>
    </row>
    <row r="34" ht="45" customHeight="1" spans="1:14">
      <c r="A34" s="4">
        <v>25</v>
      </c>
      <c r="B34" s="4" t="s">
        <v>786</v>
      </c>
      <c r="C34" s="4" t="s">
        <v>787</v>
      </c>
      <c r="D34" s="8" t="s">
        <v>788</v>
      </c>
      <c r="E34" s="4" t="s">
        <v>93</v>
      </c>
      <c r="F34" s="4">
        <v>44</v>
      </c>
      <c r="G34" s="9">
        <v>1448.37</v>
      </c>
      <c r="H34" s="9">
        <v>55.71</v>
      </c>
      <c r="I34" s="9">
        <v>18.57</v>
      </c>
      <c r="J34" s="9">
        <v>74.28</v>
      </c>
      <c r="K34" s="9">
        <v>55.71</v>
      </c>
      <c r="L34" s="9">
        <v>204.26</v>
      </c>
      <c r="M34" s="9">
        <v>167.12</v>
      </c>
      <c r="N34" s="16">
        <f>SUM(G34:M34)</f>
        <v>2024.02</v>
      </c>
    </row>
    <row r="35" ht="45" customHeight="1" spans="1:14">
      <c r="A35" s="4">
        <v>26</v>
      </c>
      <c r="B35" s="4" t="s">
        <v>789</v>
      </c>
      <c r="C35" s="4" t="s">
        <v>790</v>
      </c>
      <c r="D35" s="8" t="s">
        <v>791</v>
      </c>
      <c r="E35" s="4" t="s">
        <v>93</v>
      </c>
      <c r="F35" s="4">
        <v>26</v>
      </c>
      <c r="G35" s="9">
        <v>855.85</v>
      </c>
      <c r="H35" s="9">
        <v>32.92</v>
      </c>
      <c r="I35" s="9">
        <v>10.97</v>
      </c>
      <c r="J35" s="9">
        <v>43.89</v>
      </c>
      <c r="K35" s="9">
        <v>32.92</v>
      </c>
      <c r="L35" s="9">
        <v>120.7</v>
      </c>
      <c r="M35" s="9">
        <v>98.75</v>
      </c>
      <c r="N35" s="16">
        <f>SUM(G35:M35)</f>
        <v>1196</v>
      </c>
    </row>
    <row r="36" ht="45" customHeight="1" spans="1:14">
      <c r="A36" s="4">
        <v>27</v>
      </c>
      <c r="B36" s="4" t="s">
        <v>792</v>
      </c>
      <c r="C36" s="4" t="s">
        <v>793</v>
      </c>
      <c r="D36" s="8" t="s">
        <v>794</v>
      </c>
      <c r="E36" s="4" t="s">
        <v>93</v>
      </c>
      <c r="F36" s="4">
        <v>32</v>
      </c>
      <c r="G36" s="9">
        <v>618.28</v>
      </c>
      <c r="H36" s="9">
        <v>23.78</v>
      </c>
      <c r="I36" s="9">
        <v>7.93</v>
      </c>
      <c r="J36" s="9">
        <v>31.71</v>
      </c>
      <c r="K36" s="9">
        <v>23.78</v>
      </c>
      <c r="L36" s="9">
        <v>87.19</v>
      </c>
      <c r="M36" s="9">
        <v>71.34</v>
      </c>
      <c r="N36" s="16">
        <f>SUM(G36:M36)</f>
        <v>864.01</v>
      </c>
    </row>
    <row r="37" ht="45" customHeight="1" spans="1:14">
      <c r="A37" s="4">
        <v>28</v>
      </c>
      <c r="B37" s="4" t="s">
        <v>795</v>
      </c>
      <c r="C37" s="4" t="s">
        <v>796</v>
      </c>
      <c r="D37" s="8" t="s">
        <v>797</v>
      </c>
      <c r="E37" s="4" t="s">
        <v>93</v>
      </c>
      <c r="F37" s="4">
        <v>102</v>
      </c>
      <c r="G37" s="9">
        <v>729.91</v>
      </c>
      <c r="H37" s="9">
        <v>28.07</v>
      </c>
      <c r="I37" s="9">
        <v>9.36</v>
      </c>
      <c r="J37" s="9">
        <v>37.43</v>
      </c>
      <c r="K37" s="9">
        <v>28.07</v>
      </c>
      <c r="L37" s="9">
        <v>102.94</v>
      </c>
      <c r="M37" s="9">
        <v>84.22</v>
      </c>
      <c r="N37" s="16">
        <f>SUM(G37:M37)</f>
        <v>1020</v>
      </c>
    </row>
    <row r="38" ht="25" customHeight="1" spans="1:14">
      <c r="A38" s="11" t="s">
        <v>50</v>
      </c>
      <c r="B38" s="12"/>
      <c r="C38" s="11"/>
      <c r="D38" s="13"/>
      <c r="E38" s="12"/>
      <c r="F38" s="11"/>
      <c r="G38" s="14"/>
      <c r="H38" s="14"/>
      <c r="I38" s="14"/>
      <c r="J38" s="14"/>
      <c r="K38" s="14"/>
      <c r="L38" s="14"/>
      <c r="M38" s="14"/>
      <c r="N38" s="14">
        <f>SUM(N33:N37)</f>
        <v>7522.33</v>
      </c>
    </row>
    <row r="39" ht="45" customHeight="1" spans="1:14">
      <c r="A39" s="4">
        <v>29</v>
      </c>
      <c r="B39" s="4" t="s">
        <v>798</v>
      </c>
      <c r="C39" s="4" t="s">
        <v>123</v>
      </c>
      <c r="D39" s="8" t="s">
        <v>799</v>
      </c>
      <c r="E39" s="4" t="s">
        <v>125</v>
      </c>
      <c r="F39" s="4">
        <v>172</v>
      </c>
      <c r="G39" s="9">
        <v>479.71</v>
      </c>
      <c r="H39" s="9">
        <v>126.24</v>
      </c>
      <c r="I39" s="9">
        <v>63.12</v>
      </c>
      <c r="J39" s="9">
        <v>353.47</v>
      </c>
      <c r="K39" s="9">
        <v>100.99</v>
      </c>
      <c r="L39" s="9">
        <v>138.86</v>
      </c>
      <c r="M39" s="9">
        <v>113.61</v>
      </c>
      <c r="N39" s="16">
        <f>SUM(G39:M39)</f>
        <v>1376</v>
      </c>
    </row>
    <row r="40" s="37" customFormat="1" ht="45" customHeight="1" spans="1:14">
      <c r="A40" s="27">
        <v>30</v>
      </c>
      <c r="B40" s="27" t="s">
        <v>800</v>
      </c>
      <c r="C40" s="27" t="s">
        <v>95</v>
      </c>
      <c r="D40" s="39" t="s">
        <v>283</v>
      </c>
      <c r="E40" s="27" t="s">
        <v>47</v>
      </c>
      <c r="F40" s="27">
        <v>2935.63</v>
      </c>
      <c r="G40" s="23">
        <v>13816.32</v>
      </c>
      <c r="H40" s="23">
        <v>3635.88</v>
      </c>
      <c r="I40" s="23">
        <v>1817.94</v>
      </c>
      <c r="J40" s="23">
        <v>10180.44</v>
      </c>
      <c r="K40" s="23">
        <v>2908.71</v>
      </c>
      <c r="L40" s="23">
        <v>3999.45</v>
      </c>
      <c r="M40" s="23">
        <v>3272.28</v>
      </c>
      <c r="N40" s="40">
        <f>SUM(G40:M40)</f>
        <v>39631.02</v>
      </c>
    </row>
    <row r="41" s="37" customFormat="1" ht="45" customHeight="1" spans="1:14">
      <c r="A41" s="27">
        <v>31</v>
      </c>
      <c r="B41" s="27" t="s">
        <v>801</v>
      </c>
      <c r="C41" s="27" t="s">
        <v>95</v>
      </c>
      <c r="D41" s="39" t="s">
        <v>281</v>
      </c>
      <c r="E41" s="27" t="s">
        <v>47</v>
      </c>
      <c r="F41" s="27">
        <v>6226.36</v>
      </c>
      <c r="G41" s="23">
        <v>29303.88</v>
      </c>
      <c r="H41" s="23">
        <v>7711.56</v>
      </c>
      <c r="I41" s="23">
        <v>3855.78</v>
      </c>
      <c r="J41" s="23">
        <v>21592.32</v>
      </c>
      <c r="K41" s="23">
        <v>6169.23</v>
      </c>
      <c r="L41" s="23">
        <v>8482.71</v>
      </c>
      <c r="M41" s="23">
        <v>6940.38</v>
      </c>
      <c r="N41" s="40">
        <f>SUM(G41:M41)</f>
        <v>84055.86</v>
      </c>
    </row>
    <row r="42" ht="45" customHeight="1" spans="1:14">
      <c r="A42" s="4">
        <v>32</v>
      </c>
      <c r="B42" s="4" t="s">
        <v>802</v>
      </c>
      <c r="C42" s="4" t="s">
        <v>100</v>
      </c>
      <c r="D42" s="8" t="s">
        <v>285</v>
      </c>
      <c r="E42" s="4" t="s">
        <v>47</v>
      </c>
      <c r="F42" s="4">
        <v>1467.5</v>
      </c>
      <c r="G42" s="9">
        <v>6300.83</v>
      </c>
      <c r="H42" s="9">
        <v>525.07</v>
      </c>
      <c r="I42" s="9">
        <v>210.03</v>
      </c>
      <c r="J42" s="9">
        <v>1575.21</v>
      </c>
      <c r="K42" s="9">
        <v>735.1</v>
      </c>
      <c r="L42" s="9">
        <v>1155.15</v>
      </c>
      <c r="M42" s="9">
        <v>945.12</v>
      </c>
      <c r="N42" s="16">
        <f>SUM(G42:M42)</f>
        <v>11446.51</v>
      </c>
    </row>
    <row r="43" ht="45" customHeight="1" spans="1:14">
      <c r="A43" s="4">
        <v>33</v>
      </c>
      <c r="B43" s="4" t="s">
        <v>803</v>
      </c>
      <c r="C43" s="4" t="s">
        <v>103</v>
      </c>
      <c r="D43" s="8" t="s">
        <v>287</v>
      </c>
      <c r="E43" s="4" t="s">
        <v>105</v>
      </c>
      <c r="F43" s="4">
        <v>1112.37</v>
      </c>
      <c r="G43" s="9">
        <v>5041.38</v>
      </c>
      <c r="H43" s="9">
        <v>1326.68</v>
      </c>
      <c r="I43" s="9">
        <v>663.34</v>
      </c>
      <c r="J43" s="9">
        <v>3714.7</v>
      </c>
      <c r="K43" s="9">
        <v>1061.34</v>
      </c>
      <c r="L43" s="9">
        <v>1459.35</v>
      </c>
      <c r="M43" s="9">
        <v>1194.01</v>
      </c>
      <c r="N43" s="16">
        <f>SUM(G43:M43)</f>
        <v>14460.8</v>
      </c>
    </row>
    <row r="44" ht="25" customHeight="1" spans="1:14">
      <c r="A44" s="11" t="s">
        <v>50</v>
      </c>
      <c r="B44" s="12"/>
      <c r="C44" s="11"/>
      <c r="D44" s="13"/>
      <c r="E44" s="12"/>
      <c r="F44" s="11"/>
      <c r="G44" s="14"/>
      <c r="H44" s="14"/>
      <c r="I44" s="14"/>
      <c r="J44" s="14"/>
      <c r="K44" s="14"/>
      <c r="L44" s="14"/>
      <c r="M44" s="14"/>
      <c r="N44" s="14">
        <f>SUM(N39:N43)</f>
        <v>150970.19</v>
      </c>
    </row>
    <row r="45" s="37" customFormat="1" ht="45" customHeight="1" spans="1:14">
      <c r="A45" s="27">
        <v>34</v>
      </c>
      <c r="B45" s="27" t="s">
        <v>804</v>
      </c>
      <c r="C45" s="27" t="s">
        <v>110</v>
      </c>
      <c r="D45" s="39" t="s">
        <v>422</v>
      </c>
      <c r="E45" s="27" t="s">
        <v>47</v>
      </c>
      <c r="F45" s="27">
        <v>121282.98</v>
      </c>
      <c r="G45" s="23">
        <v>164900.346</v>
      </c>
      <c r="H45" s="23">
        <v>43394.832</v>
      </c>
      <c r="I45" s="23">
        <v>21697.416</v>
      </c>
      <c r="J45" s="23">
        <v>121505.514</v>
      </c>
      <c r="K45" s="23">
        <v>34715.863</v>
      </c>
      <c r="L45" s="23">
        <v>47734.31</v>
      </c>
      <c r="M45" s="23">
        <v>39055.341</v>
      </c>
      <c r="N45" s="40">
        <f>SUM(G45:M45)</f>
        <v>473003.622</v>
      </c>
    </row>
    <row r="46" s="37" customFormat="1" ht="45" customHeight="1" spans="1:14">
      <c r="A46" s="27">
        <v>35</v>
      </c>
      <c r="B46" s="27" t="s">
        <v>805</v>
      </c>
      <c r="C46" s="27" t="s">
        <v>110</v>
      </c>
      <c r="D46" s="39" t="s">
        <v>424</v>
      </c>
      <c r="E46" s="27" t="s">
        <v>47</v>
      </c>
      <c r="F46" s="27">
        <v>24205.49</v>
      </c>
      <c r="G46" s="23">
        <v>32910.579</v>
      </c>
      <c r="H46" s="23">
        <v>8660.678</v>
      </c>
      <c r="I46" s="23">
        <v>4330.339</v>
      </c>
      <c r="J46" s="23">
        <v>24249.901</v>
      </c>
      <c r="K46" s="23">
        <v>6928.545</v>
      </c>
      <c r="L46" s="23">
        <v>9526.751</v>
      </c>
      <c r="M46" s="23">
        <v>7794.618</v>
      </c>
      <c r="N46" s="40">
        <f>SUM(G46:M46)</f>
        <v>94401.411</v>
      </c>
    </row>
    <row r="47" s="20" customFormat="1" ht="45" customHeight="1" spans="1:14">
      <c r="A47" s="21">
        <v>36</v>
      </c>
      <c r="B47" s="21" t="s">
        <v>806</v>
      </c>
      <c r="C47" s="21" t="s">
        <v>787</v>
      </c>
      <c r="D47" s="22" t="s">
        <v>788</v>
      </c>
      <c r="E47" s="21" t="s">
        <v>93</v>
      </c>
      <c r="F47" s="21">
        <v>1053</v>
      </c>
      <c r="G47" s="29">
        <v>34662.06</v>
      </c>
      <c r="H47" s="29">
        <v>1333.16</v>
      </c>
      <c r="I47" s="29">
        <v>444.39</v>
      </c>
      <c r="J47" s="29">
        <v>1777.54</v>
      </c>
      <c r="K47" s="29">
        <v>1333.16</v>
      </c>
      <c r="L47" s="29">
        <v>4888.24</v>
      </c>
      <c r="M47" s="29">
        <v>3999.47</v>
      </c>
      <c r="N47" s="24">
        <f>SUM(G47:M47)</f>
        <v>48438.02</v>
      </c>
    </row>
    <row r="48" ht="45" customHeight="1" spans="1:14">
      <c r="A48" s="4">
        <v>37</v>
      </c>
      <c r="B48" s="4" t="s">
        <v>807</v>
      </c>
      <c r="C48" s="4" t="s">
        <v>787</v>
      </c>
      <c r="D48" s="8" t="s">
        <v>808</v>
      </c>
      <c r="E48" s="4" t="s">
        <v>93</v>
      </c>
      <c r="F48" s="4">
        <v>274</v>
      </c>
      <c r="G48" s="9">
        <v>9019.38</v>
      </c>
      <c r="H48" s="9">
        <v>346.9</v>
      </c>
      <c r="I48" s="9">
        <v>115.63</v>
      </c>
      <c r="J48" s="9">
        <v>462.53</v>
      </c>
      <c r="K48" s="9">
        <v>346.9</v>
      </c>
      <c r="L48" s="9">
        <v>1271.96</v>
      </c>
      <c r="M48" s="9">
        <v>1040.7</v>
      </c>
      <c r="N48" s="16">
        <f>SUM(G48:M48)</f>
        <v>12604</v>
      </c>
    </row>
    <row r="49" ht="45" customHeight="1" spans="1:14">
      <c r="A49" s="4">
        <v>38</v>
      </c>
      <c r="B49" s="4" t="s">
        <v>809</v>
      </c>
      <c r="C49" s="4" t="s">
        <v>787</v>
      </c>
      <c r="D49" s="8" t="s">
        <v>810</v>
      </c>
      <c r="E49" s="4" t="s">
        <v>93</v>
      </c>
      <c r="F49" s="4">
        <v>133</v>
      </c>
      <c r="G49" s="9">
        <v>4378.02</v>
      </c>
      <c r="H49" s="9">
        <v>168.39</v>
      </c>
      <c r="I49" s="9">
        <v>56.13</v>
      </c>
      <c r="J49" s="9">
        <v>224.51</v>
      </c>
      <c r="K49" s="9">
        <v>168.39</v>
      </c>
      <c r="L49" s="9">
        <v>617.41</v>
      </c>
      <c r="M49" s="9">
        <v>505.16</v>
      </c>
      <c r="N49" s="16">
        <f>SUM(G49:M49)</f>
        <v>6118.01</v>
      </c>
    </row>
    <row r="50" ht="25" customHeight="1" spans="1:14">
      <c r="A50" s="11" t="s">
        <v>50</v>
      </c>
      <c r="B50" s="12"/>
      <c r="C50" s="11"/>
      <c r="D50" s="13"/>
      <c r="E50" s="12"/>
      <c r="F50" s="11"/>
      <c r="G50" s="14"/>
      <c r="H50" s="14"/>
      <c r="I50" s="14"/>
      <c r="J50" s="14"/>
      <c r="K50" s="14"/>
      <c r="L50" s="14"/>
      <c r="M50" s="14"/>
      <c r="N50" s="14">
        <f>SUM(N45:N49)</f>
        <v>634565.063</v>
      </c>
    </row>
    <row r="51" s="37" customFormat="1" ht="45" customHeight="1" spans="1:14">
      <c r="A51" s="27">
        <v>39</v>
      </c>
      <c r="B51" s="27" t="s">
        <v>811</v>
      </c>
      <c r="C51" s="27" t="s">
        <v>790</v>
      </c>
      <c r="D51" s="39" t="s">
        <v>791</v>
      </c>
      <c r="E51" s="27" t="s">
        <v>93</v>
      </c>
      <c r="F51" s="27">
        <v>364</v>
      </c>
      <c r="G51" s="23">
        <v>23963.88</v>
      </c>
      <c r="H51" s="23">
        <v>921.68</v>
      </c>
      <c r="I51" s="23">
        <v>307.22</v>
      </c>
      <c r="J51" s="23">
        <v>1228.92</v>
      </c>
      <c r="K51" s="23">
        <v>921.68</v>
      </c>
      <c r="L51" s="23">
        <v>3379.52</v>
      </c>
      <c r="M51" s="23">
        <v>2765.06</v>
      </c>
      <c r="N51" s="40">
        <f>SUM(G51:M51)</f>
        <v>33487.96</v>
      </c>
    </row>
    <row r="52" s="37" customFormat="1" ht="45" customHeight="1" spans="1:14">
      <c r="A52" s="27">
        <v>40</v>
      </c>
      <c r="B52" s="27" t="s">
        <v>812</v>
      </c>
      <c r="C52" s="27" t="s">
        <v>813</v>
      </c>
      <c r="D52" s="39" t="s">
        <v>814</v>
      </c>
      <c r="E52" s="27" t="s">
        <v>93</v>
      </c>
      <c r="F52" s="27">
        <v>132</v>
      </c>
      <c r="G52" s="23">
        <v>20403.12</v>
      </c>
      <c r="H52" s="23">
        <v>784.72</v>
      </c>
      <c r="I52" s="23">
        <v>261.6</v>
      </c>
      <c r="J52" s="23">
        <v>1046.32</v>
      </c>
      <c r="K52" s="23">
        <v>784.72</v>
      </c>
      <c r="L52" s="23">
        <v>2877.36</v>
      </c>
      <c r="M52" s="23">
        <v>2354.24</v>
      </c>
      <c r="N52" s="40">
        <f>SUM(G52:M52)</f>
        <v>28512.08</v>
      </c>
    </row>
    <row r="53" ht="45" customHeight="1" spans="1:14">
      <c r="A53" s="4">
        <v>41</v>
      </c>
      <c r="B53" s="4" t="s">
        <v>815</v>
      </c>
      <c r="C53" s="4" t="s">
        <v>793</v>
      </c>
      <c r="D53" s="8" t="s">
        <v>794</v>
      </c>
      <c r="E53" s="4" t="s">
        <v>93</v>
      </c>
      <c r="F53" s="4">
        <v>1043</v>
      </c>
      <c r="G53" s="9">
        <v>20151.91</v>
      </c>
      <c r="H53" s="9">
        <v>775.07</v>
      </c>
      <c r="I53" s="9">
        <v>258.36</v>
      </c>
      <c r="J53" s="9">
        <v>1033.43</v>
      </c>
      <c r="K53" s="9">
        <v>775.07</v>
      </c>
      <c r="L53" s="9">
        <v>2841.94</v>
      </c>
      <c r="M53" s="9">
        <v>2325.22</v>
      </c>
      <c r="N53" s="16">
        <f t="shared" ref="N53:N68" si="0">SUM(G53:M53)</f>
        <v>28161</v>
      </c>
    </row>
    <row r="54" ht="45" customHeight="1" spans="1:14">
      <c r="A54" s="4">
        <v>42</v>
      </c>
      <c r="B54" s="4" t="s">
        <v>816</v>
      </c>
      <c r="C54" s="4" t="s">
        <v>796</v>
      </c>
      <c r="D54" s="8" t="s">
        <v>797</v>
      </c>
      <c r="E54" s="4" t="s">
        <v>93</v>
      </c>
      <c r="F54" s="4">
        <v>2999</v>
      </c>
      <c r="G54" s="9">
        <v>21460.73</v>
      </c>
      <c r="H54" s="9">
        <v>825.41</v>
      </c>
      <c r="I54" s="9">
        <v>275.14</v>
      </c>
      <c r="J54" s="9">
        <v>1100.55</v>
      </c>
      <c r="K54" s="9">
        <v>825.41</v>
      </c>
      <c r="L54" s="9">
        <v>3026.51</v>
      </c>
      <c r="M54" s="9">
        <v>2476.24</v>
      </c>
      <c r="N54" s="16">
        <f t="shared" si="0"/>
        <v>29989.99</v>
      </c>
    </row>
    <row r="55" ht="45" customHeight="1" spans="1:14">
      <c r="A55" s="4">
        <v>43</v>
      </c>
      <c r="B55" s="4" t="s">
        <v>817</v>
      </c>
      <c r="C55" s="4" t="s">
        <v>123</v>
      </c>
      <c r="D55" s="8" t="s">
        <v>799</v>
      </c>
      <c r="E55" s="4" t="s">
        <v>125</v>
      </c>
      <c r="F55" s="4">
        <v>3884</v>
      </c>
      <c r="G55" s="9">
        <v>10832.44</v>
      </c>
      <c r="H55" s="9">
        <v>2850.64</v>
      </c>
      <c r="I55" s="9">
        <v>1425.32</v>
      </c>
      <c r="J55" s="9">
        <v>7981.8</v>
      </c>
      <c r="K55" s="9">
        <v>2280.51</v>
      </c>
      <c r="L55" s="9">
        <v>3135.71</v>
      </c>
      <c r="M55" s="9">
        <v>2565.58</v>
      </c>
      <c r="N55" s="16">
        <f t="shared" si="0"/>
        <v>31072</v>
      </c>
    </row>
    <row r="56" ht="25" customHeight="1" spans="1:14">
      <c r="A56" s="11" t="s">
        <v>50</v>
      </c>
      <c r="B56" s="12"/>
      <c r="C56" s="11"/>
      <c r="D56" s="13"/>
      <c r="E56" s="12"/>
      <c r="F56" s="11"/>
      <c r="G56" s="14"/>
      <c r="H56" s="14"/>
      <c r="I56" s="14"/>
      <c r="J56" s="14"/>
      <c r="K56" s="14"/>
      <c r="L56" s="14"/>
      <c r="M56" s="14"/>
      <c r="N56" s="14">
        <f>SUM(N51:N55)</f>
        <v>151223.03</v>
      </c>
    </row>
    <row r="57" ht="45" customHeight="1" spans="1:14">
      <c r="A57" s="4">
        <v>44</v>
      </c>
      <c r="B57" s="4" t="s">
        <v>818</v>
      </c>
      <c r="C57" s="4" t="s">
        <v>95</v>
      </c>
      <c r="D57" s="8" t="s">
        <v>819</v>
      </c>
      <c r="E57" s="4" t="s">
        <v>47</v>
      </c>
      <c r="F57" s="4">
        <v>19.7</v>
      </c>
      <c r="G57" s="9">
        <v>30.91</v>
      </c>
      <c r="H57" s="9">
        <v>8.13</v>
      </c>
      <c r="I57" s="9">
        <v>4.07</v>
      </c>
      <c r="J57" s="9">
        <v>22.77</v>
      </c>
      <c r="K57" s="9">
        <v>6.51</v>
      </c>
      <c r="L57" s="9">
        <v>8.95</v>
      </c>
      <c r="M57" s="9">
        <v>7.32</v>
      </c>
      <c r="N57" s="16">
        <f t="shared" si="0"/>
        <v>88.66</v>
      </c>
    </row>
    <row r="58" ht="45" customHeight="1" spans="1:14">
      <c r="A58" s="4">
        <v>45</v>
      </c>
      <c r="B58" s="4" t="s">
        <v>820</v>
      </c>
      <c r="C58" s="4" t="s">
        <v>100</v>
      </c>
      <c r="D58" s="8" t="s">
        <v>285</v>
      </c>
      <c r="E58" s="4" t="s">
        <v>47</v>
      </c>
      <c r="F58" s="4">
        <v>19.7</v>
      </c>
      <c r="G58" s="9">
        <v>84.58</v>
      </c>
      <c r="H58" s="9">
        <v>7.05</v>
      </c>
      <c r="I58" s="9">
        <v>2.82</v>
      </c>
      <c r="J58" s="9">
        <v>21.15</v>
      </c>
      <c r="K58" s="9">
        <v>9.87</v>
      </c>
      <c r="L58" s="9">
        <v>15.51</v>
      </c>
      <c r="M58" s="9">
        <v>12.69</v>
      </c>
      <c r="N58" s="16">
        <f t="shared" si="0"/>
        <v>153.67</v>
      </c>
    </row>
    <row r="59" ht="45" customHeight="1" spans="1:14">
      <c r="A59" s="4">
        <v>46</v>
      </c>
      <c r="B59" s="4" t="s">
        <v>821</v>
      </c>
      <c r="C59" s="4" t="s">
        <v>110</v>
      </c>
      <c r="D59" s="8" t="s">
        <v>424</v>
      </c>
      <c r="E59" s="4" t="s">
        <v>47</v>
      </c>
      <c r="F59" s="4">
        <v>68.9</v>
      </c>
      <c r="G59" s="9">
        <v>93.68</v>
      </c>
      <c r="H59" s="9">
        <v>24.65</v>
      </c>
      <c r="I59" s="9">
        <v>12.33</v>
      </c>
      <c r="J59" s="9">
        <v>69.03</v>
      </c>
      <c r="K59" s="9">
        <v>19.72</v>
      </c>
      <c r="L59" s="9">
        <v>27.12</v>
      </c>
      <c r="M59" s="9">
        <v>22.19</v>
      </c>
      <c r="N59" s="16">
        <f t="shared" si="0"/>
        <v>268.72</v>
      </c>
    </row>
    <row r="60" ht="45" customHeight="1" spans="1:14">
      <c r="A60" s="4">
        <v>47</v>
      </c>
      <c r="B60" s="4" t="s">
        <v>822</v>
      </c>
      <c r="C60" s="4" t="s">
        <v>787</v>
      </c>
      <c r="D60" s="8" t="s">
        <v>788</v>
      </c>
      <c r="E60" s="4" t="s">
        <v>93</v>
      </c>
      <c r="F60" s="4">
        <v>4</v>
      </c>
      <c r="G60" s="9">
        <v>131.67</v>
      </c>
      <c r="H60" s="9">
        <v>5.06</v>
      </c>
      <c r="I60" s="9">
        <v>1.69</v>
      </c>
      <c r="J60" s="9">
        <v>6.75</v>
      </c>
      <c r="K60" s="9">
        <v>5.06</v>
      </c>
      <c r="L60" s="9">
        <v>18.57</v>
      </c>
      <c r="M60" s="9">
        <v>15.19</v>
      </c>
      <c r="N60" s="16">
        <f t="shared" si="0"/>
        <v>183.99</v>
      </c>
    </row>
    <row r="61" ht="45" customHeight="1" spans="1:14">
      <c r="A61" s="4">
        <v>48</v>
      </c>
      <c r="B61" s="4" t="s">
        <v>823</v>
      </c>
      <c r="C61" s="4" t="s">
        <v>793</v>
      </c>
      <c r="D61" s="8" t="s">
        <v>794</v>
      </c>
      <c r="E61" s="4" t="s">
        <v>93</v>
      </c>
      <c r="F61" s="4">
        <v>4</v>
      </c>
      <c r="G61" s="9">
        <v>77.28</v>
      </c>
      <c r="H61" s="9">
        <v>2.97</v>
      </c>
      <c r="I61" s="9">
        <v>0.99</v>
      </c>
      <c r="J61" s="9">
        <v>3.96</v>
      </c>
      <c r="K61" s="9">
        <v>2.97</v>
      </c>
      <c r="L61" s="9">
        <v>10.9</v>
      </c>
      <c r="M61" s="9">
        <v>8.92</v>
      </c>
      <c r="N61" s="16">
        <f t="shared" si="0"/>
        <v>107.99</v>
      </c>
    </row>
    <row r="62" ht="25" customHeight="1" spans="1:14">
      <c r="A62" s="11" t="s">
        <v>50</v>
      </c>
      <c r="B62" s="12"/>
      <c r="C62" s="11"/>
      <c r="D62" s="13"/>
      <c r="E62" s="12"/>
      <c r="F62" s="11"/>
      <c r="G62" s="14"/>
      <c r="H62" s="14"/>
      <c r="I62" s="14"/>
      <c r="J62" s="14"/>
      <c r="K62" s="14"/>
      <c r="L62" s="14"/>
      <c r="M62" s="14"/>
      <c r="N62" s="14">
        <f>SUM(N57:N61)</f>
        <v>803.03</v>
      </c>
    </row>
    <row r="63" ht="45" customHeight="1" spans="1:14">
      <c r="A63" s="4">
        <v>49</v>
      </c>
      <c r="B63" s="4" t="s">
        <v>824</v>
      </c>
      <c r="C63" s="4" t="s">
        <v>796</v>
      </c>
      <c r="D63" s="8" t="s">
        <v>797</v>
      </c>
      <c r="E63" s="4" t="s">
        <v>93</v>
      </c>
      <c r="F63" s="4">
        <v>8</v>
      </c>
      <c r="G63" s="9">
        <v>57.25</v>
      </c>
      <c r="H63" s="9">
        <v>2.2</v>
      </c>
      <c r="I63" s="9">
        <v>0.73</v>
      </c>
      <c r="J63" s="9">
        <v>2.94</v>
      </c>
      <c r="K63" s="9">
        <v>2.2</v>
      </c>
      <c r="L63" s="9">
        <v>8.07</v>
      </c>
      <c r="M63" s="9">
        <v>6.61</v>
      </c>
      <c r="N63" s="16">
        <f t="shared" si="0"/>
        <v>80</v>
      </c>
    </row>
    <row r="64" ht="45" customHeight="1" spans="1:14">
      <c r="A64" s="4">
        <v>50</v>
      </c>
      <c r="B64" s="4" t="s">
        <v>825</v>
      </c>
      <c r="C64" s="4" t="s">
        <v>123</v>
      </c>
      <c r="D64" s="8" t="s">
        <v>799</v>
      </c>
      <c r="E64" s="4" t="s">
        <v>125</v>
      </c>
      <c r="F64" s="4">
        <v>12</v>
      </c>
      <c r="G64" s="9">
        <v>33.47</v>
      </c>
      <c r="H64" s="9">
        <v>8.81</v>
      </c>
      <c r="I64" s="9">
        <v>4.4</v>
      </c>
      <c r="J64" s="9">
        <v>24.66</v>
      </c>
      <c r="K64" s="9">
        <v>7.05</v>
      </c>
      <c r="L64" s="9">
        <v>9.69</v>
      </c>
      <c r="M64" s="9">
        <v>7.93</v>
      </c>
      <c r="N64" s="16">
        <f t="shared" si="0"/>
        <v>96.01</v>
      </c>
    </row>
    <row r="65" ht="45" customHeight="1" spans="1:14">
      <c r="A65" s="4">
        <v>51</v>
      </c>
      <c r="B65" s="4" t="s">
        <v>826</v>
      </c>
      <c r="C65" s="4" t="s">
        <v>64</v>
      </c>
      <c r="D65" s="8" t="s">
        <v>353</v>
      </c>
      <c r="E65" s="4" t="s">
        <v>66</v>
      </c>
      <c r="F65" s="4">
        <v>1</v>
      </c>
      <c r="G65" s="9">
        <v>697.25</v>
      </c>
      <c r="H65" s="9">
        <v>183.49</v>
      </c>
      <c r="I65" s="9">
        <v>91.74</v>
      </c>
      <c r="J65" s="9">
        <v>513.76</v>
      </c>
      <c r="K65" s="9">
        <v>146.79</v>
      </c>
      <c r="L65" s="9">
        <v>201.83</v>
      </c>
      <c r="M65" s="9">
        <v>165.14</v>
      </c>
      <c r="N65" s="16">
        <f t="shared" si="0"/>
        <v>2000</v>
      </c>
    </row>
    <row r="66" ht="25" customHeight="1" spans="1:14">
      <c r="A66" s="4">
        <v>52</v>
      </c>
      <c r="B66" s="4" t="s">
        <v>827</v>
      </c>
      <c r="C66" s="4" t="s">
        <v>319</v>
      </c>
      <c r="D66" s="8"/>
      <c r="E66" s="4" t="s">
        <v>66</v>
      </c>
      <c r="F66" s="4">
        <v>1</v>
      </c>
      <c r="G66" s="9">
        <v>550.46</v>
      </c>
      <c r="H66" s="9">
        <v>45.87</v>
      </c>
      <c r="I66" s="9">
        <v>18.35</v>
      </c>
      <c r="J66" s="9">
        <v>137.61</v>
      </c>
      <c r="K66" s="9">
        <v>64.22</v>
      </c>
      <c r="L66" s="9">
        <v>100.92</v>
      </c>
      <c r="M66" s="9">
        <v>82.57</v>
      </c>
      <c r="N66" s="16">
        <f t="shared" si="0"/>
        <v>1000</v>
      </c>
    </row>
    <row r="67" ht="25" customHeight="1" spans="1:14">
      <c r="A67" s="11" t="s">
        <v>50</v>
      </c>
      <c r="B67" s="12"/>
      <c r="C67" s="11"/>
      <c r="D67" s="13"/>
      <c r="E67" s="12"/>
      <c r="F67" s="11"/>
      <c r="G67" s="14"/>
      <c r="H67" s="14"/>
      <c r="I67" s="14"/>
      <c r="J67" s="14"/>
      <c r="K67" s="14"/>
      <c r="L67" s="14"/>
      <c r="M67" s="14"/>
      <c r="N67" s="14">
        <f>SUM(N63:N66)</f>
        <v>3176.01</v>
      </c>
    </row>
    <row r="68" ht="30" customHeight="1" spans="1:14">
      <c r="A68" s="4" t="s">
        <v>188</v>
      </c>
      <c r="B68" s="4"/>
      <c r="C68" s="4"/>
      <c r="D68" s="8"/>
      <c r="E68" s="4"/>
      <c r="F68" s="4"/>
      <c r="G68" s="9"/>
      <c r="H68" s="9"/>
      <c r="I68" s="9"/>
      <c r="J68" s="9"/>
      <c r="K68" s="9"/>
      <c r="L68" s="9"/>
      <c r="M68" s="9"/>
      <c r="N68" s="16">
        <f>N10+N16+N22+N26+N32+N38+N44+N50+N56+N62+N67</f>
        <v>1674589.0122</v>
      </c>
    </row>
  </sheetData>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24"/>
  <sheetViews>
    <sheetView zoomScale="115" zoomScaleNormal="115" workbookViewId="0">
      <selection activeCell="F54" sqref="F54:M54"/>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1.6637168141593"/>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ht="177" customHeight="1" spans="1:14">
      <c r="A5" s="4">
        <v>1</v>
      </c>
      <c r="B5" s="4" t="s">
        <v>828</v>
      </c>
      <c r="C5" s="4" t="s">
        <v>829</v>
      </c>
      <c r="D5" s="8" t="s">
        <v>830</v>
      </c>
      <c r="E5" s="4" t="s">
        <v>55</v>
      </c>
      <c r="F5" s="4">
        <v>2</v>
      </c>
      <c r="G5" s="35">
        <v>10376.145</v>
      </c>
      <c r="H5" s="35">
        <v>399.085</v>
      </c>
      <c r="I5" s="35">
        <v>133.03</v>
      </c>
      <c r="J5" s="35">
        <v>532.11</v>
      </c>
      <c r="K5" s="35">
        <v>399.085</v>
      </c>
      <c r="L5" s="35">
        <v>1463.305</v>
      </c>
      <c r="M5" s="35">
        <v>1197.25</v>
      </c>
      <c r="N5" s="10">
        <f>SUM(G5:M5)</f>
        <v>14500.01</v>
      </c>
    </row>
    <row r="6" ht="77" customHeight="1" spans="1:14">
      <c r="A6" s="4">
        <v>2</v>
      </c>
      <c r="B6" s="4" t="s">
        <v>831</v>
      </c>
      <c r="C6" s="4" t="s">
        <v>832</v>
      </c>
      <c r="D6" s="8" t="s">
        <v>833</v>
      </c>
      <c r="E6" s="4" t="s">
        <v>55</v>
      </c>
      <c r="F6" s="4">
        <v>3</v>
      </c>
      <c r="G6" s="35">
        <v>5366.97</v>
      </c>
      <c r="H6" s="35">
        <v>206.42</v>
      </c>
      <c r="I6" s="35">
        <v>68.805</v>
      </c>
      <c r="J6" s="35">
        <v>275.23</v>
      </c>
      <c r="K6" s="35">
        <v>206.42</v>
      </c>
      <c r="L6" s="35">
        <v>756.88</v>
      </c>
      <c r="M6" s="35">
        <v>619.265</v>
      </c>
      <c r="N6" s="10">
        <f>SUM(G6:M6)</f>
        <v>7499.99</v>
      </c>
    </row>
    <row r="7" ht="25" customHeight="1" spans="1:14">
      <c r="A7" s="11" t="s">
        <v>50</v>
      </c>
      <c r="B7" s="12"/>
      <c r="C7" s="11"/>
      <c r="D7" s="13"/>
      <c r="E7" s="12"/>
      <c r="F7" s="11"/>
      <c r="G7" s="14"/>
      <c r="H7" s="14"/>
      <c r="I7" s="14"/>
      <c r="J7" s="14"/>
      <c r="K7" s="14"/>
      <c r="L7" s="14"/>
      <c r="M7" s="14"/>
      <c r="N7" s="14">
        <f>SUM(N5:N6)</f>
        <v>22000</v>
      </c>
    </row>
    <row r="8" ht="66" customHeight="1" spans="1:14">
      <c r="A8" s="4">
        <v>3</v>
      </c>
      <c r="B8" s="4" t="s">
        <v>834</v>
      </c>
      <c r="C8" s="4" t="s">
        <v>835</v>
      </c>
      <c r="D8" s="8" t="s">
        <v>836</v>
      </c>
      <c r="E8" s="4" t="s">
        <v>248</v>
      </c>
      <c r="F8" s="4">
        <v>1</v>
      </c>
      <c r="G8" s="9">
        <v>12522.94</v>
      </c>
      <c r="H8" s="9">
        <v>481.65</v>
      </c>
      <c r="I8" s="9">
        <v>160.55</v>
      </c>
      <c r="J8" s="9">
        <v>642.2</v>
      </c>
      <c r="K8" s="9">
        <v>481.65</v>
      </c>
      <c r="L8" s="9">
        <v>1766.06</v>
      </c>
      <c r="M8" s="9">
        <v>1444.95</v>
      </c>
      <c r="N8" s="10">
        <f>SUM(G8:M8)</f>
        <v>17500</v>
      </c>
    </row>
    <row r="9" ht="89" customHeight="1" spans="1:14">
      <c r="A9" s="4">
        <v>4</v>
      </c>
      <c r="B9" s="4" t="s">
        <v>837</v>
      </c>
      <c r="C9" s="4" t="s">
        <v>838</v>
      </c>
      <c r="D9" s="8" t="s">
        <v>839</v>
      </c>
      <c r="E9" s="4" t="s">
        <v>248</v>
      </c>
      <c r="F9" s="4">
        <v>1</v>
      </c>
      <c r="G9" s="35">
        <v>26834.86</v>
      </c>
      <c r="H9" s="35">
        <v>1032.11</v>
      </c>
      <c r="I9" s="35">
        <v>344.035</v>
      </c>
      <c r="J9" s="35">
        <v>1376.145</v>
      </c>
      <c r="K9" s="35">
        <v>1032.11</v>
      </c>
      <c r="L9" s="35">
        <v>3784.405</v>
      </c>
      <c r="M9" s="35">
        <v>3096.33</v>
      </c>
      <c r="N9" s="10">
        <f>SUM(G9:M9)</f>
        <v>37499.995</v>
      </c>
    </row>
    <row r="10" ht="25" customHeight="1" spans="1:14">
      <c r="A10" s="11" t="s">
        <v>50</v>
      </c>
      <c r="B10" s="12"/>
      <c r="C10" s="11"/>
      <c r="D10" s="13"/>
      <c r="E10" s="12"/>
      <c r="F10" s="11"/>
      <c r="G10" s="14"/>
      <c r="H10" s="14"/>
      <c r="I10" s="14"/>
      <c r="J10" s="14"/>
      <c r="K10" s="14"/>
      <c r="L10" s="14"/>
      <c r="M10" s="14"/>
      <c r="N10" s="14">
        <f>SUM(N8:N9)</f>
        <v>54999.995</v>
      </c>
    </row>
    <row r="11" ht="89" customHeight="1" spans="1:14">
      <c r="A11" s="4">
        <v>5</v>
      </c>
      <c r="B11" s="4" t="s">
        <v>840</v>
      </c>
      <c r="C11" s="4" t="s">
        <v>133</v>
      </c>
      <c r="D11" s="8" t="s">
        <v>134</v>
      </c>
      <c r="E11" s="4" t="s">
        <v>66</v>
      </c>
      <c r="F11" s="4">
        <v>1</v>
      </c>
      <c r="G11" s="35">
        <v>1394.495</v>
      </c>
      <c r="H11" s="35">
        <v>366.97</v>
      </c>
      <c r="I11" s="35">
        <v>183.485</v>
      </c>
      <c r="J11" s="35">
        <v>1027.525</v>
      </c>
      <c r="K11" s="35">
        <v>293.58</v>
      </c>
      <c r="L11" s="35">
        <v>403.67</v>
      </c>
      <c r="M11" s="35">
        <v>330.275</v>
      </c>
      <c r="N11" s="15">
        <f>SUM(G11:M11)</f>
        <v>4000</v>
      </c>
    </row>
    <row r="12" ht="45" customHeight="1" spans="1:14">
      <c r="A12" s="4">
        <v>6</v>
      </c>
      <c r="B12" s="4" t="s">
        <v>841</v>
      </c>
      <c r="C12" s="4" t="s">
        <v>347</v>
      </c>
      <c r="D12" s="8" t="s">
        <v>348</v>
      </c>
      <c r="E12" s="4" t="s">
        <v>66</v>
      </c>
      <c r="F12" s="4">
        <v>1</v>
      </c>
      <c r="G12" s="35">
        <v>2311.925</v>
      </c>
      <c r="H12" s="35">
        <v>192.661</v>
      </c>
      <c r="I12" s="35">
        <v>77.063</v>
      </c>
      <c r="J12" s="35">
        <v>577.983</v>
      </c>
      <c r="K12" s="35">
        <v>269.724</v>
      </c>
      <c r="L12" s="35">
        <v>423.85</v>
      </c>
      <c r="M12" s="35">
        <v>346.787</v>
      </c>
      <c r="N12" s="15">
        <f>SUM(G12:M12)</f>
        <v>4199.993</v>
      </c>
    </row>
    <row r="13" ht="25" customHeight="1" spans="1:14">
      <c r="A13" s="11" t="s">
        <v>50</v>
      </c>
      <c r="B13" s="12"/>
      <c r="C13" s="11"/>
      <c r="D13" s="13"/>
      <c r="E13" s="12"/>
      <c r="F13" s="11"/>
      <c r="G13" s="14"/>
      <c r="H13" s="14"/>
      <c r="I13" s="14"/>
      <c r="J13" s="14"/>
      <c r="K13" s="14"/>
      <c r="L13" s="14"/>
      <c r="M13" s="14"/>
      <c r="N13" s="14">
        <f>SUM(N11:N12)</f>
        <v>8199.993</v>
      </c>
    </row>
    <row r="14" ht="149" customHeight="1" spans="1:14">
      <c r="A14" s="4">
        <v>7</v>
      </c>
      <c r="B14" s="4" t="s">
        <v>842</v>
      </c>
      <c r="C14" s="4" t="s">
        <v>843</v>
      </c>
      <c r="D14" s="8" t="s">
        <v>844</v>
      </c>
      <c r="E14" s="4" t="s">
        <v>55</v>
      </c>
      <c r="F14" s="4">
        <v>1</v>
      </c>
      <c r="G14" s="35">
        <v>12522.935</v>
      </c>
      <c r="H14" s="35">
        <v>481.65</v>
      </c>
      <c r="I14" s="35">
        <v>160.55</v>
      </c>
      <c r="J14" s="35">
        <v>642.2</v>
      </c>
      <c r="K14" s="35">
        <v>481.65</v>
      </c>
      <c r="L14" s="35">
        <v>1766.055</v>
      </c>
      <c r="M14" s="35">
        <v>1444.955</v>
      </c>
      <c r="N14" s="15">
        <f>SUM(G14:M14)</f>
        <v>17499.995</v>
      </c>
    </row>
    <row r="15" ht="25" customHeight="1" spans="1:14">
      <c r="A15" s="11" t="s">
        <v>50</v>
      </c>
      <c r="B15" s="12"/>
      <c r="C15" s="11"/>
      <c r="D15" s="13"/>
      <c r="E15" s="12"/>
      <c r="F15" s="11"/>
      <c r="G15" s="14"/>
      <c r="H15" s="14"/>
      <c r="I15" s="14"/>
      <c r="J15" s="14"/>
      <c r="K15" s="14"/>
      <c r="L15" s="14"/>
      <c r="M15" s="14"/>
      <c r="N15" s="14">
        <f>N14</f>
        <v>17499.995</v>
      </c>
    </row>
    <row r="16" ht="200" customHeight="1" spans="1:14">
      <c r="A16" s="4">
        <v>8</v>
      </c>
      <c r="B16" s="4" t="s">
        <v>845</v>
      </c>
      <c r="C16" s="4" t="s">
        <v>846</v>
      </c>
      <c r="D16" s="8" t="s">
        <v>847</v>
      </c>
      <c r="E16" s="4" t="s">
        <v>55</v>
      </c>
      <c r="F16" s="4">
        <v>3</v>
      </c>
      <c r="G16" s="35">
        <v>26834.86</v>
      </c>
      <c r="H16" s="35">
        <v>1032.11</v>
      </c>
      <c r="I16" s="35">
        <v>344.035</v>
      </c>
      <c r="J16" s="35">
        <v>1376.145</v>
      </c>
      <c r="K16" s="35">
        <v>1032.11</v>
      </c>
      <c r="L16" s="35">
        <v>3784.405</v>
      </c>
      <c r="M16" s="35">
        <v>3096.33</v>
      </c>
      <c r="N16" s="15">
        <f>SUM(G16:M16)</f>
        <v>37499.995</v>
      </c>
    </row>
    <row r="17" ht="25" customHeight="1" spans="1:14">
      <c r="A17" s="11" t="s">
        <v>50</v>
      </c>
      <c r="B17" s="12"/>
      <c r="C17" s="11"/>
      <c r="D17" s="13"/>
      <c r="E17" s="12"/>
      <c r="F17" s="11"/>
      <c r="G17" s="14"/>
      <c r="H17" s="14"/>
      <c r="I17" s="14"/>
      <c r="J17" s="14"/>
      <c r="K17" s="14"/>
      <c r="L17" s="14"/>
      <c r="M17" s="14"/>
      <c r="N17" s="14">
        <f>N16</f>
        <v>37499.995</v>
      </c>
    </row>
    <row r="18" ht="198" customHeight="1" spans="1:14">
      <c r="A18" s="4">
        <v>9</v>
      </c>
      <c r="B18" s="4" t="s">
        <v>848</v>
      </c>
      <c r="C18" s="4" t="s">
        <v>849</v>
      </c>
      <c r="D18" s="8" t="s">
        <v>850</v>
      </c>
      <c r="E18" s="4" t="s">
        <v>55</v>
      </c>
      <c r="F18" s="4">
        <v>4</v>
      </c>
      <c r="G18" s="35">
        <v>35779.815</v>
      </c>
      <c r="H18" s="35">
        <v>1376.145</v>
      </c>
      <c r="I18" s="35">
        <v>458.715</v>
      </c>
      <c r="J18" s="35">
        <v>1834.86</v>
      </c>
      <c r="K18" s="35">
        <v>1376.145</v>
      </c>
      <c r="L18" s="35">
        <v>5045.87</v>
      </c>
      <c r="M18" s="35">
        <v>4128.44</v>
      </c>
      <c r="N18" s="15">
        <f>SUM(G18:M18)</f>
        <v>49999.99</v>
      </c>
    </row>
    <row r="19" ht="25" customHeight="1" spans="1:14">
      <c r="A19" s="11" t="s">
        <v>50</v>
      </c>
      <c r="B19" s="12"/>
      <c r="C19" s="11"/>
      <c r="D19" s="13"/>
      <c r="E19" s="12"/>
      <c r="F19" s="11"/>
      <c r="G19" s="14"/>
      <c r="H19" s="14"/>
      <c r="I19" s="14"/>
      <c r="J19" s="14"/>
      <c r="K19" s="14"/>
      <c r="L19" s="14"/>
      <c r="M19" s="14"/>
      <c r="N19" s="14">
        <f>N18</f>
        <v>49999.99</v>
      </c>
    </row>
    <row r="20" ht="60" customHeight="1" spans="1:14">
      <c r="A20" s="4">
        <v>10</v>
      </c>
      <c r="B20" s="4" t="s">
        <v>851</v>
      </c>
      <c r="C20" s="4" t="s">
        <v>852</v>
      </c>
      <c r="D20" s="8" t="s">
        <v>853</v>
      </c>
      <c r="E20" s="4" t="s">
        <v>854</v>
      </c>
      <c r="F20" s="4">
        <v>2</v>
      </c>
      <c r="G20" s="9">
        <v>429.36</v>
      </c>
      <c r="H20" s="9">
        <v>16.51</v>
      </c>
      <c r="I20" s="9">
        <v>5.5</v>
      </c>
      <c r="J20" s="9">
        <v>22.02</v>
      </c>
      <c r="K20" s="9">
        <v>16.51</v>
      </c>
      <c r="L20" s="9">
        <v>60.55</v>
      </c>
      <c r="M20" s="9">
        <v>49.54</v>
      </c>
      <c r="N20" s="15">
        <f>SUM(G20:M20)</f>
        <v>599.99</v>
      </c>
    </row>
    <row r="21" ht="60" customHeight="1" spans="1:14">
      <c r="A21" s="4">
        <v>11</v>
      </c>
      <c r="B21" s="4" t="s">
        <v>855</v>
      </c>
      <c r="C21" s="4" t="s">
        <v>856</v>
      </c>
      <c r="D21" s="8" t="s">
        <v>857</v>
      </c>
      <c r="E21" s="4" t="s">
        <v>854</v>
      </c>
      <c r="F21" s="4">
        <v>20</v>
      </c>
      <c r="G21" s="35">
        <v>2862.385</v>
      </c>
      <c r="H21" s="35">
        <v>110.09</v>
      </c>
      <c r="I21" s="35">
        <v>36.695</v>
      </c>
      <c r="J21" s="35">
        <v>146.79</v>
      </c>
      <c r="K21" s="35">
        <v>110.09</v>
      </c>
      <c r="L21" s="35">
        <v>403.67</v>
      </c>
      <c r="M21" s="35">
        <v>330.275</v>
      </c>
      <c r="N21" s="15">
        <f>SUM(G21:M21)</f>
        <v>3999.995</v>
      </c>
    </row>
    <row r="22" ht="60" customHeight="1" spans="1:14">
      <c r="A22" s="4">
        <v>12</v>
      </c>
      <c r="B22" s="4" t="s">
        <v>858</v>
      </c>
      <c r="C22" s="4" t="s">
        <v>859</v>
      </c>
      <c r="D22" s="8" t="s">
        <v>860</v>
      </c>
      <c r="E22" s="4" t="s">
        <v>854</v>
      </c>
      <c r="F22" s="4">
        <v>20</v>
      </c>
      <c r="G22" s="35">
        <v>17991.525</v>
      </c>
      <c r="H22" s="35">
        <v>691.98</v>
      </c>
      <c r="I22" s="35">
        <v>230.66</v>
      </c>
      <c r="J22" s="35">
        <v>922.64</v>
      </c>
      <c r="K22" s="35">
        <v>691.98</v>
      </c>
      <c r="L22" s="35">
        <v>2537.265</v>
      </c>
      <c r="M22" s="35">
        <v>2075.945</v>
      </c>
      <c r="N22" s="15">
        <f>SUM(G22:M22)</f>
        <v>25141.995</v>
      </c>
    </row>
    <row r="23" ht="60" customHeight="1" spans="1:14">
      <c r="A23" s="4">
        <v>13</v>
      </c>
      <c r="B23" s="4" t="s">
        <v>861</v>
      </c>
      <c r="C23" s="4" t="s">
        <v>862</v>
      </c>
      <c r="D23" s="8" t="s">
        <v>863</v>
      </c>
      <c r="E23" s="4" t="s">
        <v>854</v>
      </c>
      <c r="F23" s="4">
        <v>20</v>
      </c>
      <c r="G23" s="35">
        <v>2504.585</v>
      </c>
      <c r="H23" s="35">
        <v>96.33</v>
      </c>
      <c r="I23" s="35">
        <v>32.11</v>
      </c>
      <c r="J23" s="35">
        <v>128.44</v>
      </c>
      <c r="K23" s="35">
        <v>96.33</v>
      </c>
      <c r="L23" s="35">
        <v>353.21</v>
      </c>
      <c r="M23" s="35">
        <v>288.99</v>
      </c>
      <c r="N23" s="15">
        <f>SUM(G23:M23)</f>
        <v>3499.995</v>
      </c>
    </row>
    <row r="24" ht="25" customHeight="1" spans="1:14">
      <c r="A24" s="11" t="s">
        <v>50</v>
      </c>
      <c r="B24" s="12"/>
      <c r="C24" s="11"/>
      <c r="D24" s="13"/>
      <c r="E24" s="12"/>
      <c r="F24" s="11"/>
      <c r="G24" s="14"/>
      <c r="H24" s="14"/>
      <c r="I24" s="14"/>
      <c r="J24" s="14"/>
      <c r="K24" s="14"/>
      <c r="L24" s="14"/>
      <c r="M24" s="14"/>
      <c r="N24" s="14">
        <f>SUM(N20:N23)</f>
        <v>33241.975</v>
      </c>
    </row>
    <row r="25" ht="60" customHeight="1" spans="1:14">
      <c r="A25" s="4">
        <v>14</v>
      </c>
      <c r="B25" s="4" t="s">
        <v>864</v>
      </c>
      <c r="C25" s="4" t="s">
        <v>865</v>
      </c>
      <c r="D25" s="8" t="s">
        <v>866</v>
      </c>
      <c r="E25" s="4" t="s">
        <v>854</v>
      </c>
      <c r="F25" s="4">
        <v>5</v>
      </c>
      <c r="G25" s="35">
        <v>12522.935</v>
      </c>
      <c r="H25" s="35">
        <v>481.65</v>
      </c>
      <c r="I25" s="35">
        <v>160.55</v>
      </c>
      <c r="J25" s="35">
        <v>642.2</v>
      </c>
      <c r="K25" s="35">
        <v>481.65</v>
      </c>
      <c r="L25" s="35">
        <v>1766.055</v>
      </c>
      <c r="M25" s="35">
        <v>1444.955</v>
      </c>
      <c r="N25" s="35">
        <f>SUM(G25:M25)</f>
        <v>17499.995</v>
      </c>
    </row>
    <row r="26" ht="60" customHeight="1" spans="1:14">
      <c r="A26" s="4">
        <v>15</v>
      </c>
      <c r="B26" s="4" t="s">
        <v>867</v>
      </c>
      <c r="C26" s="4" t="s">
        <v>868</v>
      </c>
      <c r="D26" s="8" t="s">
        <v>869</v>
      </c>
      <c r="E26" s="4" t="s">
        <v>854</v>
      </c>
      <c r="F26" s="4">
        <v>5</v>
      </c>
      <c r="G26" s="35">
        <v>12522.935</v>
      </c>
      <c r="H26" s="35">
        <v>481.65</v>
      </c>
      <c r="I26" s="35">
        <v>160.55</v>
      </c>
      <c r="J26" s="35">
        <v>642.2</v>
      </c>
      <c r="K26" s="35">
        <v>481.65</v>
      </c>
      <c r="L26" s="35">
        <v>1766.055</v>
      </c>
      <c r="M26" s="35">
        <v>1444.955</v>
      </c>
      <c r="N26" s="35">
        <f>SUM(G26:M26)</f>
        <v>17499.995</v>
      </c>
    </row>
    <row r="27" ht="60" customHeight="1" spans="1:14">
      <c r="A27" s="4">
        <v>16</v>
      </c>
      <c r="B27" s="4" t="s">
        <v>870</v>
      </c>
      <c r="C27" s="4" t="s">
        <v>871</v>
      </c>
      <c r="D27" s="8" t="s">
        <v>872</v>
      </c>
      <c r="E27" s="4" t="s">
        <v>854</v>
      </c>
      <c r="F27" s="4">
        <v>5</v>
      </c>
      <c r="G27" s="35">
        <v>12522.935</v>
      </c>
      <c r="H27" s="35">
        <v>481.65</v>
      </c>
      <c r="I27" s="35">
        <v>160.55</v>
      </c>
      <c r="J27" s="35">
        <v>642.2</v>
      </c>
      <c r="K27" s="35">
        <v>481.65</v>
      </c>
      <c r="L27" s="35">
        <v>1766.055</v>
      </c>
      <c r="M27" s="35">
        <v>1444.955</v>
      </c>
      <c r="N27" s="35">
        <f>SUM(G27:M27)</f>
        <v>17499.995</v>
      </c>
    </row>
    <row r="28" ht="60" customHeight="1" spans="1:14">
      <c r="A28" s="4">
        <v>17</v>
      </c>
      <c r="B28" s="4" t="s">
        <v>873</v>
      </c>
      <c r="C28" s="4" t="s">
        <v>874</v>
      </c>
      <c r="D28" s="8" t="s">
        <v>875</v>
      </c>
      <c r="E28" s="4" t="s">
        <v>854</v>
      </c>
      <c r="F28" s="4">
        <v>5</v>
      </c>
      <c r="G28" s="35">
        <v>16100.915</v>
      </c>
      <c r="H28" s="35">
        <v>619.265</v>
      </c>
      <c r="I28" s="35">
        <v>206.42</v>
      </c>
      <c r="J28" s="35">
        <v>825.69</v>
      </c>
      <c r="K28" s="35">
        <v>619.265</v>
      </c>
      <c r="L28" s="35">
        <v>2270.64</v>
      </c>
      <c r="M28" s="35">
        <v>1857.8</v>
      </c>
      <c r="N28" s="35">
        <f>SUM(G28:M28)</f>
        <v>22499.995</v>
      </c>
    </row>
    <row r="29" ht="25" customHeight="1" spans="1:14">
      <c r="A29" s="11" t="s">
        <v>50</v>
      </c>
      <c r="B29" s="12"/>
      <c r="C29" s="11"/>
      <c r="D29" s="13"/>
      <c r="E29" s="12"/>
      <c r="F29" s="11"/>
      <c r="G29" s="14"/>
      <c r="H29" s="14"/>
      <c r="I29" s="14"/>
      <c r="J29" s="14"/>
      <c r="K29" s="14"/>
      <c r="L29" s="14"/>
      <c r="M29" s="14"/>
      <c r="N29" s="14">
        <f>SUM(N25:N28)</f>
        <v>74999.98</v>
      </c>
    </row>
    <row r="30" ht="89" customHeight="1" spans="1:14">
      <c r="A30" s="4">
        <v>18</v>
      </c>
      <c r="B30" s="4" t="s">
        <v>876</v>
      </c>
      <c r="C30" s="4" t="s">
        <v>133</v>
      </c>
      <c r="D30" s="8" t="s">
        <v>134</v>
      </c>
      <c r="E30" s="4" t="s">
        <v>66</v>
      </c>
      <c r="F30" s="4">
        <v>1</v>
      </c>
      <c r="G30" s="9">
        <v>1394.5</v>
      </c>
      <c r="H30" s="9">
        <v>366.97</v>
      </c>
      <c r="I30" s="9">
        <v>183.49</v>
      </c>
      <c r="J30" s="9">
        <v>1027.52</v>
      </c>
      <c r="K30" s="9">
        <v>293.58</v>
      </c>
      <c r="L30" s="9">
        <v>403.67</v>
      </c>
      <c r="M30" s="9">
        <v>330.28</v>
      </c>
      <c r="N30" s="15">
        <f>SUM(G30:M30)</f>
        <v>4000.01</v>
      </c>
    </row>
    <row r="31" ht="45" customHeight="1" spans="1:14">
      <c r="A31" s="4">
        <v>19</v>
      </c>
      <c r="B31" s="4" t="s">
        <v>877</v>
      </c>
      <c r="C31" s="4" t="s">
        <v>347</v>
      </c>
      <c r="D31" s="8" t="s">
        <v>348</v>
      </c>
      <c r="E31" s="4" t="s">
        <v>66</v>
      </c>
      <c r="F31" s="4">
        <v>1</v>
      </c>
      <c r="G31" s="9">
        <v>2752.29</v>
      </c>
      <c r="H31" s="9">
        <v>229.36</v>
      </c>
      <c r="I31" s="9">
        <v>91.74</v>
      </c>
      <c r="J31" s="9">
        <v>688.07</v>
      </c>
      <c r="K31" s="9">
        <v>321.1</v>
      </c>
      <c r="L31" s="9">
        <v>504.59</v>
      </c>
      <c r="M31" s="9">
        <v>412.84</v>
      </c>
      <c r="N31" s="15">
        <f>SUM(G31:M31)</f>
        <v>4999.99</v>
      </c>
    </row>
    <row r="32" ht="25" customHeight="1" spans="1:14">
      <c r="A32" s="11" t="s">
        <v>50</v>
      </c>
      <c r="B32" s="12"/>
      <c r="C32" s="11"/>
      <c r="D32" s="13"/>
      <c r="E32" s="12"/>
      <c r="F32" s="11"/>
      <c r="G32" s="14"/>
      <c r="H32" s="14"/>
      <c r="I32" s="14"/>
      <c r="J32" s="14"/>
      <c r="K32" s="14"/>
      <c r="L32" s="14"/>
      <c r="M32" s="14"/>
      <c r="N32" s="14">
        <f>SUM(N30:N31)</f>
        <v>9000</v>
      </c>
    </row>
    <row r="33" ht="137" customHeight="1" spans="1:14">
      <c r="A33" s="4">
        <v>20</v>
      </c>
      <c r="B33" s="4" t="s">
        <v>878</v>
      </c>
      <c r="C33" s="4" t="s">
        <v>879</v>
      </c>
      <c r="D33" s="8" t="s">
        <v>880</v>
      </c>
      <c r="E33" s="4" t="s">
        <v>55</v>
      </c>
      <c r="F33" s="36">
        <v>1</v>
      </c>
      <c r="G33" s="35">
        <v>10733.945</v>
      </c>
      <c r="H33" s="35">
        <v>412.845</v>
      </c>
      <c r="I33" s="35">
        <v>137.615</v>
      </c>
      <c r="J33" s="35">
        <v>550.46</v>
      </c>
      <c r="K33" s="35">
        <v>412.845</v>
      </c>
      <c r="L33" s="35">
        <v>1513.76</v>
      </c>
      <c r="M33" s="35">
        <v>1238.53</v>
      </c>
      <c r="N33" s="35">
        <f>SUM(G33:M33)</f>
        <v>15000</v>
      </c>
    </row>
    <row r="34" ht="104" customHeight="1" spans="1:14">
      <c r="A34" s="4">
        <v>21</v>
      </c>
      <c r="B34" s="4" t="s">
        <v>881</v>
      </c>
      <c r="C34" s="4" t="s">
        <v>882</v>
      </c>
      <c r="D34" s="8" t="s">
        <v>883</v>
      </c>
      <c r="E34" s="4" t="s">
        <v>248</v>
      </c>
      <c r="F34" s="36">
        <v>1</v>
      </c>
      <c r="G34" s="35">
        <v>2146.79</v>
      </c>
      <c r="H34" s="35">
        <v>82.57</v>
      </c>
      <c r="I34" s="35">
        <v>27.525</v>
      </c>
      <c r="J34" s="35">
        <v>110.09</v>
      </c>
      <c r="K34" s="35">
        <v>82.57</v>
      </c>
      <c r="L34" s="35">
        <v>302.75</v>
      </c>
      <c r="M34" s="35">
        <v>247.705</v>
      </c>
      <c r="N34" s="35">
        <f>SUM(G34:M34)</f>
        <v>3000</v>
      </c>
    </row>
    <row r="35" ht="25" customHeight="1" spans="1:14">
      <c r="A35" s="11" t="s">
        <v>50</v>
      </c>
      <c r="B35" s="12"/>
      <c r="C35" s="11"/>
      <c r="D35" s="13"/>
      <c r="E35" s="12"/>
      <c r="F35" s="11"/>
      <c r="G35" s="14"/>
      <c r="H35" s="14"/>
      <c r="I35" s="14"/>
      <c r="J35" s="14"/>
      <c r="K35" s="14"/>
      <c r="L35" s="14"/>
      <c r="M35" s="14"/>
      <c r="N35" s="14">
        <f>SUM(N33:N34)</f>
        <v>18000</v>
      </c>
    </row>
    <row r="36" ht="104" customHeight="1" spans="1:14">
      <c r="A36" s="4">
        <v>22</v>
      </c>
      <c r="B36" s="4" t="s">
        <v>884</v>
      </c>
      <c r="C36" s="4" t="s">
        <v>885</v>
      </c>
      <c r="D36" s="8" t="s">
        <v>886</v>
      </c>
      <c r="E36" s="4" t="s">
        <v>248</v>
      </c>
      <c r="F36" s="36">
        <v>1</v>
      </c>
      <c r="G36" s="35">
        <v>2146.79</v>
      </c>
      <c r="H36" s="35">
        <v>82.57</v>
      </c>
      <c r="I36" s="35">
        <v>27.525</v>
      </c>
      <c r="J36" s="35">
        <v>110.09</v>
      </c>
      <c r="K36" s="35">
        <v>82.57</v>
      </c>
      <c r="L36" s="35">
        <v>302.75</v>
      </c>
      <c r="M36" s="35">
        <v>247.705</v>
      </c>
      <c r="N36" s="35">
        <f>SUM(G36:M36)</f>
        <v>3000</v>
      </c>
    </row>
    <row r="37" ht="104" customHeight="1" spans="1:14">
      <c r="A37" s="4">
        <v>23</v>
      </c>
      <c r="B37" s="4" t="s">
        <v>887</v>
      </c>
      <c r="C37" s="4" t="s">
        <v>888</v>
      </c>
      <c r="D37" s="8" t="s">
        <v>889</v>
      </c>
      <c r="E37" s="4" t="s">
        <v>248</v>
      </c>
      <c r="F37" s="36">
        <v>1</v>
      </c>
      <c r="G37" s="35">
        <v>2504.585</v>
      </c>
      <c r="H37" s="35">
        <v>96.33</v>
      </c>
      <c r="I37" s="35">
        <v>32.11</v>
      </c>
      <c r="J37" s="35">
        <v>128.44</v>
      </c>
      <c r="K37" s="35">
        <v>96.33</v>
      </c>
      <c r="L37" s="35">
        <v>353.21</v>
      </c>
      <c r="M37" s="35">
        <v>288.99</v>
      </c>
      <c r="N37" s="35">
        <f>SUM(G37:M37)</f>
        <v>3499.995</v>
      </c>
    </row>
    <row r="38" ht="25" customHeight="1" spans="1:14">
      <c r="A38" s="11" t="s">
        <v>50</v>
      </c>
      <c r="B38" s="12"/>
      <c r="C38" s="11"/>
      <c r="D38" s="13"/>
      <c r="E38" s="12"/>
      <c r="F38" s="11"/>
      <c r="G38" s="14"/>
      <c r="H38" s="14"/>
      <c r="I38" s="14"/>
      <c r="J38" s="14"/>
      <c r="K38" s="14"/>
      <c r="L38" s="14"/>
      <c r="M38" s="14"/>
      <c r="N38" s="14">
        <f>SUM(N36:N37)</f>
        <v>6499.995</v>
      </c>
    </row>
    <row r="39" ht="103" customHeight="1" spans="1:14">
      <c r="A39" s="4">
        <v>24</v>
      </c>
      <c r="B39" s="4" t="s">
        <v>890</v>
      </c>
      <c r="C39" s="4" t="s">
        <v>891</v>
      </c>
      <c r="D39" s="8" t="s">
        <v>892</v>
      </c>
      <c r="E39" s="4" t="s">
        <v>248</v>
      </c>
      <c r="F39" s="36">
        <v>1</v>
      </c>
      <c r="G39" s="35">
        <v>2146.79</v>
      </c>
      <c r="H39" s="35">
        <v>82.57</v>
      </c>
      <c r="I39" s="35">
        <v>27.525</v>
      </c>
      <c r="J39" s="35">
        <v>110.09</v>
      </c>
      <c r="K39" s="35">
        <v>82.57</v>
      </c>
      <c r="L39" s="35">
        <v>302.75</v>
      </c>
      <c r="M39" s="35">
        <v>247.705</v>
      </c>
      <c r="N39" s="35">
        <f>SUM(G39:M39)</f>
        <v>3000</v>
      </c>
    </row>
    <row r="40" ht="105" customHeight="1" spans="1:14">
      <c r="A40" s="4">
        <v>25</v>
      </c>
      <c r="B40" s="4" t="s">
        <v>893</v>
      </c>
      <c r="C40" s="4" t="s">
        <v>894</v>
      </c>
      <c r="D40" s="8" t="s">
        <v>895</v>
      </c>
      <c r="E40" s="4" t="s">
        <v>248</v>
      </c>
      <c r="F40" s="36">
        <v>1</v>
      </c>
      <c r="G40" s="35">
        <v>2862.385</v>
      </c>
      <c r="H40" s="35">
        <v>110.09</v>
      </c>
      <c r="I40" s="35">
        <v>36.695</v>
      </c>
      <c r="J40" s="35">
        <v>146.79</v>
      </c>
      <c r="K40" s="35">
        <v>110.09</v>
      </c>
      <c r="L40" s="35">
        <v>403.67</v>
      </c>
      <c r="M40" s="35">
        <v>330.275</v>
      </c>
      <c r="N40" s="35">
        <f>SUM(G40:M40)</f>
        <v>3999.995</v>
      </c>
    </row>
    <row r="41" ht="25" customHeight="1" spans="1:14">
      <c r="A41" s="11" t="s">
        <v>50</v>
      </c>
      <c r="B41" s="12"/>
      <c r="C41" s="11"/>
      <c r="D41" s="13"/>
      <c r="E41" s="12"/>
      <c r="F41" s="11"/>
      <c r="G41" s="14"/>
      <c r="H41" s="14"/>
      <c r="I41" s="14"/>
      <c r="J41" s="14"/>
      <c r="K41" s="14"/>
      <c r="L41" s="14"/>
      <c r="M41" s="14"/>
      <c r="N41" s="14">
        <f>SUM(N39:N40)</f>
        <v>6999.995</v>
      </c>
    </row>
    <row r="42" ht="106" customHeight="1" spans="1:14">
      <c r="A42" s="4">
        <v>26</v>
      </c>
      <c r="B42" s="4" t="s">
        <v>896</v>
      </c>
      <c r="C42" s="4" t="s">
        <v>897</v>
      </c>
      <c r="D42" s="8" t="s">
        <v>898</v>
      </c>
      <c r="E42" s="4" t="s">
        <v>248</v>
      </c>
      <c r="F42" s="36">
        <v>1</v>
      </c>
      <c r="G42" s="35">
        <v>3220.185</v>
      </c>
      <c r="H42" s="35">
        <v>123.855</v>
      </c>
      <c r="I42" s="35">
        <v>41.285</v>
      </c>
      <c r="J42" s="35">
        <v>165.14</v>
      </c>
      <c r="K42" s="35">
        <v>123.855</v>
      </c>
      <c r="L42" s="35">
        <v>454.13</v>
      </c>
      <c r="M42" s="35">
        <v>371.56</v>
      </c>
      <c r="N42" s="35">
        <f>SUM(G42:M42)</f>
        <v>4500.01</v>
      </c>
    </row>
    <row r="43" ht="105" customHeight="1" spans="1:14">
      <c r="A43" s="4">
        <v>27</v>
      </c>
      <c r="B43" s="4" t="s">
        <v>899</v>
      </c>
      <c r="C43" s="4" t="s">
        <v>900</v>
      </c>
      <c r="D43" s="8" t="s">
        <v>901</v>
      </c>
      <c r="E43" s="4" t="s">
        <v>248</v>
      </c>
      <c r="F43" s="36">
        <v>1</v>
      </c>
      <c r="G43" s="35">
        <v>3220.185</v>
      </c>
      <c r="H43" s="35">
        <v>123.855</v>
      </c>
      <c r="I43" s="35">
        <v>41.285</v>
      </c>
      <c r="J43" s="35">
        <v>165.14</v>
      </c>
      <c r="K43" s="35">
        <v>123.855</v>
      </c>
      <c r="L43" s="35">
        <v>454.13</v>
      </c>
      <c r="M43" s="35">
        <v>371.56</v>
      </c>
      <c r="N43" s="35">
        <f>SUM(G43:M43)</f>
        <v>4500.01</v>
      </c>
    </row>
    <row r="44" ht="25" customHeight="1" spans="1:14">
      <c r="A44" s="11" t="s">
        <v>50</v>
      </c>
      <c r="B44" s="12"/>
      <c r="C44" s="11"/>
      <c r="D44" s="13"/>
      <c r="E44" s="12"/>
      <c r="F44" s="11"/>
      <c r="G44" s="14"/>
      <c r="H44" s="14"/>
      <c r="I44" s="14"/>
      <c r="J44" s="14"/>
      <c r="K44" s="14"/>
      <c r="L44" s="14"/>
      <c r="M44" s="14"/>
      <c r="N44" s="14">
        <f>SUM(N42:N43)</f>
        <v>9000.02</v>
      </c>
    </row>
    <row r="45" ht="106" customHeight="1" spans="1:14">
      <c r="A45" s="4">
        <v>28</v>
      </c>
      <c r="B45" s="4" t="s">
        <v>902</v>
      </c>
      <c r="C45" s="4" t="s">
        <v>903</v>
      </c>
      <c r="D45" s="8" t="s">
        <v>904</v>
      </c>
      <c r="E45" s="4" t="s">
        <v>248</v>
      </c>
      <c r="F45" s="36">
        <v>1</v>
      </c>
      <c r="G45" s="35">
        <v>2504.585</v>
      </c>
      <c r="H45" s="35">
        <v>96.33</v>
      </c>
      <c r="I45" s="35">
        <v>32.11</v>
      </c>
      <c r="J45" s="35">
        <v>128.44</v>
      </c>
      <c r="K45" s="35">
        <v>96.33</v>
      </c>
      <c r="L45" s="35">
        <v>353.21</v>
      </c>
      <c r="M45" s="35">
        <v>288.99</v>
      </c>
      <c r="N45" s="35">
        <f>SUM(G45:M45)</f>
        <v>3499.995</v>
      </c>
    </row>
    <row r="46" ht="105" customHeight="1" spans="1:14">
      <c r="A46" s="4">
        <v>29</v>
      </c>
      <c r="B46" s="4" t="s">
        <v>905</v>
      </c>
      <c r="C46" s="4" t="s">
        <v>906</v>
      </c>
      <c r="D46" s="8" t="s">
        <v>907</v>
      </c>
      <c r="E46" s="4" t="s">
        <v>248</v>
      </c>
      <c r="F46" s="36">
        <v>1</v>
      </c>
      <c r="G46" s="35">
        <v>2146.79</v>
      </c>
      <c r="H46" s="35">
        <v>82.57</v>
      </c>
      <c r="I46" s="35">
        <v>27.525</v>
      </c>
      <c r="J46" s="35">
        <v>110.09</v>
      </c>
      <c r="K46" s="35">
        <v>82.57</v>
      </c>
      <c r="L46" s="35">
        <v>302.75</v>
      </c>
      <c r="M46" s="35">
        <v>247.705</v>
      </c>
      <c r="N46" s="35">
        <f>SUM(G46:M46)</f>
        <v>3000</v>
      </c>
    </row>
    <row r="47" ht="25" customHeight="1" spans="1:14">
      <c r="A47" s="11" t="s">
        <v>50</v>
      </c>
      <c r="B47" s="12"/>
      <c r="C47" s="11"/>
      <c r="D47" s="13"/>
      <c r="E47" s="12"/>
      <c r="F47" s="11"/>
      <c r="G47" s="14"/>
      <c r="H47" s="14"/>
      <c r="I47" s="14"/>
      <c r="J47" s="14"/>
      <c r="K47" s="14"/>
      <c r="L47" s="14"/>
      <c r="M47" s="14"/>
      <c r="N47" s="14">
        <f>SUM(N45:N46)</f>
        <v>6499.995</v>
      </c>
    </row>
    <row r="48" ht="80" customHeight="1" spans="1:14">
      <c r="A48" s="4">
        <v>30</v>
      </c>
      <c r="B48" s="4" t="s">
        <v>908</v>
      </c>
      <c r="C48" s="4" t="s">
        <v>909</v>
      </c>
      <c r="D48" s="8" t="s">
        <v>910</v>
      </c>
      <c r="E48" s="4" t="s">
        <v>248</v>
      </c>
      <c r="F48" s="36">
        <v>1</v>
      </c>
      <c r="G48" s="35">
        <v>1045.87</v>
      </c>
      <c r="H48" s="35">
        <v>275.23</v>
      </c>
      <c r="I48" s="35">
        <v>137.615</v>
      </c>
      <c r="J48" s="35">
        <v>770.64</v>
      </c>
      <c r="K48" s="35">
        <v>220.185</v>
      </c>
      <c r="L48" s="35">
        <v>302.75</v>
      </c>
      <c r="M48" s="35">
        <v>247.705</v>
      </c>
      <c r="N48" s="15">
        <f>SUM(G48:M48)</f>
        <v>2999.995</v>
      </c>
    </row>
    <row r="49" ht="80" customHeight="1" spans="1:14">
      <c r="A49" s="4">
        <v>31</v>
      </c>
      <c r="B49" s="4" t="s">
        <v>911</v>
      </c>
      <c r="C49" s="4" t="s">
        <v>912</v>
      </c>
      <c r="D49" s="8" t="s">
        <v>913</v>
      </c>
      <c r="E49" s="4" t="s">
        <v>248</v>
      </c>
      <c r="F49" s="36">
        <v>1</v>
      </c>
      <c r="G49" s="35">
        <v>1045.87</v>
      </c>
      <c r="H49" s="35">
        <v>275.23</v>
      </c>
      <c r="I49" s="35">
        <v>137.615</v>
      </c>
      <c r="J49" s="35">
        <v>770.64</v>
      </c>
      <c r="K49" s="35">
        <v>220.185</v>
      </c>
      <c r="L49" s="35">
        <v>302.75</v>
      </c>
      <c r="M49" s="35">
        <v>247.705</v>
      </c>
      <c r="N49" s="15">
        <f>SUM(G49:M49)</f>
        <v>2999.995</v>
      </c>
    </row>
    <row r="50" ht="25" customHeight="1" spans="1:14">
      <c r="A50" s="11" t="s">
        <v>50</v>
      </c>
      <c r="B50" s="12"/>
      <c r="C50" s="11"/>
      <c r="D50" s="13"/>
      <c r="E50" s="12"/>
      <c r="F50" s="11"/>
      <c r="G50" s="14"/>
      <c r="H50" s="14"/>
      <c r="I50" s="14"/>
      <c r="J50" s="14"/>
      <c r="K50" s="14"/>
      <c r="L50" s="14"/>
      <c r="M50" s="14"/>
      <c r="N50" s="14">
        <f>SUM(N48:N49)</f>
        <v>5999.99</v>
      </c>
    </row>
    <row r="51" ht="80" customHeight="1" spans="1:14">
      <c r="A51" s="4">
        <v>32</v>
      </c>
      <c r="B51" s="4" t="s">
        <v>914</v>
      </c>
      <c r="C51" s="4" t="s">
        <v>915</v>
      </c>
      <c r="D51" s="8" t="s">
        <v>916</v>
      </c>
      <c r="E51" s="4" t="s">
        <v>248</v>
      </c>
      <c r="F51" s="36">
        <v>1</v>
      </c>
      <c r="G51" s="35">
        <v>1045.87</v>
      </c>
      <c r="H51" s="35">
        <v>275.23</v>
      </c>
      <c r="I51" s="35">
        <v>137.615</v>
      </c>
      <c r="J51" s="35">
        <v>770.64</v>
      </c>
      <c r="K51" s="35">
        <v>220.185</v>
      </c>
      <c r="L51" s="35">
        <v>302.75</v>
      </c>
      <c r="M51" s="35">
        <v>247.705</v>
      </c>
      <c r="N51" s="15">
        <f>SUM(G51:M51)</f>
        <v>2999.995</v>
      </c>
    </row>
    <row r="52" ht="80" customHeight="1" spans="1:14">
      <c r="A52" s="4">
        <v>33</v>
      </c>
      <c r="B52" s="4" t="s">
        <v>917</v>
      </c>
      <c r="C52" s="4" t="s">
        <v>918</v>
      </c>
      <c r="D52" s="8" t="s">
        <v>919</v>
      </c>
      <c r="E52" s="4" t="s">
        <v>248</v>
      </c>
      <c r="F52" s="36">
        <v>1</v>
      </c>
      <c r="G52" s="35">
        <v>1045.87</v>
      </c>
      <c r="H52" s="35">
        <v>275.23</v>
      </c>
      <c r="I52" s="35">
        <v>137.615</v>
      </c>
      <c r="J52" s="35">
        <v>770.64</v>
      </c>
      <c r="K52" s="35">
        <v>220.185</v>
      </c>
      <c r="L52" s="35">
        <v>302.75</v>
      </c>
      <c r="M52" s="35">
        <v>247.705</v>
      </c>
      <c r="N52" s="15">
        <f>SUM(G52:M52)</f>
        <v>2999.995</v>
      </c>
    </row>
    <row r="53" ht="25" customHeight="1" spans="1:14">
      <c r="A53" s="11" t="s">
        <v>50</v>
      </c>
      <c r="B53" s="12"/>
      <c r="C53" s="11"/>
      <c r="D53" s="13"/>
      <c r="E53" s="12"/>
      <c r="F53" s="11"/>
      <c r="G53" s="14"/>
      <c r="H53" s="14"/>
      <c r="I53" s="14"/>
      <c r="J53" s="14"/>
      <c r="K53" s="14"/>
      <c r="L53" s="14"/>
      <c r="M53" s="14"/>
      <c r="N53" s="14">
        <f>SUM(N51:N52)</f>
        <v>5999.99</v>
      </c>
    </row>
    <row r="54" ht="92" customHeight="1" spans="1:14">
      <c r="A54" s="4">
        <v>34</v>
      </c>
      <c r="B54" s="4" t="s">
        <v>920</v>
      </c>
      <c r="C54" s="4" t="s">
        <v>921</v>
      </c>
      <c r="D54" s="8" t="s">
        <v>922</v>
      </c>
      <c r="E54" s="4" t="s">
        <v>248</v>
      </c>
      <c r="F54" s="36">
        <v>1</v>
      </c>
      <c r="G54" s="35">
        <v>1568.805</v>
      </c>
      <c r="H54" s="35">
        <v>412.845</v>
      </c>
      <c r="I54" s="35">
        <v>206.42</v>
      </c>
      <c r="J54" s="35">
        <v>1155.965</v>
      </c>
      <c r="K54" s="35">
        <v>330.275</v>
      </c>
      <c r="L54" s="35">
        <v>454.13</v>
      </c>
      <c r="M54" s="35">
        <v>371.56</v>
      </c>
      <c r="N54" s="15">
        <f>SUM(G54:M54)</f>
        <v>4500</v>
      </c>
    </row>
    <row r="55" ht="65" customHeight="1" spans="1:14">
      <c r="A55" s="4">
        <v>35</v>
      </c>
      <c r="B55" s="4" t="s">
        <v>923</v>
      </c>
      <c r="C55" s="4" t="s">
        <v>924</v>
      </c>
      <c r="D55" s="8" t="s">
        <v>925</v>
      </c>
      <c r="E55" s="4" t="s">
        <v>854</v>
      </c>
      <c r="F55" s="4">
        <v>4</v>
      </c>
      <c r="G55" s="9">
        <v>314.86</v>
      </c>
      <c r="H55" s="9">
        <v>12.11</v>
      </c>
      <c r="I55" s="9">
        <v>4.04</v>
      </c>
      <c r="J55" s="9">
        <v>16.15</v>
      </c>
      <c r="K55" s="9">
        <v>12.11</v>
      </c>
      <c r="L55" s="9">
        <v>44.4</v>
      </c>
      <c r="M55" s="9">
        <v>36.33</v>
      </c>
      <c r="N55" s="15">
        <f t="shared" ref="N55:N68" si="0">SUM(G55:M55)</f>
        <v>440</v>
      </c>
    </row>
    <row r="56" ht="60" customHeight="1" spans="1:14">
      <c r="A56" s="4">
        <v>36</v>
      </c>
      <c r="B56" s="4" t="s">
        <v>926</v>
      </c>
      <c r="C56" s="4" t="s">
        <v>927</v>
      </c>
      <c r="D56" s="8" t="s">
        <v>928</v>
      </c>
      <c r="E56" s="4" t="s">
        <v>854</v>
      </c>
      <c r="F56" s="4">
        <v>4</v>
      </c>
      <c r="G56" s="9">
        <v>1001.83</v>
      </c>
      <c r="H56" s="9">
        <v>38.53</v>
      </c>
      <c r="I56" s="9">
        <v>12.84</v>
      </c>
      <c r="J56" s="9">
        <v>51.38</v>
      </c>
      <c r="K56" s="9">
        <v>38.53</v>
      </c>
      <c r="L56" s="9">
        <v>141.28</v>
      </c>
      <c r="M56" s="9">
        <v>115.6</v>
      </c>
      <c r="N56" s="15">
        <f t="shared" si="0"/>
        <v>1399.99</v>
      </c>
    </row>
    <row r="57" ht="25" customHeight="1" spans="1:14">
      <c r="A57" s="11" t="s">
        <v>50</v>
      </c>
      <c r="B57" s="12"/>
      <c r="C57" s="11"/>
      <c r="D57" s="13"/>
      <c r="E57" s="12"/>
      <c r="F57" s="11"/>
      <c r="G57" s="14"/>
      <c r="H57" s="14"/>
      <c r="I57" s="14"/>
      <c r="J57" s="14"/>
      <c r="K57" s="14"/>
      <c r="L57" s="14"/>
      <c r="M57" s="14"/>
      <c r="N57" s="14">
        <f>SUM(N54:N56)</f>
        <v>6339.99</v>
      </c>
    </row>
    <row r="58" ht="78" customHeight="1" spans="1:14">
      <c r="A58" s="4">
        <v>37</v>
      </c>
      <c r="B58" s="4" t="s">
        <v>929</v>
      </c>
      <c r="C58" s="4" t="s">
        <v>930</v>
      </c>
      <c r="D58" s="8" t="s">
        <v>931</v>
      </c>
      <c r="E58" s="4" t="s">
        <v>854</v>
      </c>
      <c r="F58" s="4">
        <v>4</v>
      </c>
      <c r="G58" s="9">
        <v>1431.19</v>
      </c>
      <c r="H58" s="9">
        <v>55.05</v>
      </c>
      <c r="I58" s="9">
        <v>18.35</v>
      </c>
      <c r="J58" s="9">
        <v>73.39</v>
      </c>
      <c r="K58" s="9">
        <v>55.05</v>
      </c>
      <c r="L58" s="9">
        <v>201.83</v>
      </c>
      <c r="M58" s="9">
        <v>165.14</v>
      </c>
      <c r="N58" s="15">
        <f t="shared" si="0"/>
        <v>2000</v>
      </c>
    </row>
    <row r="59" ht="60" customHeight="1" spans="1:14">
      <c r="A59" s="4">
        <v>38</v>
      </c>
      <c r="B59" s="4" t="s">
        <v>932</v>
      </c>
      <c r="C59" s="4" t="s">
        <v>933</v>
      </c>
      <c r="D59" s="8" t="s">
        <v>934</v>
      </c>
      <c r="E59" s="4" t="s">
        <v>93</v>
      </c>
      <c r="F59" s="4">
        <v>4</v>
      </c>
      <c r="G59" s="9">
        <v>1288.07</v>
      </c>
      <c r="H59" s="9">
        <v>49.54</v>
      </c>
      <c r="I59" s="9">
        <v>16.51</v>
      </c>
      <c r="J59" s="9">
        <v>66.06</v>
      </c>
      <c r="K59" s="9">
        <v>49.54</v>
      </c>
      <c r="L59" s="9">
        <v>181.65</v>
      </c>
      <c r="M59" s="9">
        <v>148.62</v>
      </c>
      <c r="N59" s="15">
        <f t="shared" si="0"/>
        <v>1799.99</v>
      </c>
    </row>
    <row r="60" ht="60" customHeight="1" spans="1:14">
      <c r="A60" s="4">
        <v>39</v>
      </c>
      <c r="B60" s="4" t="s">
        <v>935</v>
      </c>
      <c r="C60" s="4" t="s">
        <v>936</v>
      </c>
      <c r="D60" s="8" t="s">
        <v>937</v>
      </c>
      <c r="E60" s="4" t="s">
        <v>93</v>
      </c>
      <c r="F60" s="4">
        <v>13</v>
      </c>
      <c r="G60" s="9">
        <v>2862.39</v>
      </c>
      <c r="H60" s="9">
        <v>238.53</v>
      </c>
      <c r="I60" s="9">
        <v>95.41</v>
      </c>
      <c r="J60" s="9">
        <v>715.6</v>
      </c>
      <c r="K60" s="9">
        <v>333.94</v>
      </c>
      <c r="L60" s="9">
        <v>524.77</v>
      </c>
      <c r="M60" s="9">
        <v>429.36</v>
      </c>
      <c r="N60" s="15">
        <f t="shared" si="0"/>
        <v>5200</v>
      </c>
    </row>
    <row r="61" ht="25" customHeight="1" spans="1:14">
      <c r="A61" s="11" t="s">
        <v>50</v>
      </c>
      <c r="B61" s="12"/>
      <c r="C61" s="11"/>
      <c r="D61" s="13"/>
      <c r="E61" s="12"/>
      <c r="F61" s="11"/>
      <c r="G61" s="14"/>
      <c r="H61" s="14"/>
      <c r="I61" s="14"/>
      <c r="J61" s="14"/>
      <c r="K61" s="14"/>
      <c r="L61" s="14"/>
      <c r="M61" s="14"/>
      <c r="N61" s="14">
        <f>SUM(N58:N60)</f>
        <v>8999.99</v>
      </c>
    </row>
    <row r="62" ht="64" customHeight="1" spans="1:14">
      <c r="A62" s="4">
        <v>40</v>
      </c>
      <c r="B62" s="4" t="s">
        <v>938</v>
      </c>
      <c r="C62" s="4" t="s">
        <v>939</v>
      </c>
      <c r="D62" s="8" t="s">
        <v>940</v>
      </c>
      <c r="E62" s="4" t="s">
        <v>854</v>
      </c>
      <c r="F62" s="4">
        <v>2</v>
      </c>
      <c r="G62" s="9">
        <v>330.28</v>
      </c>
      <c r="H62" s="9">
        <v>27.52</v>
      </c>
      <c r="I62" s="9">
        <v>11.01</v>
      </c>
      <c r="J62" s="9">
        <v>82.57</v>
      </c>
      <c r="K62" s="9">
        <v>38.53</v>
      </c>
      <c r="L62" s="9">
        <v>60.55</v>
      </c>
      <c r="M62" s="9">
        <v>49.54</v>
      </c>
      <c r="N62" s="15">
        <f t="shared" si="0"/>
        <v>600</v>
      </c>
    </row>
    <row r="63" ht="61" customHeight="1" spans="1:14">
      <c r="A63" s="4">
        <v>41</v>
      </c>
      <c r="B63" s="4" t="s">
        <v>941</v>
      </c>
      <c r="C63" s="4" t="s">
        <v>942</v>
      </c>
      <c r="D63" s="8" t="s">
        <v>943</v>
      </c>
      <c r="E63" s="4" t="s">
        <v>55</v>
      </c>
      <c r="F63" s="4">
        <v>9</v>
      </c>
      <c r="G63" s="9">
        <v>470.64</v>
      </c>
      <c r="H63" s="9">
        <v>123.85</v>
      </c>
      <c r="I63" s="9">
        <v>61.93</v>
      </c>
      <c r="J63" s="9">
        <v>346.79</v>
      </c>
      <c r="K63" s="9">
        <v>99.08</v>
      </c>
      <c r="L63" s="9">
        <v>136.24</v>
      </c>
      <c r="M63" s="9">
        <v>111.47</v>
      </c>
      <c r="N63" s="15">
        <f t="shared" si="0"/>
        <v>1350</v>
      </c>
    </row>
    <row r="64" ht="45" customHeight="1" spans="1:14">
      <c r="A64" s="4">
        <v>42</v>
      </c>
      <c r="B64" s="4" t="s">
        <v>944</v>
      </c>
      <c r="C64" s="4" t="s">
        <v>945</v>
      </c>
      <c r="D64" s="8" t="s">
        <v>946</v>
      </c>
      <c r="E64" s="4" t="s">
        <v>854</v>
      </c>
      <c r="F64" s="4">
        <v>4</v>
      </c>
      <c r="G64" s="9">
        <v>660.55</v>
      </c>
      <c r="H64" s="9">
        <v>55.05</v>
      </c>
      <c r="I64" s="9">
        <v>22.02</v>
      </c>
      <c r="J64" s="9">
        <v>165.14</v>
      </c>
      <c r="K64" s="9">
        <v>77.06</v>
      </c>
      <c r="L64" s="9">
        <v>121.1</v>
      </c>
      <c r="M64" s="9">
        <v>99.08</v>
      </c>
      <c r="N64" s="15">
        <f t="shared" si="0"/>
        <v>1200</v>
      </c>
    </row>
    <row r="65" ht="60" customHeight="1" spans="1:14">
      <c r="A65" s="4">
        <v>43</v>
      </c>
      <c r="B65" s="4" t="s">
        <v>947</v>
      </c>
      <c r="C65" s="4" t="s">
        <v>948</v>
      </c>
      <c r="D65" s="8" t="s">
        <v>949</v>
      </c>
      <c r="E65" s="4" t="s">
        <v>854</v>
      </c>
      <c r="F65" s="4">
        <v>26</v>
      </c>
      <c r="G65" s="9">
        <v>11163.3</v>
      </c>
      <c r="H65" s="9">
        <v>429.36</v>
      </c>
      <c r="I65" s="9">
        <v>143.12</v>
      </c>
      <c r="J65" s="9">
        <v>572.48</v>
      </c>
      <c r="K65" s="9">
        <v>429.36</v>
      </c>
      <c r="L65" s="9">
        <v>1574.31</v>
      </c>
      <c r="M65" s="9">
        <v>1288.07</v>
      </c>
      <c r="N65" s="15">
        <f t="shared" si="0"/>
        <v>15600</v>
      </c>
    </row>
    <row r="66" ht="25" customHeight="1" spans="1:14">
      <c r="A66" s="11" t="s">
        <v>50</v>
      </c>
      <c r="B66" s="12"/>
      <c r="C66" s="11"/>
      <c r="D66" s="13"/>
      <c r="E66" s="12"/>
      <c r="F66" s="11"/>
      <c r="G66" s="14"/>
      <c r="H66" s="14"/>
      <c r="I66" s="14"/>
      <c r="J66" s="14"/>
      <c r="K66" s="14"/>
      <c r="L66" s="14"/>
      <c r="M66" s="14"/>
      <c r="N66" s="14">
        <f>SUM(N62:N65)</f>
        <v>18750</v>
      </c>
    </row>
    <row r="67" ht="60" customHeight="1" spans="1:14">
      <c r="A67" s="4">
        <v>44</v>
      </c>
      <c r="B67" s="4" t="s">
        <v>950</v>
      </c>
      <c r="C67" s="4" t="s">
        <v>951</v>
      </c>
      <c r="D67" s="8" t="s">
        <v>952</v>
      </c>
      <c r="E67" s="4" t="s">
        <v>854</v>
      </c>
      <c r="F67" s="4">
        <v>32</v>
      </c>
      <c r="G67" s="9">
        <v>1946.42</v>
      </c>
      <c r="H67" s="9">
        <v>74.86</v>
      </c>
      <c r="I67" s="9">
        <v>24.95</v>
      </c>
      <c r="J67" s="9">
        <v>99.82</v>
      </c>
      <c r="K67" s="9">
        <v>74.86</v>
      </c>
      <c r="L67" s="9">
        <v>274.5</v>
      </c>
      <c r="M67" s="9">
        <v>224.59</v>
      </c>
      <c r="N67" s="15">
        <f t="shared" si="0"/>
        <v>2720</v>
      </c>
    </row>
    <row r="68" ht="45" customHeight="1" spans="1:14">
      <c r="A68" s="4">
        <v>45</v>
      </c>
      <c r="B68" s="4" t="s">
        <v>953</v>
      </c>
      <c r="C68" s="4" t="s">
        <v>954</v>
      </c>
      <c r="D68" s="8" t="s">
        <v>955</v>
      </c>
      <c r="E68" s="4" t="s">
        <v>854</v>
      </c>
      <c r="F68" s="4">
        <v>3</v>
      </c>
      <c r="G68" s="9">
        <v>1816.51</v>
      </c>
      <c r="H68" s="9">
        <v>151.38</v>
      </c>
      <c r="I68" s="9">
        <v>60.55</v>
      </c>
      <c r="J68" s="9">
        <v>454.13</v>
      </c>
      <c r="K68" s="9">
        <v>211.93</v>
      </c>
      <c r="L68" s="9">
        <v>333.03</v>
      </c>
      <c r="M68" s="9">
        <v>272.48</v>
      </c>
      <c r="N68" s="15">
        <f t="shared" si="0"/>
        <v>3300.01</v>
      </c>
    </row>
    <row r="69" ht="60" customHeight="1" spans="1:14">
      <c r="A69" s="4">
        <v>46</v>
      </c>
      <c r="B69" s="4" t="s">
        <v>956</v>
      </c>
      <c r="C69" s="4" t="s">
        <v>856</v>
      </c>
      <c r="D69" s="8" t="s">
        <v>957</v>
      </c>
      <c r="E69" s="4" t="s">
        <v>854</v>
      </c>
      <c r="F69" s="4">
        <v>12</v>
      </c>
      <c r="G69" s="9">
        <v>3434.86</v>
      </c>
      <c r="H69" s="9">
        <v>132.11</v>
      </c>
      <c r="I69" s="9">
        <v>44.04</v>
      </c>
      <c r="J69" s="9">
        <v>176.15</v>
      </c>
      <c r="K69" s="9">
        <v>132.11</v>
      </c>
      <c r="L69" s="9">
        <v>484.4</v>
      </c>
      <c r="M69" s="9">
        <v>396.33</v>
      </c>
      <c r="N69" s="15">
        <f t="shared" ref="N69:N124" si="1">SUM(G69:M69)</f>
        <v>4800</v>
      </c>
    </row>
    <row r="70" ht="60" customHeight="1" spans="1:14">
      <c r="A70" s="4">
        <v>47</v>
      </c>
      <c r="B70" s="4" t="s">
        <v>958</v>
      </c>
      <c r="C70" s="4" t="s">
        <v>859</v>
      </c>
      <c r="D70" s="8" t="s">
        <v>959</v>
      </c>
      <c r="E70" s="4" t="s">
        <v>854</v>
      </c>
      <c r="F70" s="4">
        <v>2</v>
      </c>
      <c r="G70" s="9">
        <v>1717.43</v>
      </c>
      <c r="H70" s="9">
        <v>66.06</v>
      </c>
      <c r="I70" s="9">
        <v>22.02</v>
      </c>
      <c r="J70" s="9">
        <v>88.07</v>
      </c>
      <c r="K70" s="9">
        <v>66.06</v>
      </c>
      <c r="L70" s="9">
        <v>242.2</v>
      </c>
      <c r="M70" s="9">
        <v>198.17</v>
      </c>
      <c r="N70" s="15">
        <f t="shared" si="1"/>
        <v>2400.01</v>
      </c>
    </row>
    <row r="71" ht="25" customHeight="1" spans="1:14">
      <c r="A71" s="11" t="s">
        <v>50</v>
      </c>
      <c r="B71" s="12"/>
      <c r="C71" s="11"/>
      <c r="D71" s="13"/>
      <c r="E71" s="12"/>
      <c r="F71" s="11"/>
      <c r="G71" s="14"/>
      <c r="H71" s="14"/>
      <c r="I71" s="14"/>
      <c r="J71" s="14"/>
      <c r="K71" s="14"/>
      <c r="L71" s="14"/>
      <c r="M71" s="14"/>
      <c r="N71" s="14">
        <f>SUM(N67:N70)</f>
        <v>13220.02</v>
      </c>
    </row>
    <row r="72" ht="60" customHeight="1" spans="1:14">
      <c r="A72" s="4">
        <v>48</v>
      </c>
      <c r="B72" s="4" t="s">
        <v>960</v>
      </c>
      <c r="C72" s="4" t="s">
        <v>961</v>
      </c>
      <c r="D72" s="8" t="s">
        <v>962</v>
      </c>
      <c r="E72" s="4" t="s">
        <v>66</v>
      </c>
      <c r="F72" s="4">
        <v>1</v>
      </c>
      <c r="G72" s="9">
        <v>1266.06</v>
      </c>
      <c r="H72" s="9">
        <v>105.5</v>
      </c>
      <c r="I72" s="9">
        <v>42.2</v>
      </c>
      <c r="J72" s="9">
        <v>316.51</v>
      </c>
      <c r="K72" s="9">
        <v>147.71</v>
      </c>
      <c r="L72" s="9">
        <v>232.11</v>
      </c>
      <c r="M72" s="9">
        <v>189.91</v>
      </c>
      <c r="N72" s="15">
        <f t="shared" si="1"/>
        <v>2300</v>
      </c>
    </row>
    <row r="73" ht="60" customHeight="1" spans="1:14">
      <c r="A73" s="4">
        <v>49</v>
      </c>
      <c r="B73" s="4" t="s">
        <v>963</v>
      </c>
      <c r="C73" s="4" t="s">
        <v>964</v>
      </c>
      <c r="D73" s="8" t="s">
        <v>965</v>
      </c>
      <c r="E73" s="4" t="s">
        <v>66</v>
      </c>
      <c r="F73" s="4">
        <v>1</v>
      </c>
      <c r="G73" s="9">
        <v>1266.06</v>
      </c>
      <c r="H73" s="9">
        <v>105.5</v>
      </c>
      <c r="I73" s="9">
        <v>42.2</v>
      </c>
      <c r="J73" s="9">
        <v>316.51</v>
      </c>
      <c r="K73" s="9">
        <v>147.71</v>
      </c>
      <c r="L73" s="9">
        <v>232.11</v>
      </c>
      <c r="M73" s="9">
        <v>189.91</v>
      </c>
      <c r="N73" s="15">
        <f t="shared" si="1"/>
        <v>2300</v>
      </c>
    </row>
    <row r="74" ht="45" customHeight="1" spans="1:14">
      <c r="A74" s="4">
        <v>50</v>
      </c>
      <c r="B74" s="4" t="s">
        <v>966</v>
      </c>
      <c r="C74" s="4" t="s">
        <v>967</v>
      </c>
      <c r="D74" s="8" t="s">
        <v>968</v>
      </c>
      <c r="E74" s="4" t="s">
        <v>66</v>
      </c>
      <c r="F74" s="4">
        <v>1</v>
      </c>
      <c r="G74" s="9">
        <v>1266.06</v>
      </c>
      <c r="H74" s="9">
        <v>105.5</v>
      </c>
      <c r="I74" s="9">
        <v>42.2</v>
      </c>
      <c r="J74" s="9">
        <v>316.51</v>
      </c>
      <c r="K74" s="9">
        <v>147.71</v>
      </c>
      <c r="L74" s="9">
        <v>232.11</v>
      </c>
      <c r="M74" s="9">
        <v>189.91</v>
      </c>
      <c r="N74" s="15">
        <f t="shared" si="1"/>
        <v>2300</v>
      </c>
    </row>
    <row r="75" ht="60" customHeight="1" spans="1:14">
      <c r="A75" s="4">
        <v>51</v>
      </c>
      <c r="B75" s="4" t="s">
        <v>969</v>
      </c>
      <c r="C75" s="4" t="s">
        <v>970</v>
      </c>
      <c r="D75" s="8" t="s">
        <v>971</v>
      </c>
      <c r="E75" s="4" t="s">
        <v>248</v>
      </c>
      <c r="F75" s="4">
        <v>1</v>
      </c>
      <c r="G75" s="9">
        <v>1266.06</v>
      </c>
      <c r="H75" s="9">
        <v>105.5</v>
      </c>
      <c r="I75" s="9">
        <v>42.2</v>
      </c>
      <c r="J75" s="9">
        <v>316.51</v>
      </c>
      <c r="K75" s="9">
        <v>147.71</v>
      </c>
      <c r="L75" s="9">
        <v>232.11</v>
      </c>
      <c r="M75" s="9">
        <v>189.91</v>
      </c>
      <c r="N75" s="15">
        <f t="shared" si="1"/>
        <v>2300</v>
      </c>
    </row>
    <row r="76" ht="25" customHeight="1" spans="1:14">
      <c r="A76" s="11" t="s">
        <v>50</v>
      </c>
      <c r="B76" s="12"/>
      <c r="C76" s="11"/>
      <c r="D76" s="13"/>
      <c r="E76" s="12"/>
      <c r="F76" s="11"/>
      <c r="G76" s="14"/>
      <c r="H76" s="14"/>
      <c r="I76" s="14"/>
      <c r="J76" s="14"/>
      <c r="K76" s="14"/>
      <c r="L76" s="14"/>
      <c r="M76" s="14"/>
      <c r="N76" s="14">
        <f>SUM(N72:N75)</f>
        <v>9200</v>
      </c>
    </row>
    <row r="77" ht="60" customHeight="1" spans="1:14">
      <c r="A77" s="4">
        <v>52</v>
      </c>
      <c r="B77" s="4" t="s">
        <v>972</v>
      </c>
      <c r="C77" s="4" t="s">
        <v>973</v>
      </c>
      <c r="D77" s="8" t="s">
        <v>974</v>
      </c>
      <c r="E77" s="4" t="s">
        <v>66</v>
      </c>
      <c r="F77" s="4">
        <v>1</v>
      </c>
      <c r="G77" s="9">
        <v>1645.87</v>
      </c>
      <c r="H77" s="9">
        <v>63.3</v>
      </c>
      <c r="I77" s="9">
        <v>21.1</v>
      </c>
      <c r="J77" s="9">
        <v>84.4</v>
      </c>
      <c r="K77" s="9">
        <v>63.3</v>
      </c>
      <c r="L77" s="9">
        <v>232.11</v>
      </c>
      <c r="M77" s="9">
        <v>189.91</v>
      </c>
      <c r="N77" s="15">
        <f t="shared" si="1"/>
        <v>2299.99</v>
      </c>
    </row>
    <row r="78" ht="45" customHeight="1" spans="1:14">
      <c r="A78" s="4">
        <v>53</v>
      </c>
      <c r="B78" s="4" t="s">
        <v>975</v>
      </c>
      <c r="C78" s="4" t="s">
        <v>976</v>
      </c>
      <c r="D78" s="8" t="s">
        <v>977</v>
      </c>
      <c r="E78" s="4" t="s">
        <v>66</v>
      </c>
      <c r="F78" s="4">
        <v>1</v>
      </c>
      <c r="G78" s="9">
        <v>1645.87</v>
      </c>
      <c r="H78" s="9">
        <v>63.3</v>
      </c>
      <c r="I78" s="9">
        <v>21.1</v>
      </c>
      <c r="J78" s="9">
        <v>84.4</v>
      </c>
      <c r="K78" s="9">
        <v>63.3</v>
      </c>
      <c r="L78" s="9">
        <v>232.11</v>
      </c>
      <c r="M78" s="9">
        <v>189.91</v>
      </c>
      <c r="N78" s="15">
        <f t="shared" si="1"/>
        <v>2299.99</v>
      </c>
    </row>
    <row r="79" ht="60" customHeight="1" spans="1:14">
      <c r="A79" s="4">
        <v>54</v>
      </c>
      <c r="B79" s="4" t="s">
        <v>978</v>
      </c>
      <c r="C79" s="4" t="s">
        <v>979</v>
      </c>
      <c r="D79" s="8" t="s">
        <v>980</v>
      </c>
      <c r="E79" s="4" t="s">
        <v>66</v>
      </c>
      <c r="F79" s="4">
        <v>1</v>
      </c>
      <c r="G79" s="9">
        <v>1266.06</v>
      </c>
      <c r="H79" s="9">
        <v>105.5</v>
      </c>
      <c r="I79" s="9">
        <v>42.2</v>
      </c>
      <c r="J79" s="9">
        <v>316.51</v>
      </c>
      <c r="K79" s="9">
        <v>147.71</v>
      </c>
      <c r="L79" s="9">
        <v>232.11</v>
      </c>
      <c r="M79" s="9">
        <v>189.91</v>
      </c>
      <c r="N79" s="15">
        <f t="shared" si="1"/>
        <v>2300</v>
      </c>
    </row>
    <row r="80" ht="25" customHeight="1" spans="1:14">
      <c r="A80" s="11" t="s">
        <v>50</v>
      </c>
      <c r="B80" s="12"/>
      <c r="C80" s="11"/>
      <c r="D80" s="13"/>
      <c r="E80" s="12"/>
      <c r="F80" s="11"/>
      <c r="G80" s="14"/>
      <c r="H80" s="14"/>
      <c r="I80" s="14"/>
      <c r="J80" s="14"/>
      <c r="K80" s="14"/>
      <c r="L80" s="14"/>
      <c r="M80" s="14"/>
      <c r="N80" s="14">
        <f>SUM(N77:N79)</f>
        <v>6899.98</v>
      </c>
    </row>
    <row r="81" ht="89" customHeight="1" spans="1:14">
      <c r="A81" s="4">
        <v>55</v>
      </c>
      <c r="B81" s="4" t="s">
        <v>981</v>
      </c>
      <c r="C81" s="4" t="s">
        <v>133</v>
      </c>
      <c r="D81" s="8" t="s">
        <v>134</v>
      </c>
      <c r="E81" s="4" t="s">
        <v>66</v>
      </c>
      <c r="F81" s="4">
        <v>1</v>
      </c>
      <c r="G81" s="9">
        <v>1394.5</v>
      </c>
      <c r="H81" s="9">
        <v>366.97</v>
      </c>
      <c r="I81" s="9">
        <v>183.49</v>
      </c>
      <c r="J81" s="9">
        <v>1027.52</v>
      </c>
      <c r="K81" s="9">
        <v>293.58</v>
      </c>
      <c r="L81" s="9">
        <v>403.67</v>
      </c>
      <c r="M81" s="9">
        <v>330.28</v>
      </c>
      <c r="N81" s="15">
        <f t="shared" si="1"/>
        <v>4000.01</v>
      </c>
    </row>
    <row r="82" ht="45" customHeight="1" spans="1:14">
      <c r="A82" s="4">
        <v>56</v>
      </c>
      <c r="B82" s="4" t="s">
        <v>982</v>
      </c>
      <c r="C82" s="4" t="s">
        <v>347</v>
      </c>
      <c r="D82" s="8" t="s">
        <v>348</v>
      </c>
      <c r="E82" s="4" t="s">
        <v>66</v>
      </c>
      <c r="F82" s="4">
        <v>1</v>
      </c>
      <c r="G82" s="9">
        <v>2752.29</v>
      </c>
      <c r="H82" s="9">
        <v>229.36</v>
      </c>
      <c r="I82" s="9">
        <v>91.74</v>
      </c>
      <c r="J82" s="9">
        <v>688.07</v>
      </c>
      <c r="K82" s="9">
        <v>321.1</v>
      </c>
      <c r="L82" s="9">
        <v>504.59</v>
      </c>
      <c r="M82" s="9">
        <v>412.84</v>
      </c>
      <c r="N82" s="15">
        <f t="shared" si="1"/>
        <v>4999.99</v>
      </c>
    </row>
    <row r="83" ht="45" customHeight="1" spans="1:14">
      <c r="A83" s="4">
        <v>57</v>
      </c>
      <c r="B83" s="4" t="s">
        <v>983</v>
      </c>
      <c r="C83" s="4" t="s">
        <v>95</v>
      </c>
      <c r="D83" s="8" t="s">
        <v>984</v>
      </c>
      <c r="E83" s="4" t="s">
        <v>47</v>
      </c>
      <c r="F83" s="4">
        <v>95.2</v>
      </c>
      <c r="G83" s="9">
        <v>149.35</v>
      </c>
      <c r="H83" s="9">
        <v>39.3</v>
      </c>
      <c r="I83" s="9">
        <v>19.65</v>
      </c>
      <c r="J83" s="9">
        <v>110.05</v>
      </c>
      <c r="K83" s="9">
        <v>31.44</v>
      </c>
      <c r="L83" s="9">
        <v>43.23</v>
      </c>
      <c r="M83" s="9">
        <v>35.37</v>
      </c>
      <c r="N83" s="15">
        <f t="shared" si="1"/>
        <v>428.39</v>
      </c>
    </row>
    <row r="84" ht="45" customHeight="1" spans="1:14">
      <c r="A84" s="4">
        <v>58</v>
      </c>
      <c r="B84" s="4" t="s">
        <v>985</v>
      </c>
      <c r="C84" s="4" t="s">
        <v>95</v>
      </c>
      <c r="D84" s="8" t="s">
        <v>986</v>
      </c>
      <c r="E84" s="4" t="s">
        <v>47</v>
      </c>
      <c r="F84" s="4">
        <v>242.2</v>
      </c>
      <c r="G84" s="9">
        <v>379.97</v>
      </c>
      <c r="H84" s="9">
        <v>99.99</v>
      </c>
      <c r="I84" s="9">
        <v>50</v>
      </c>
      <c r="J84" s="9">
        <v>279.97</v>
      </c>
      <c r="K84" s="9">
        <v>79.99</v>
      </c>
      <c r="L84" s="9">
        <v>109.99</v>
      </c>
      <c r="M84" s="9">
        <v>89.99</v>
      </c>
      <c r="N84" s="15">
        <f t="shared" si="1"/>
        <v>1089.9</v>
      </c>
    </row>
    <row r="85" ht="25" customHeight="1" spans="1:14">
      <c r="A85" s="11" t="s">
        <v>50</v>
      </c>
      <c r="B85" s="12"/>
      <c r="C85" s="11"/>
      <c r="D85" s="13"/>
      <c r="E85" s="12"/>
      <c r="F85" s="11"/>
      <c r="G85" s="14"/>
      <c r="H85" s="14"/>
      <c r="I85" s="14"/>
      <c r="J85" s="14"/>
      <c r="K85" s="14"/>
      <c r="L85" s="14"/>
      <c r="M85" s="14"/>
      <c r="N85" s="14">
        <f>SUM(N81:N84)</f>
        <v>10518.29</v>
      </c>
    </row>
    <row r="86" ht="45" customHeight="1" spans="1:14">
      <c r="A86" s="4">
        <v>59</v>
      </c>
      <c r="B86" s="4" t="s">
        <v>987</v>
      </c>
      <c r="C86" s="4" t="s">
        <v>95</v>
      </c>
      <c r="D86" s="8" t="s">
        <v>96</v>
      </c>
      <c r="E86" s="4" t="s">
        <v>47</v>
      </c>
      <c r="F86" s="4">
        <v>10.1</v>
      </c>
      <c r="G86" s="9">
        <v>17.61</v>
      </c>
      <c r="H86" s="9">
        <v>4.63</v>
      </c>
      <c r="I86" s="9">
        <v>2.32</v>
      </c>
      <c r="J86" s="9">
        <v>12.97</v>
      </c>
      <c r="K86" s="9">
        <v>3.71</v>
      </c>
      <c r="L86" s="9">
        <v>5.1</v>
      </c>
      <c r="M86" s="9">
        <v>4.17</v>
      </c>
      <c r="N86" s="15">
        <f t="shared" si="1"/>
        <v>50.51</v>
      </c>
    </row>
    <row r="87" ht="45" customHeight="1" spans="1:14">
      <c r="A87" s="4">
        <v>60</v>
      </c>
      <c r="B87" s="4" t="s">
        <v>988</v>
      </c>
      <c r="C87" s="4" t="s">
        <v>413</v>
      </c>
      <c r="D87" s="8" t="s">
        <v>287</v>
      </c>
      <c r="E87" s="4" t="s">
        <v>105</v>
      </c>
      <c r="F87" s="4">
        <v>62.1</v>
      </c>
      <c r="G87" s="9">
        <v>103.92</v>
      </c>
      <c r="H87" s="9">
        <v>27.35</v>
      </c>
      <c r="I87" s="9">
        <v>13.67</v>
      </c>
      <c r="J87" s="9">
        <v>76.57</v>
      </c>
      <c r="K87" s="9">
        <v>21.88</v>
      </c>
      <c r="L87" s="9">
        <v>30.08</v>
      </c>
      <c r="M87" s="9">
        <v>24.61</v>
      </c>
      <c r="N87" s="15">
        <f t="shared" si="1"/>
        <v>298.08</v>
      </c>
    </row>
    <row r="88" ht="45" customHeight="1" spans="1:14">
      <c r="A88" s="4">
        <v>61</v>
      </c>
      <c r="B88" s="4" t="s">
        <v>989</v>
      </c>
      <c r="C88" s="4" t="s">
        <v>45</v>
      </c>
      <c r="D88" s="8" t="s">
        <v>990</v>
      </c>
      <c r="E88" s="4" t="s">
        <v>47</v>
      </c>
      <c r="F88" s="4">
        <v>36.2</v>
      </c>
      <c r="G88" s="9">
        <v>75.72</v>
      </c>
      <c r="H88" s="9">
        <v>19.93</v>
      </c>
      <c r="I88" s="9">
        <v>9.96</v>
      </c>
      <c r="J88" s="9">
        <v>55.79</v>
      </c>
      <c r="K88" s="9">
        <v>15.94</v>
      </c>
      <c r="L88" s="9">
        <v>21.92</v>
      </c>
      <c r="M88" s="9">
        <v>17.93</v>
      </c>
      <c r="N88" s="15">
        <f t="shared" si="1"/>
        <v>217.19</v>
      </c>
    </row>
    <row r="89" ht="45" customHeight="1" spans="1:14">
      <c r="A89" s="4">
        <v>62</v>
      </c>
      <c r="B89" s="4" t="s">
        <v>991</v>
      </c>
      <c r="C89" s="4" t="s">
        <v>45</v>
      </c>
      <c r="D89" s="8" t="s">
        <v>992</v>
      </c>
      <c r="E89" s="4" t="s">
        <v>47</v>
      </c>
      <c r="F89" s="4">
        <v>10.14</v>
      </c>
      <c r="G89" s="9">
        <v>28.28</v>
      </c>
      <c r="H89" s="9">
        <v>7.44</v>
      </c>
      <c r="I89" s="9">
        <v>3.72</v>
      </c>
      <c r="J89" s="9">
        <v>20.84</v>
      </c>
      <c r="K89" s="9">
        <v>5.95</v>
      </c>
      <c r="L89" s="9">
        <v>8.19</v>
      </c>
      <c r="M89" s="9">
        <v>6.7</v>
      </c>
      <c r="N89" s="15">
        <f t="shared" si="1"/>
        <v>81.12</v>
      </c>
    </row>
    <row r="90" ht="25" customHeight="1" spans="1:14">
      <c r="A90" s="11" t="s">
        <v>50</v>
      </c>
      <c r="B90" s="12"/>
      <c r="C90" s="11"/>
      <c r="D90" s="13"/>
      <c r="E90" s="12"/>
      <c r="F90" s="11"/>
      <c r="G90" s="14"/>
      <c r="H90" s="14"/>
      <c r="I90" s="14"/>
      <c r="J90" s="14"/>
      <c r="K90" s="14"/>
      <c r="L90" s="14"/>
      <c r="M90" s="14"/>
      <c r="N90" s="14">
        <f>SUM(N86:N89)</f>
        <v>646.9</v>
      </c>
    </row>
    <row r="91" ht="45" customHeight="1" spans="1:14">
      <c r="A91" s="4">
        <v>63</v>
      </c>
      <c r="B91" s="4" t="s">
        <v>993</v>
      </c>
      <c r="C91" s="4" t="s">
        <v>45</v>
      </c>
      <c r="D91" s="8" t="s">
        <v>994</v>
      </c>
      <c r="E91" s="4" t="s">
        <v>47</v>
      </c>
      <c r="F91" s="4">
        <v>22.29</v>
      </c>
      <c r="G91" s="9">
        <v>62.17</v>
      </c>
      <c r="H91" s="9">
        <v>16.36</v>
      </c>
      <c r="I91" s="9">
        <v>8.18</v>
      </c>
      <c r="J91" s="9">
        <v>45.81</v>
      </c>
      <c r="K91" s="9">
        <v>13.09</v>
      </c>
      <c r="L91" s="9">
        <v>18</v>
      </c>
      <c r="M91" s="9">
        <v>14.72</v>
      </c>
      <c r="N91" s="15">
        <f t="shared" si="1"/>
        <v>178.33</v>
      </c>
    </row>
    <row r="92" ht="45" customHeight="1" spans="1:14">
      <c r="A92" s="4">
        <v>64</v>
      </c>
      <c r="B92" s="4" t="s">
        <v>995</v>
      </c>
      <c r="C92" s="4" t="s">
        <v>45</v>
      </c>
      <c r="D92" s="8" t="s">
        <v>996</v>
      </c>
      <c r="E92" s="4" t="s">
        <v>47</v>
      </c>
      <c r="F92" s="4">
        <v>191.55</v>
      </c>
      <c r="G92" s="9">
        <v>400.67</v>
      </c>
      <c r="H92" s="9">
        <v>105.44</v>
      </c>
      <c r="I92" s="9">
        <v>52.72</v>
      </c>
      <c r="J92" s="9">
        <v>295.23</v>
      </c>
      <c r="K92" s="9">
        <v>84.35</v>
      </c>
      <c r="L92" s="9">
        <v>115.98</v>
      </c>
      <c r="M92" s="9">
        <v>94.9</v>
      </c>
      <c r="N92" s="15">
        <f t="shared" si="1"/>
        <v>1149.29</v>
      </c>
    </row>
    <row r="93" ht="45" customHeight="1" spans="1:14">
      <c r="A93" s="4">
        <v>65</v>
      </c>
      <c r="B93" s="4" t="s">
        <v>997</v>
      </c>
      <c r="C93" s="4" t="s">
        <v>45</v>
      </c>
      <c r="D93" s="8" t="s">
        <v>994</v>
      </c>
      <c r="E93" s="4" t="s">
        <v>47</v>
      </c>
      <c r="F93" s="4">
        <v>875.7</v>
      </c>
      <c r="G93" s="9">
        <v>2442.32</v>
      </c>
      <c r="H93" s="9">
        <v>642.72</v>
      </c>
      <c r="I93" s="9">
        <v>321.36</v>
      </c>
      <c r="J93" s="9">
        <v>1799.6</v>
      </c>
      <c r="K93" s="9">
        <v>514.17</v>
      </c>
      <c r="L93" s="9">
        <v>706.99</v>
      </c>
      <c r="M93" s="9">
        <v>578.44</v>
      </c>
      <c r="N93" s="15">
        <f t="shared" si="1"/>
        <v>7005.6</v>
      </c>
    </row>
    <row r="94" ht="45" customHeight="1" spans="1:14">
      <c r="A94" s="4">
        <v>66</v>
      </c>
      <c r="B94" s="4" t="s">
        <v>998</v>
      </c>
      <c r="C94" s="4" t="s">
        <v>110</v>
      </c>
      <c r="D94" s="8" t="s">
        <v>422</v>
      </c>
      <c r="E94" s="4" t="s">
        <v>47</v>
      </c>
      <c r="F94" s="4">
        <v>1183.4</v>
      </c>
      <c r="G94" s="9">
        <v>1237.68</v>
      </c>
      <c r="H94" s="9">
        <v>325.71</v>
      </c>
      <c r="I94" s="9">
        <v>162.85</v>
      </c>
      <c r="J94" s="9">
        <v>911.98</v>
      </c>
      <c r="K94" s="9">
        <v>260.57</v>
      </c>
      <c r="L94" s="9">
        <v>358.28</v>
      </c>
      <c r="M94" s="9">
        <v>293.14</v>
      </c>
      <c r="N94" s="15">
        <f t="shared" si="1"/>
        <v>3550.21</v>
      </c>
    </row>
    <row r="95" ht="25" customHeight="1" spans="1:14">
      <c r="A95" s="11" t="s">
        <v>50</v>
      </c>
      <c r="B95" s="12"/>
      <c r="C95" s="11"/>
      <c r="D95" s="13"/>
      <c r="E95" s="12"/>
      <c r="F95" s="11"/>
      <c r="G95" s="14"/>
      <c r="H95" s="14"/>
      <c r="I95" s="14"/>
      <c r="J95" s="14"/>
      <c r="K95" s="14"/>
      <c r="L95" s="14"/>
      <c r="M95" s="14"/>
      <c r="N95" s="14">
        <f>SUM(N91:N94)</f>
        <v>11883.43</v>
      </c>
    </row>
    <row r="96" ht="45" customHeight="1" spans="1:14">
      <c r="A96" s="4">
        <v>67</v>
      </c>
      <c r="B96" s="4" t="s">
        <v>999</v>
      </c>
      <c r="C96" s="4" t="s">
        <v>110</v>
      </c>
      <c r="D96" s="8" t="s">
        <v>424</v>
      </c>
      <c r="E96" s="4" t="s">
        <v>47</v>
      </c>
      <c r="F96" s="4">
        <v>117.4</v>
      </c>
      <c r="G96" s="9">
        <v>122.79</v>
      </c>
      <c r="H96" s="9">
        <v>32.31</v>
      </c>
      <c r="I96" s="9">
        <v>16.16</v>
      </c>
      <c r="J96" s="9">
        <v>90.47</v>
      </c>
      <c r="K96" s="9">
        <v>25.85</v>
      </c>
      <c r="L96" s="9">
        <v>35.54</v>
      </c>
      <c r="M96" s="9">
        <v>29.08</v>
      </c>
      <c r="N96" s="15">
        <f t="shared" si="1"/>
        <v>352.2</v>
      </c>
    </row>
    <row r="97" ht="45" customHeight="1" spans="1:14">
      <c r="A97" s="4">
        <v>68</v>
      </c>
      <c r="B97" s="4" t="s">
        <v>1000</v>
      </c>
      <c r="C97" s="4" t="s">
        <v>95</v>
      </c>
      <c r="D97" s="8" t="s">
        <v>1001</v>
      </c>
      <c r="E97" s="4" t="s">
        <v>47</v>
      </c>
      <c r="F97" s="4">
        <v>140</v>
      </c>
      <c r="G97" s="9">
        <v>146.42</v>
      </c>
      <c r="H97" s="9">
        <v>38.53</v>
      </c>
      <c r="I97" s="9">
        <v>19.27</v>
      </c>
      <c r="J97" s="9">
        <v>107.89</v>
      </c>
      <c r="K97" s="9">
        <v>30.83</v>
      </c>
      <c r="L97" s="9">
        <v>42.39</v>
      </c>
      <c r="M97" s="9">
        <v>34.68</v>
      </c>
      <c r="N97" s="15">
        <f t="shared" si="1"/>
        <v>420.01</v>
      </c>
    </row>
    <row r="98" ht="45" customHeight="1" spans="1:14">
      <c r="A98" s="4">
        <v>69</v>
      </c>
      <c r="B98" s="4" t="s">
        <v>1002</v>
      </c>
      <c r="C98" s="4" t="s">
        <v>123</v>
      </c>
      <c r="D98" s="8" t="s">
        <v>124</v>
      </c>
      <c r="E98" s="4" t="s">
        <v>125</v>
      </c>
      <c r="F98" s="4">
        <v>31</v>
      </c>
      <c r="G98" s="9">
        <v>86.46</v>
      </c>
      <c r="H98" s="9">
        <v>22.75</v>
      </c>
      <c r="I98" s="9">
        <v>11.38</v>
      </c>
      <c r="J98" s="9">
        <v>63.71</v>
      </c>
      <c r="K98" s="9">
        <v>18.2</v>
      </c>
      <c r="L98" s="9">
        <v>25.03</v>
      </c>
      <c r="M98" s="9">
        <v>20.48</v>
      </c>
      <c r="N98" s="15">
        <f t="shared" si="1"/>
        <v>248.01</v>
      </c>
    </row>
    <row r="99" ht="45" customHeight="1" spans="1:14">
      <c r="A99" s="4">
        <v>70</v>
      </c>
      <c r="B99" s="4" t="s">
        <v>1003</v>
      </c>
      <c r="C99" s="4" t="s">
        <v>60</v>
      </c>
      <c r="D99" s="8" t="s">
        <v>131</v>
      </c>
      <c r="E99" s="4" t="s">
        <v>62</v>
      </c>
      <c r="F99" s="4">
        <v>1</v>
      </c>
      <c r="G99" s="9">
        <v>1045.87</v>
      </c>
      <c r="H99" s="9">
        <v>275.23</v>
      </c>
      <c r="I99" s="9">
        <v>137.61</v>
      </c>
      <c r="J99" s="9">
        <v>770.64</v>
      </c>
      <c r="K99" s="9">
        <v>220.18</v>
      </c>
      <c r="L99" s="9">
        <v>302.75</v>
      </c>
      <c r="M99" s="9">
        <v>247.71</v>
      </c>
      <c r="N99" s="15">
        <f t="shared" si="1"/>
        <v>2999.99</v>
      </c>
    </row>
    <row r="100" ht="45" customHeight="1" spans="1:14">
      <c r="A100" s="4">
        <v>71</v>
      </c>
      <c r="B100" s="4" t="s">
        <v>1004</v>
      </c>
      <c r="C100" s="4" t="s">
        <v>95</v>
      </c>
      <c r="D100" s="8" t="s">
        <v>1005</v>
      </c>
      <c r="E100" s="4" t="s">
        <v>47</v>
      </c>
      <c r="F100" s="4">
        <v>1224.84</v>
      </c>
      <c r="G100" s="9">
        <v>1921.54</v>
      </c>
      <c r="H100" s="9">
        <v>505.67</v>
      </c>
      <c r="I100" s="9">
        <v>252.83</v>
      </c>
      <c r="J100" s="9">
        <v>1415.87</v>
      </c>
      <c r="K100" s="9">
        <v>404.53</v>
      </c>
      <c r="L100" s="9">
        <v>556.23</v>
      </c>
      <c r="M100" s="9">
        <v>455.1</v>
      </c>
      <c r="N100" s="15">
        <f t="shared" si="1"/>
        <v>5511.77</v>
      </c>
    </row>
    <row r="101" ht="25" customHeight="1" spans="1:14">
      <c r="A101" s="11" t="s">
        <v>50</v>
      </c>
      <c r="B101" s="12"/>
      <c r="C101" s="11"/>
      <c r="D101" s="13"/>
      <c r="E101" s="12"/>
      <c r="F101" s="11"/>
      <c r="G101" s="14"/>
      <c r="H101" s="14"/>
      <c r="I101" s="14"/>
      <c r="J101" s="14"/>
      <c r="K101" s="14"/>
      <c r="L101" s="14"/>
      <c r="M101" s="14"/>
      <c r="N101" s="14">
        <f>SUM(N96:N100)</f>
        <v>9531.98</v>
      </c>
    </row>
    <row r="102" ht="45" customHeight="1" spans="1:14">
      <c r="A102" s="4">
        <v>72</v>
      </c>
      <c r="B102" s="4" t="s">
        <v>1006</v>
      </c>
      <c r="C102" s="4" t="s">
        <v>95</v>
      </c>
      <c r="D102" s="8" t="s">
        <v>96</v>
      </c>
      <c r="E102" s="4" t="s">
        <v>47</v>
      </c>
      <c r="F102" s="4">
        <v>58.65</v>
      </c>
      <c r="G102" s="9">
        <v>102.23</v>
      </c>
      <c r="H102" s="9">
        <v>26.9</v>
      </c>
      <c r="I102" s="9">
        <v>13.45</v>
      </c>
      <c r="J102" s="9">
        <v>75.33</v>
      </c>
      <c r="K102" s="9">
        <v>21.52</v>
      </c>
      <c r="L102" s="9">
        <v>29.59</v>
      </c>
      <c r="M102" s="9">
        <v>24.21</v>
      </c>
      <c r="N102" s="15">
        <f t="shared" si="1"/>
        <v>293.23</v>
      </c>
    </row>
    <row r="103" ht="45" customHeight="1" spans="1:14">
      <c r="A103" s="4">
        <v>73</v>
      </c>
      <c r="B103" s="4" t="s">
        <v>1007</v>
      </c>
      <c r="C103" s="4" t="s">
        <v>413</v>
      </c>
      <c r="D103" s="8" t="s">
        <v>287</v>
      </c>
      <c r="E103" s="4" t="s">
        <v>105</v>
      </c>
      <c r="F103" s="4">
        <v>244.43</v>
      </c>
      <c r="G103" s="9">
        <v>409.03</v>
      </c>
      <c r="H103" s="9">
        <v>107.64</v>
      </c>
      <c r="I103" s="9">
        <v>53.82</v>
      </c>
      <c r="J103" s="9">
        <v>301.39</v>
      </c>
      <c r="K103" s="9">
        <v>86.11</v>
      </c>
      <c r="L103" s="9">
        <v>118.4</v>
      </c>
      <c r="M103" s="9">
        <v>96.88</v>
      </c>
      <c r="N103" s="15">
        <f t="shared" si="1"/>
        <v>1173.27</v>
      </c>
    </row>
    <row r="104" ht="45" customHeight="1" spans="1:14">
      <c r="A104" s="4">
        <v>74</v>
      </c>
      <c r="B104" s="4" t="s">
        <v>1008</v>
      </c>
      <c r="C104" s="4" t="s">
        <v>45</v>
      </c>
      <c r="D104" s="8" t="s">
        <v>992</v>
      </c>
      <c r="E104" s="4" t="s">
        <v>47</v>
      </c>
      <c r="F104" s="4">
        <v>78.77</v>
      </c>
      <c r="G104" s="9">
        <v>219.69</v>
      </c>
      <c r="H104" s="9">
        <v>57.81</v>
      </c>
      <c r="I104" s="9">
        <v>28.91</v>
      </c>
      <c r="J104" s="9">
        <v>161.88</v>
      </c>
      <c r="K104" s="9">
        <v>46.25</v>
      </c>
      <c r="L104" s="9">
        <v>63.59</v>
      </c>
      <c r="M104" s="9">
        <v>52.03</v>
      </c>
      <c r="N104" s="15">
        <f t="shared" si="1"/>
        <v>630.16</v>
      </c>
    </row>
    <row r="105" ht="45" customHeight="1" spans="1:14">
      <c r="A105" s="4">
        <v>75</v>
      </c>
      <c r="B105" s="4" t="s">
        <v>1009</v>
      </c>
      <c r="C105" s="4" t="s">
        <v>45</v>
      </c>
      <c r="D105" s="8" t="s">
        <v>994</v>
      </c>
      <c r="E105" s="4" t="s">
        <v>47</v>
      </c>
      <c r="F105" s="4">
        <v>10.2</v>
      </c>
      <c r="G105" s="9">
        <v>28.45</v>
      </c>
      <c r="H105" s="9">
        <v>7.49</v>
      </c>
      <c r="I105" s="9">
        <v>3.74</v>
      </c>
      <c r="J105" s="9">
        <v>20.96</v>
      </c>
      <c r="K105" s="9">
        <v>5.99</v>
      </c>
      <c r="L105" s="9">
        <v>8.23</v>
      </c>
      <c r="M105" s="9">
        <v>6.74</v>
      </c>
      <c r="N105" s="15">
        <f t="shared" si="1"/>
        <v>81.6</v>
      </c>
    </row>
    <row r="106" ht="25" customHeight="1" spans="1:14">
      <c r="A106" s="11" t="s">
        <v>50</v>
      </c>
      <c r="B106" s="12"/>
      <c r="C106" s="11"/>
      <c r="D106" s="13"/>
      <c r="E106" s="12"/>
      <c r="F106" s="11"/>
      <c r="G106" s="14"/>
      <c r="H106" s="14"/>
      <c r="I106" s="14"/>
      <c r="J106" s="14"/>
      <c r="K106" s="14"/>
      <c r="L106" s="14"/>
      <c r="M106" s="14"/>
      <c r="N106" s="14">
        <f>SUM(N102:N105)</f>
        <v>2178.26</v>
      </c>
    </row>
    <row r="107" ht="45" customHeight="1" spans="1:14">
      <c r="A107" s="4">
        <v>76</v>
      </c>
      <c r="B107" s="4" t="s">
        <v>1010</v>
      </c>
      <c r="C107" s="4" t="s">
        <v>45</v>
      </c>
      <c r="D107" s="8" t="s">
        <v>996</v>
      </c>
      <c r="E107" s="4" t="s">
        <v>47</v>
      </c>
      <c r="F107" s="4">
        <v>1166.84</v>
      </c>
      <c r="G107" s="9">
        <v>2440.73</v>
      </c>
      <c r="H107" s="9">
        <v>642.3</v>
      </c>
      <c r="I107" s="9">
        <v>321.15</v>
      </c>
      <c r="J107" s="9">
        <v>1798.43</v>
      </c>
      <c r="K107" s="9">
        <v>513.84</v>
      </c>
      <c r="L107" s="9">
        <v>706.53</v>
      </c>
      <c r="M107" s="9">
        <v>578.07</v>
      </c>
      <c r="N107" s="15">
        <f t="shared" si="1"/>
        <v>7001.05</v>
      </c>
    </row>
    <row r="108" ht="45" customHeight="1" spans="1:14">
      <c r="A108" s="4">
        <v>77</v>
      </c>
      <c r="B108" s="4" t="s">
        <v>1011</v>
      </c>
      <c r="C108" s="4" t="s">
        <v>45</v>
      </c>
      <c r="D108" s="8" t="s">
        <v>1012</v>
      </c>
      <c r="E108" s="4" t="s">
        <v>47</v>
      </c>
      <c r="F108" s="4">
        <v>1605.66</v>
      </c>
      <c r="G108" s="9">
        <v>3358.63</v>
      </c>
      <c r="H108" s="9">
        <v>883.85</v>
      </c>
      <c r="I108" s="9">
        <v>441.92</v>
      </c>
      <c r="J108" s="9">
        <v>2474.78</v>
      </c>
      <c r="K108" s="9">
        <v>707.08</v>
      </c>
      <c r="L108" s="9">
        <v>972.23</v>
      </c>
      <c r="M108" s="9">
        <v>795.46</v>
      </c>
      <c r="N108" s="15">
        <f t="shared" si="1"/>
        <v>9633.95</v>
      </c>
    </row>
    <row r="109" ht="45" customHeight="1" spans="1:14">
      <c r="A109" s="4">
        <v>78</v>
      </c>
      <c r="B109" s="4" t="s">
        <v>1013</v>
      </c>
      <c r="C109" s="4" t="s">
        <v>45</v>
      </c>
      <c r="D109" s="8" t="s">
        <v>1014</v>
      </c>
      <c r="E109" s="4" t="s">
        <v>47</v>
      </c>
      <c r="F109" s="4">
        <v>78.77</v>
      </c>
      <c r="G109" s="9">
        <v>164.77</v>
      </c>
      <c r="H109" s="9">
        <v>43.36</v>
      </c>
      <c r="I109" s="9">
        <v>21.68</v>
      </c>
      <c r="J109" s="9">
        <v>121.41</v>
      </c>
      <c r="K109" s="9">
        <v>34.69</v>
      </c>
      <c r="L109" s="9">
        <v>47.7</v>
      </c>
      <c r="M109" s="9">
        <v>39.02</v>
      </c>
      <c r="N109" s="15">
        <f t="shared" si="1"/>
        <v>472.63</v>
      </c>
    </row>
    <row r="110" ht="45" customHeight="1" spans="1:14">
      <c r="A110" s="4">
        <v>79</v>
      </c>
      <c r="B110" s="4" t="s">
        <v>1015</v>
      </c>
      <c r="C110" s="4" t="s">
        <v>45</v>
      </c>
      <c r="D110" s="8" t="s">
        <v>1016</v>
      </c>
      <c r="E110" s="4" t="s">
        <v>47</v>
      </c>
      <c r="F110" s="4">
        <v>10.2</v>
      </c>
      <c r="G110" s="9">
        <v>21.34</v>
      </c>
      <c r="H110" s="9">
        <v>5.61</v>
      </c>
      <c r="I110" s="9">
        <v>2.81</v>
      </c>
      <c r="J110" s="9">
        <v>15.72</v>
      </c>
      <c r="K110" s="9">
        <v>4.49</v>
      </c>
      <c r="L110" s="9">
        <v>6.18</v>
      </c>
      <c r="M110" s="9">
        <v>5.05</v>
      </c>
      <c r="N110" s="15">
        <f t="shared" si="1"/>
        <v>61.2</v>
      </c>
    </row>
    <row r="111" ht="25" customHeight="1" spans="1:14">
      <c r="A111" s="11" t="s">
        <v>50</v>
      </c>
      <c r="B111" s="12"/>
      <c r="C111" s="11"/>
      <c r="D111" s="13"/>
      <c r="E111" s="12"/>
      <c r="F111" s="11"/>
      <c r="G111" s="14"/>
      <c r="H111" s="14"/>
      <c r="I111" s="14"/>
      <c r="J111" s="14"/>
      <c r="K111" s="14"/>
      <c r="L111" s="14"/>
      <c r="M111" s="14"/>
      <c r="N111" s="14">
        <f>SUM(N107:N110)</f>
        <v>17168.83</v>
      </c>
    </row>
    <row r="112" ht="45" customHeight="1" spans="1:14">
      <c r="A112" s="4">
        <v>80</v>
      </c>
      <c r="B112" s="4" t="s">
        <v>1017</v>
      </c>
      <c r="C112" s="4" t="s">
        <v>45</v>
      </c>
      <c r="D112" s="8" t="s">
        <v>1018</v>
      </c>
      <c r="E112" s="4" t="s">
        <v>47</v>
      </c>
      <c r="F112" s="4">
        <v>78.77</v>
      </c>
      <c r="G112" s="9">
        <v>164.77</v>
      </c>
      <c r="H112" s="9">
        <v>43.36</v>
      </c>
      <c r="I112" s="9">
        <v>21.68</v>
      </c>
      <c r="J112" s="9">
        <v>121.41</v>
      </c>
      <c r="K112" s="9">
        <v>34.69</v>
      </c>
      <c r="L112" s="9">
        <v>47.7</v>
      </c>
      <c r="M112" s="9">
        <v>39.02</v>
      </c>
      <c r="N112" s="15">
        <f t="shared" si="1"/>
        <v>472.63</v>
      </c>
    </row>
    <row r="113" ht="45" customHeight="1" spans="1:14">
      <c r="A113" s="4">
        <v>81</v>
      </c>
      <c r="B113" s="4" t="s">
        <v>1019</v>
      </c>
      <c r="C113" s="4" t="s">
        <v>45</v>
      </c>
      <c r="D113" s="8" t="s">
        <v>1020</v>
      </c>
      <c r="E113" s="4" t="s">
        <v>47</v>
      </c>
      <c r="F113" s="4">
        <v>10.2</v>
      </c>
      <c r="G113" s="9">
        <v>21.34</v>
      </c>
      <c r="H113" s="9">
        <v>5.61</v>
      </c>
      <c r="I113" s="9">
        <v>2.81</v>
      </c>
      <c r="J113" s="9">
        <v>15.72</v>
      </c>
      <c r="K113" s="9">
        <v>4.49</v>
      </c>
      <c r="L113" s="9">
        <v>6.18</v>
      </c>
      <c r="M113" s="9">
        <v>5.05</v>
      </c>
      <c r="N113" s="15">
        <f t="shared" si="1"/>
        <v>61.2</v>
      </c>
    </row>
    <row r="114" ht="45" customHeight="1" spans="1:14">
      <c r="A114" s="4">
        <v>82</v>
      </c>
      <c r="B114" s="4" t="s">
        <v>1021</v>
      </c>
      <c r="C114" s="4" t="s">
        <v>110</v>
      </c>
      <c r="D114" s="8" t="s">
        <v>422</v>
      </c>
      <c r="E114" s="4" t="s">
        <v>47</v>
      </c>
      <c r="F114" s="4">
        <v>1169</v>
      </c>
      <c r="G114" s="9">
        <v>1222.62</v>
      </c>
      <c r="H114" s="9">
        <v>321.74</v>
      </c>
      <c r="I114" s="9">
        <v>160.87</v>
      </c>
      <c r="J114" s="9">
        <v>900.88</v>
      </c>
      <c r="K114" s="9">
        <v>257.39</v>
      </c>
      <c r="L114" s="9">
        <v>353.92</v>
      </c>
      <c r="M114" s="9">
        <v>289.57</v>
      </c>
      <c r="N114" s="15">
        <f t="shared" si="1"/>
        <v>3506.99</v>
      </c>
    </row>
    <row r="115" ht="45" customHeight="1" spans="1:14">
      <c r="A115" s="4">
        <v>83</v>
      </c>
      <c r="B115" s="4" t="s">
        <v>1022</v>
      </c>
      <c r="C115" s="4" t="s">
        <v>110</v>
      </c>
      <c r="D115" s="8" t="s">
        <v>424</v>
      </c>
      <c r="E115" s="4" t="s">
        <v>47</v>
      </c>
      <c r="F115" s="4">
        <v>125.3</v>
      </c>
      <c r="G115" s="9">
        <v>131.05</v>
      </c>
      <c r="H115" s="9">
        <v>34.49</v>
      </c>
      <c r="I115" s="9">
        <v>17.24</v>
      </c>
      <c r="J115" s="9">
        <v>96.56</v>
      </c>
      <c r="K115" s="9">
        <v>27.59</v>
      </c>
      <c r="L115" s="9">
        <v>37.93</v>
      </c>
      <c r="M115" s="9">
        <v>31.04</v>
      </c>
      <c r="N115" s="15">
        <f t="shared" si="1"/>
        <v>375.9</v>
      </c>
    </row>
    <row r="116" ht="45" customHeight="1" spans="1:14">
      <c r="A116" s="4">
        <v>84</v>
      </c>
      <c r="B116" s="4" t="s">
        <v>1023</v>
      </c>
      <c r="C116" s="4" t="s">
        <v>95</v>
      </c>
      <c r="D116" s="8" t="s">
        <v>1001</v>
      </c>
      <c r="E116" s="4" t="s">
        <v>47</v>
      </c>
      <c r="F116" s="4">
        <v>140</v>
      </c>
      <c r="G116" s="9">
        <v>146.42</v>
      </c>
      <c r="H116" s="9">
        <v>38.53</v>
      </c>
      <c r="I116" s="9">
        <v>19.27</v>
      </c>
      <c r="J116" s="9">
        <v>107.89</v>
      </c>
      <c r="K116" s="9">
        <v>30.83</v>
      </c>
      <c r="L116" s="9">
        <v>42.39</v>
      </c>
      <c r="M116" s="9">
        <v>34.68</v>
      </c>
      <c r="N116" s="15">
        <f t="shared" si="1"/>
        <v>420.01</v>
      </c>
    </row>
    <row r="117" ht="25" customHeight="1" spans="1:14">
      <c r="A117" s="11" t="s">
        <v>50</v>
      </c>
      <c r="B117" s="12"/>
      <c r="C117" s="11"/>
      <c r="D117" s="13"/>
      <c r="E117" s="12"/>
      <c r="F117" s="11"/>
      <c r="G117" s="14"/>
      <c r="H117" s="14"/>
      <c r="I117" s="14"/>
      <c r="J117" s="14"/>
      <c r="K117" s="14"/>
      <c r="L117" s="14"/>
      <c r="M117" s="14"/>
      <c r="N117" s="14">
        <f>SUM(N112:N116)</f>
        <v>4836.73</v>
      </c>
    </row>
    <row r="118" ht="45" customHeight="1" spans="1:14">
      <c r="A118" s="4">
        <v>85</v>
      </c>
      <c r="B118" s="4" t="s">
        <v>1024</v>
      </c>
      <c r="C118" s="4" t="s">
        <v>123</v>
      </c>
      <c r="D118" s="8" t="s">
        <v>124</v>
      </c>
      <c r="E118" s="4" t="s">
        <v>125</v>
      </c>
      <c r="F118" s="4">
        <v>31</v>
      </c>
      <c r="G118" s="9">
        <v>86.46</v>
      </c>
      <c r="H118" s="9">
        <v>22.75</v>
      </c>
      <c r="I118" s="9">
        <v>11.38</v>
      </c>
      <c r="J118" s="9">
        <v>63.71</v>
      </c>
      <c r="K118" s="9">
        <v>18.2</v>
      </c>
      <c r="L118" s="9">
        <v>25.03</v>
      </c>
      <c r="M118" s="9">
        <v>20.48</v>
      </c>
      <c r="N118" s="15">
        <f t="shared" si="1"/>
        <v>248.01</v>
      </c>
    </row>
    <row r="119" ht="45" customHeight="1" spans="1:14">
      <c r="A119" s="4">
        <v>86</v>
      </c>
      <c r="B119" s="4" t="s">
        <v>1025</v>
      </c>
      <c r="C119" s="4" t="s">
        <v>60</v>
      </c>
      <c r="D119" s="8" t="s">
        <v>131</v>
      </c>
      <c r="E119" s="4" t="s">
        <v>62</v>
      </c>
      <c r="F119" s="4">
        <v>1</v>
      </c>
      <c r="G119" s="9">
        <v>2091.74</v>
      </c>
      <c r="H119" s="9">
        <v>550.46</v>
      </c>
      <c r="I119" s="9">
        <v>275.23</v>
      </c>
      <c r="J119" s="9">
        <v>1541.28</v>
      </c>
      <c r="K119" s="9">
        <v>440.37</v>
      </c>
      <c r="L119" s="9">
        <v>605.5</v>
      </c>
      <c r="M119" s="9">
        <v>495.41</v>
      </c>
      <c r="N119" s="15">
        <f t="shared" si="1"/>
        <v>5999.99</v>
      </c>
    </row>
    <row r="120" ht="45" customHeight="1" spans="1:14">
      <c r="A120" s="4">
        <v>87</v>
      </c>
      <c r="B120" s="4" t="s">
        <v>1026</v>
      </c>
      <c r="C120" s="4" t="s">
        <v>64</v>
      </c>
      <c r="D120" s="8" t="s">
        <v>353</v>
      </c>
      <c r="E120" s="4" t="s">
        <v>66</v>
      </c>
      <c r="F120" s="4">
        <v>1</v>
      </c>
      <c r="G120" s="9">
        <v>697.25</v>
      </c>
      <c r="H120" s="9">
        <v>183.49</v>
      </c>
      <c r="I120" s="9">
        <v>91.74</v>
      </c>
      <c r="J120" s="9">
        <v>513.76</v>
      </c>
      <c r="K120" s="9">
        <v>146.79</v>
      </c>
      <c r="L120" s="9">
        <v>201.83</v>
      </c>
      <c r="M120" s="9">
        <v>165.14</v>
      </c>
      <c r="N120" s="15">
        <f t="shared" si="1"/>
        <v>2000</v>
      </c>
    </row>
    <row r="121" ht="45" customHeight="1" spans="1:14">
      <c r="A121" s="4">
        <v>88</v>
      </c>
      <c r="B121" s="4" t="s">
        <v>1027</v>
      </c>
      <c r="C121" s="4" t="s">
        <v>546</v>
      </c>
      <c r="D121" s="8" t="s">
        <v>547</v>
      </c>
      <c r="E121" s="4" t="s">
        <v>66</v>
      </c>
      <c r="F121" s="4">
        <v>1</v>
      </c>
      <c r="G121" s="9">
        <v>348.62</v>
      </c>
      <c r="H121" s="9">
        <v>91.74</v>
      </c>
      <c r="I121" s="9">
        <v>45.87</v>
      </c>
      <c r="J121" s="9">
        <v>256.88</v>
      </c>
      <c r="K121" s="9">
        <v>73.39</v>
      </c>
      <c r="L121" s="9">
        <v>100.92</v>
      </c>
      <c r="M121" s="9">
        <v>82.57</v>
      </c>
      <c r="N121" s="15">
        <f t="shared" si="1"/>
        <v>999.99</v>
      </c>
    </row>
    <row r="122" ht="45" customHeight="1" spans="1:14">
      <c r="A122" s="4">
        <v>89</v>
      </c>
      <c r="B122" s="4" t="s">
        <v>1028</v>
      </c>
      <c r="C122" s="4" t="s">
        <v>549</v>
      </c>
      <c r="D122" s="8" t="s">
        <v>550</v>
      </c>
      <c r="E122" s="4" t="s">
        <v>66</v>
      </c>
      <c r="F122" s="4">
        <v>1</v>
      </c>
      <c r="G122" s="9">
        <v>348.62</v>
      </c>
      <c r="H122" s="9">
        <v>91.74</v>
      </c>
      <c r="I122" s="9">
        <v>45.87</v>
      </c>
      <c r="J122" s="9">
        <v>256.88</v>
      </c>
      <c r="K122" s="9">
        <v>73.39</v>
      </c>
      <c r="L122" s="9">
        <v>100.92</v>
      </c>
      <c r="M122" s="9">
        <v>82.57</v>
      </c>
      <c r="N122" s="15">
        <f t="shared" si="1"/>
        <v>999.99</v>
      </c>
    </row>
    <row r="123" ht="25" customHeight="1" spans="1:14">
      <c r="A123" s="11" t="s">
        <v>50</v>
      </c>
      <c r="B123" s="12"/>
      <c r="C123" s="11"/>
      <c r="D123" s="13"/>
      <c r="E123" s="12"/>
      <c r="F123" s="11"/>
      <c r="G123" s="14"/>
      <c r="H123" s="14"/>
      <c r="I123" s="14"/>
      <c r="J123" s="14"/>
      <c r="K123" s="14"/>
      <c r="L123" s="14"/>
      <c r="M123" s="14"/>
      <c r="N123" s="14">
        <f>SUM(N118:N122)</f>
        <v>10247.98</v>
      </c>
    </row>
    <row r="124" ht="25" customHeight="1" spans="1:14">
      <c r="A124" s="4" t="s">
        <v>188</v>
      </c>
      <c r="B124" s="4"/>
      <c r="C124" s="4"/>
      <c r="D124" s="8"/>
      <c r="E124" s="4"/>
      <c r="F124" s="4"/>
      <c r="G124" s="9"/>
      <c r="H124" s="9"/>
      <c r="I124" s="9"/>
      <c r="J124" s="9"/>
      <c r="K124" s="9"/>
      <c r="L124" s="9"/>
      <c r="M124" s="9"/>
      <c r="N124" s="16">
        <f>N7+N10+N13+N15+N17+N19+N24+N29+N32+N35+N38+N41+N44+N47+N50+N53+N57+N61+N66+N71+N76+N80+N85+N90+N95+N101+N106+N111+N117+N123</f>
        <v>496864.288</v>
      </c>
    </row>
  </sheetData>
  <autoFilter xmlns:etc="http://www.wps.cn/officeDocument/2017/etCustomData" ref="A4:N124" etc:filterBottomFollowUsedRange="0">
    <extLst/>
  </autoFilter>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509"/>
  <sheetViews>
    <sheetView zoomScale="70" zoomScaleNormal="70" topLeftCell="A501" workbookViewId="0">
      <selection activeCell="I512" sqref="I512"/>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2.6283185840708" style="1"/>
    <col min="15" max="15" width="10.3716814159292"/>
  </cols>
  <sheetData>
    <row r="1" customFormat="1" ht="30" customHeight="1" spans="1:14">
      <c r="A1" s="2" t="s">
        <v>27</v>
      </c>
      <c r="B1" s="2"/>
      <c r="C1" s="2"/>
      <c r="D1" s="2"/>
      <c r="E1" s="2"/>
      <c r="F1" s="2"/>
      <c r="G1" s="2"/>
      <c r="H1" s="2"/>
      <c r="I1" s="2"/>
      <c r="J1" s="2"/>
      <c r="K1" s="2"/>
      <c r="L1" s="2"/>
      <c r="M1" s="2"/>
      <c r="N1" s="26"/>
    </row>
    <row r="2" customFormat="1" ht="25" customHeight="1" spans="1:14">
      <c r="A2" s="4" t="s">
        <v>27</v>
      </c>
      <c r="B2" s="4"/>
      <c r="C2" s="4"/>
      <c r="D2" s="4"/>
      <c r="E2" s="4"/>
      <c r="F2" s="4"/>
      <c r="G2" s="4"/>
      <c r="H2" s="4"/>
      <c r="I2" s="4"/>
      <c r="J2" s="4"/>
      <c r="K2" s="4"/>
      <c r="L2" s="4"/>
      <c r="M2" s="4"/>
      <c r="N2" s="5"/>
    </row>
    <row r="3" customFormat="1" ht="25" customHeight="1" spans="1:14">
      <c r="A3" s="6" t="s">
        <v>1</v>
      </c>
      <c r="B3" s="6" t="s">
        <v>31</v>
      </c>
      <c r="C3" s="6" t="s">
        <v>32</v>
      </c>
      <c r="D3" s="6" t="s">
        <v>33</v>
      </c>
      <c r="E3" s="6" t="s">
        <v>34</v>
      </c>
      <c r="F3" s="6" t="s">
        <v>35</v>
      </c>
      <c r="G3" s="6" t="s">
        <v>3</v>
      </c>
      <c r="H3" s="6"/>
      <c r="I3" s="6"/>
      <c r="J3" s="6"/>
      <c r="K3" s="6"/>
      <c r="L3" s="6"/>
      <c r="M3" s="6"/>
      <c r="N3" s="19"/>
    </row>
    <row r="4" customFormat="1" ht="25" customHeight="1" spans="1:14">
      <c r="A4" s="7"/>
      <c r="B4" s="7"/>
      <c r="C4" s="7"/>
      <c r="D4" s="7"/>
      <c r="E4" s="7"/>
      <c r="F4" s="7"/>
      <c r="G4" s="6" t="s">
        <v>36</v>
      </c>
      <c r="H4" s="6" t="s">
        <v>37</v>
      </c>
      <c r="I4" s="6" t="s">
        <v>38</v>
      </c>
      <c r="J4" s="6" t="s">
        <v>39</v>
      </c>
      <c r="K4" s="6" t="s">
        <v>40</v>
      </c>
      <c r="L4" s="6" t="s">
        <v>41</v>
      </c>
      <c r="M4" s="6" t="s">
        <v>42</v>
      </c>
      <c r="N4" s="6" t="s">
        <v>43</v>
      </c>
    </row>
    <row r="5" s="20" customFormat="1" ht="62" customHeight="1" spans="1:14">
      <c r="A5" s="21">
        <v>1</v>
      </c>
      <c r="B5" s="21" t="s">
        <v>1029</v>
      </c>
      <c r="C5" s="21" t="s">
        <v>1030</v>
      </c>
      <c r="D5" s="22" t="s">
        <v>1031</v>
      </c>
      <c r="E5" s="21" t="s">
        <v>1032</v>
      </c>
      <c r="F5" s="27">
        <v>25.99</v>
      </c>
      <c r="G5" s="23">
        <v>119773.367</v>
      </c>
      <c r="H5" s="23">
        <v>4606.665</v>
      </c>
      <c r="I5" s="23">
        <v>1535.555</v>
      </c>
      <c r="J5" s="23">
        <v>6142.227</v>
      </c>
      <c r="K5" s="23">
        <v>4606.665</v>
      </c>
      <c r="L5" s="23">
        <v>16891.119</v>
      </c>
      <c r="M5" s="23">
        <v>13820.002</v>
      </c>
      <c r="N5" s="28">
        <f>SUM(G5:M5)</f>
        <v>167375.6</v>
      </c>
    </row>
    <row r="6" s="20" customFormat="1" ht="117" customHeight="1" spans="1:14">
      <c r="A6" s="21">
        <v>2</v>
      </c>
      <c r="B6" s="21" t="s">
        <v>1033</v>
      </c>
      <c r="C6" s="21" t="s">
        <v>1034</v>
      </c>
      <c r="D6" s="22" t="s">
        <v>1035</v>
      </c>
      <c r="E6" s="21" t="s">
        <v>55</v>
      </c>
      <c r="F6" s="27">
        <v>2</v>
      </c>
      <c r="G6" s="23">
        <v>5103.856</v>
      </c>
      <c r="H6" s="23">
        <v>1343.12</v>
      </c>
      <c r="I6" s="23">
        <v>671.56</v>
      </c>
      <c r="J6" s="23">
        <v>3760.736</v>
      </c>
      <c r="K6" s="23">
        <v>1074.496</v>
      </c>
      <c r="L6" s="23">
        <v>1477.432</v>
      </c>
      <c r="M6" s="23">
        <v>1208.808</v>
      </c>
      <c r="N6" s="28">
        <f>SUM(G6:M6)</f>
        <v>14640.008</v>
      </c>
    </row>
    <row r="7" customFormat="1" ht="25" customHeight="1" spans="1:14">
      <c r="A7" s="11" t="s">
        <v>50</v>
      </c>
      <c r="B7" s="12"/>
      <c r="C7" s="11"/>
      <c r="D7" s="13"/>
      <c r="E7" s="12"/>
      <c r="F7" s="11"/>
      <c r="G7" s="14"/>
      <c r="H7" s="14"/>
      <c r="I7" s="14"/>
      <c r="J7" s="14"/>
      <c r="K7" s="14"/>
      <c r="L7" s="14"/>
      <c r="M7" s="14"/>
      <c r="N7" s="14">
        <f>SUM(N5:N6)</f>
        <v>182015.608</v>
      </c>
    </row>
    <row r="8" s="20" customFormat="1" ht="74" customHeight="1" spans="1:14">
      <c r="A8" s="21">
        <v>3</v>
      </c>
      <c r="B8" s="21" t="s">
        <v>1036</v>
      </c>
      <c r="C8" s="21" t="s">
        <v>1037</v>
      </c>
      <c r="D8" s="22" t="s">
        <v>1038</v>
      </c>
      <c r="E8" s="21" t="s">
        <v>55</v>
      </c>
      <c r="F8" s="27">
        <v>2</v>
      </c>
      <c r="G8" s="23">
        <v>3241.104</v>
      </c>
      <c r="H8" s="23">
        <v>270.088</v>
      </c>
      <c r="I8" s="23">
        <v>108.04</v>
      </c>
      <c r="J8" s="23">
        <v>810.272</v>
      </c>
      <c r="K8" s="23">
        <v>378.128</v>
      </c>
      <c r="L8" s="23">
        <v>594.2</v>
      </c>
      <c r="M8" s="23">
        <v>486.168</v>
      </c>
      <c r="N8" s="29">
        <f>SUM(G8:M8)</f>
        <v>5888</v>
      </c>
    </row>
    <row r="9" s="20" customFormat="1" ht="85" customHeight="1" spans="1:14">
      <c r="A9" s="21">
        <v>4</v>
      </c>
      <c r="B9" s="21" t="s">
        <v>1039</v>
      </c>
      <c r="C9" s="21" t="s">
        <v>1040</v>
      </c>
      <c r="D9" s="22" t="s">
        <v>1041</v>
      </c>
      <c r="E9" s="21" t="s">
        <v>55</v>
      </c>
      <c r="F9" s="27">
        <v>2</v>
      </c>
      <c r="G9" s="23">
        <v>1726.242</v>
      </c>
      <c r="H9" s="23">
        <v>143.85</v>
      </c>
      <c r="I9" s="23">
        <v>57.54</v>
      </c>
      <c r="J9" s="23">
        <v>431.557</v>
      </c>
      <c r="K9" s="23">
        <v>201.397</v>
      </c>
      <c r="L9" s="23">
        <v>316.477</v>
      </c>
      <c r="M9" s="23">
        <v>258.937</v>
      </c>
      <c r="N9" s="29">
        <f>SUM(G9:M9)</f>
        <v>3136</v>
      </c>
    </row>
    <row r="10" customFormat="1" ht="25" customHeight="1" spans="1:14">
      <c r="A10" s="11" t="s">
        <v>50</v>
      </c>
      <c r="B10" s="12"/>
      <c r="C10" s="11"/>
      <c r="D10" s="13"/>
      <c r="E10" s="12"/>
      <c r="F10" s="11"/>
      <c r="G10" s="14"/>
      <c r="H10" s="14"/>
      <c r="I10" s="14"/>
      <c r="J10" s="14"/>
      <c r="K10" s="14"/>
      <c r="L10" s="14"/>
      <c r="M10" s="14"/>
      <c r="N10" s="14">
        <f>SUM(N8:N9)</f>
        <v>9024</v>
      </c>
    </row>
    <row r="11" s="20" customFormat="1" ht="92" customHeight="1" spans="1:14">
      <c r="A11" s="21">
        <v>5</v>
      </c>
      <c r="B11" s="21" t="s">
        <v>1042</v>
      </c>
      <c r="C11" s="21" t="s">
        <v>1043</v>
      </c>
      <c r="D11" s="22" t="s">
        <v>1044</v>
      </c>
      <c r="E11" s="21" t="s">
        <v>55</v>
      </c>
      <c r="F11" s="27">
        <v>8</v>
      </c>
      <c r="G11" s="23">
        <v>2015.12</v>
      </c>
      <c r="H11" s="23">
        <v>167.928</v>
      </c>
      <c r="I11" s="23">
        <v>67.168</v>
      </c>
      <c r="J11" s="23">
        <v>503.776</v>
      </c>
      <c r="K11" s="23">
        <v>235.096</v>
      </c>
      <c r="L11" s="23">
        <v>369.44</v>
      </c>
      <c r="M11" s="23">
        <v>302.264</v>
      </c>
      <c r="N11" s="29">
        <f>SUM(G11:M11)</f>
        <v>3660.792</v>
      </c>
    </row>
    <row r="12" s="20" customFormat="1" ht="102" customHeight="1" spans="1:14">
      <c r="A12" s="21">
        <v>6</v>
      </c>
      <c r="B12" s="21" t="s">
        <v>1045</v>
      </c>
      <c r="C12" s="21" t="s">
        <v>1046</v>
      </c>
      <c r="D12" s="22" t="s">
        <v>1047</v>
      </c>
      <c r="E12" s="21" t="s">
        <v>55</v>
      </c>
      <c r="F12" s="27">
        <v>1</v>
      </c>
      <c r="G12" s="23">
        <v>3077.634</v>
      </c>
      <c r="H12" s="23">
        <v>118.37</v>
      </c>
      <c r="I12" s="23">
        <v>39.459</v>
      </c>
      <c r="J12" s="23">
        <v>157.829</v>
      </c>
      <c r="K12" s="23">
        <v>118.37</v>
      </c>
      <c r="L12" s="23">
        <v>434.028</v>
      </c>
      <c r="M12" s="23">
        <v>355.11</v>
      </c>
      <c r="N12" s="29">
        <f>SUM(G12:M12)</f>
        <v>4300.8</v>
      </c>
    </row>
    <row r="13" customFormat="1" ht="25" customHeight="1" spans="1:14">
      <c r="A13" s="11" t="s">
        <v>50</v>
      </c>
      <c r="B13" s="12"/>
      <c r="C13" s="11"/>
      <c r="D13" s="13"/>
      <c r="E13" s="12"/>
      <c r="F13" s="11"/>
      <c r="G13" s="14"/>
      <c r="H13" s="14"/>
      <c r="I13" s="14"/>
      <c r="J13" s="14"/>
      <c r="K13" s="14"/>
      <c r="L13" s="14"/>
      <c r="M13" s="14"/>
      <c r="N13" s="14">
        <f>SUM(N11:N12)</f>
        <v>7961.592</v>
      </c>
    </row>
    <row r="14" customFormat="1" ht="102" customHeight="1" spans="1:14">
      <c r="A14" s="4">
        <v>7</v>
      </c>
      <c r="B14" s="4" t="s">
        <v>1048</v>
      </c>
      <c r="C14" s="4" t="s">
        <v>1049</v>
      </c>
      <c r="D14" s="8" t="s">
        <v>1050</v>
      </c>
      <c r="E14" s="4" t="s">
        <v>55</v>
      </c>
      <c r="F14" s="4">
        <v>1</v>
      </c>
      <c r="G14" s="9">
        <v>2518.9</v>
      </c>
      <c r="H14" s="9">
        <v>96.88</v>
      </c>
      <c r="I14" s="9">
        <v>32.29</v>
      </c>
      <c r="J14" s="9">
        <v>129.17</v>
      </c>
      <c r="K14" s="9">
        <v>96.88</v>
      </c>
      <c r="L14" s="9">
        <v>355.23</v>
      </c>
      <c r="M14" s="9">
        <v>290.64</v>
      </c>
      <c r="N14" s="15">
        <f>SUM(G14:M14)</f>
        <v>3519.99</v>
      </c>
    </row>
    <row r="15" customFormat="1" ht="102" customHeight="1" spans="1:14">
      <c r="A15" s="4">
        <v>8</v>
      </c>
      <c r="B15" s="4" t="s">
        <v>1051</v>
      </c>
      <c r="C15" s="4" t="s">
        <v>1052</v>
      </c>
      <c r="D15" s="8" t="s">
        <v>1053</v>
      </c>
      <c r="E15" s="4" t="s">
        <v>55</v>
      </c>
      <c r="F15" s="4">
        <v>1</v>
      </c>
      <c r="G15" s="9">
        <v>3142.9</v>
      </c>
      <c r="H15" s="9">
        <v>120.88</v>
      </c>
      <c r="I15" s="9">
        <v>40.29</v>
      </c>
      <c r="J15" s="9">
        <v>161.17</v>
      </c>
      <c r="K15" s="9">
        <v>120.88</v>
      </c>
      <c r="L15" s="9">
        <v>443.23</v>
      </c>
      <c r="M15" s="9">
        <v>362.64</v>
      </c>
      <c r="N15" s="15">
        <f>SUM(G15:M15)</f>
        <v>4391.99</v>
      </c>
    </row>
    <row r="16" customFormat="1" ht="25" customHeight="1" spans="1:14">
      <c r="A16" s="11" t="s">
        <v>50</v>
      </c>
      <c r="B16" s="12"/>
      <c r="C16" s="11"/>
      <c r="D16" s="13"/>
      <c r="E16" s="12"/>
      <c r="F16" s="11"/>
      <c r="G16" s="14"/>
      <c r="H16" s="14"/>
      <c r="I16" s="14"/>
      <c r="J16" s="14"/>
      <c r="K16" s="14"/>
      <c r="L16" s="14"/>
      <c r="M16" s="14"/>
      <c r="N16" s="14">
        <f>SUM(N14:N15)</f>
        <v>7911.98</v>
      </c>
    </row>
    <row r="17" customFormat="1" ht="114" customHeight="1" spans="1:14">
      <c r="A17" s="4">
        <v>9</v>
      </c>
      <c r="B17" s="4" t="s">
        <v>1054</v>
      </c>
      <c r="C17" s="4" t="s">
        <v>1055</v>
      </c>
      <c r="D17" s="8" t="s">
        <v>1056</v>
      </c>
      <c r="E17" s="4" t="s">
        <v>55</v>
      </c>
      <c r="F17" s="4">
        <v>2</v>
      </c>
      <c r="G17" s="9">
        <v>6011.01</v>
      </c>
      <c r="H17" s="9">
        <v>231.19</v>
      </c>
      <c r="I17" s="9">
        <v>77.06</v>
      </c>
      <c r="J17" s="9">
        <v>308.26</v>
      </c>
      <c r="K17" s="9">
        <v>231.19</v>
      </c>
      <c r="L17" s="9">
        <v>847.71</v>
      </c>
      <c r="M17" s="9">
        <v>693.58</v>
      </c>
      <c r="N17" s="15">
        <f>SUM(G17:M17)</f>
        <v>8400</v>
      </c>
    </row>
    <row r="18" customFormat="1" ht="103" customHeight="1" spans="1:14">
      <c r="A18" s="4">
        <v>10</v>
      </c>
      <c r="B18" s="4" t="s">
        <v>1057</v>
      </c>
      <c r="C18" s="4" t="s">
        <v>1058</v>
      </c>
      <c r="D18" s="8" t="s">
        <v>1059</v>
      </c>
      <c r="E18" s="4" t="s">
        <v>55</v>
      </c>
      <c r="F18" s="4">
        <v>1</v>
      </c>
      <c r="G18" s="9">
        <v>12550.46</v>
      </c>
      <c r="H18" s="9">
        <v>1045.87</v>
      </c>
      <c r="I18" s="9">
        <v>418.35</v>
      </c>
      <c r="J18" s="9">
        <v>3137.61</v>
      </c>
      <c r="K18" s="9">
        <v>1464.22</v>
      </c>
      <c r="L18" s="9">
        <v>2300.92</v>
      </c>
      <c r="M18" s="9">
        <v>1882.57</v>
      </c>
      <c r="N18" s="15">
        <f>SUM(G18:M18)</f>
        <v>22800</v>
      </c>
    </row>
    <row r="19" customFormat="1" ht="25" customHeight="1" spans="1:14">
      <c r="A19" s="11" t="s">
        <v>50</v>
      </c>
      <c r="B19" s="12"/>
      <c r="C19" s="11"/>
      <c r="D19" s="13"/>
      <c r="E19" s="12"/>
      <c r="F19" s="11"/>
      <c r="G19" s="14"/>
      <c r="H19" s="14"/>
      <c r="I19" s="14"/>
      <c r="J19" s="14"/>
      <c r="K19" s="14"/>
      <c r="L19" s="14"/>
      <c r="M19" s="14"/>
      <c r="N19" s="14">
        <f>SUM(N17:N18)</f>
        <v>31200</v>
      </c>
    </row>
    <row r="20" customFormat="1" ht="60" customHeight="1" spans="1:14">
      <c r="A20" s="4">
        <v>11</v>
      </c>
      <c r="B20" s="4" t="s">
        <v>1060</v>
      </c>
      <c r="C20" s="4" t="s">
        <v>1061</v>
      </c>
      <c r="D20" s="8" t="s">
        <v>1062</v>
      </c>
      <c r="E20" s="4" t="s">
        <v>55</v>
      </c>
      <c r="F20" s="4">
        <v>1</v>
      </c>
      <c r="G20" s="9">
        <v>3514.13</v>
      </c>
      <c r="H20" s="9">
        <v>292.84</v>
      </c>
      <c r="I20" s="9">
        <v>117.14</v>
      </c>
      <c r="J20" s="9">
        <v>878.53</v>
      </c>
      <c r="K20" s="9">
        <v>409.98</v>
      </c>
      <c r="L20" s="9">
        <v>644.26</v>
      </c>
      <c r="M20" s="9">
        <v>527.12</v>
      </c>
      <c r="N20" s="15">
        <f>SUM(G20:M20)</f>
        <v>6384</v>
      </c>
    </row>
    <row r="21" customFormat="1" ht="91" customHeight="1" spans="1:14">
      <c r="A21" s="4">
        <v>12</v>
      </c>
      <c r="B21" s="4" t="s">
        <v>1063</v>
      </c>
      <c r="C21" s="4" t="s">
        <v>1064</v>
      </c>
      <c r="D21" s="8" t="s">
        <v>1065</v>
      </c>
      <c r="E21" s="4" t="s">
        <v>55</v>
      </c>
      <c r="F21" s="4">
        <v>2</v>
      </c>
      <c r="G21" s="9">
        <v>3153.03</v>
      </c>
      <c r="H21" s="9">
        <v>262.75</v>
      </c>
      <c r="I21" s="9">
        <v>105.1</v>
      </c>
      <c r="J21" s="9">
        <v>788.26</v>
      </c>
      <c r="K21" s="9">
        <v>367.85</v>
      </c>
      <c r="L21" s="9">
        <v>578.06</v>
      </c>
      <c r="M21" s="9">
        <v>472.95</v>
      </c>
      <c r="N21" s="15">
        <f>SUM(G21:M21)</f>
        <v>5728</v>
      </c>
    </row>
    <row r="22" customFormat="1" ht="25" customHeight="1" spans="1:14">
      <c r="A22" s="11" t="s">
        <v>50</v>
      </c>
      <c r="B22" s="12"/>
      <c r="C22" s="11"/>
      <c r="D22" s="13"/>
      <c r="E22" s="12"/>
      <c r="F22" s="11"/>
      <c r="G22" s="14"/>
      <c r="H22" s="14"/>
      <c r="I22" s="14"/>
      <c r="J22" s="14"/>
      <c r="K22" s="14"/>
      <c r="L22" s="14"/>
      <c r="M22" s="14"/>
      <c r="N22" s="14">
        <f>SUM(N20:N21)</f>
        <v>12112</v>
      </c>
    </row>
    <row r="23" customFormat="1" ht="83" customHeight="1" spans="1:14">
      <c r="A23" s="4">
        <v>13</v>
      </c>
      <c r="B23" s="4" t="s">
        <v>1066</v>
      </c>
      <c r="C23" s="4" t="s">
        <v>1067</v>
      </c>
      <c r="D23" s="8" t="s">
        <v>1068</v>
      </c>
      <c r="E23" s="4" t="s">
        <v>55</v>
      </c>
      <c r="F23" s="4">
        <v>4</v>
      </c>
      <c r="G23" s="9">
        <v>2289.91</v>
      </c>
      <c r="H23" s="9">
        <v>88.07</v>
      </c>
      <c r="I23" s="9">
        <v>29.36</v>
      </c>
      <c r="J23" s="9">
        <v>117.43</v>
      </c>
      <c r="K23" s="9">
        <v>88.07</v>
      </c>
      <c r="L23" s="9">
        <v>322.94</v>
      </c>
      <c r="M23" s="9">
        <v>264.22</v>
      </c>
      <c r="N23" s="15">
        <f>SUM(G23:M23)</f>
        <v>3200</v>
      </c>
    </row>
    <row r="24" customFormat="1" ht="83" customHeight="1" spans="1:14">
      <c r="A24" s="4">
        <v>14</v>
      </c>
      <c r="B24" s="4" t="s">
        <v>1069</v>
      </c>
      <c r="C24" s="4" t="s">
        <v>1070</v>
      </c>
      <c r="D24" s="8" t="s">
        <v>1071</v>
      </c>
      <c r="E24" s="4" t="s">
        <v>55</v>
      </c>
      <c r="F24" s="4">
        <v>2</v>
      </c>
      <c r="G24" s="9">
        <v>1007.56</v>
      </c>
      <c r="H24" s="9">
        <v>38.75</v>
      </c>
      <c r="I24" s="9">
        <v>12.92</v>
      </c>
      <c r="J24" s="9">
        <v>51.67</v>
      </c>
      <c r="K24" s="9">
        <v>38.75</v>
      </c>
      <c r="L24" s="9">
        <v>142.09</v>
      </c>
      <c r="M24" s="9">
        <v>116.26</v>
      </c>
      <c r="N24" s="15">
        <f>SUM(G24:M24)</f>
        <v>1408</v>
      </c>
    </row>
    <row r="25" customFormat="1" ht="25" customHeight="1" spans="1:14">
      <c r="A25" s="11" t="s">
        <v>50</v>
      </c>
      <c r="B25" s="12"/>
      <c r="C25" s="11"/>
      <c r="D25" s="13"/>
      <c r="E25" s="12"/>
      <c r="F25" s="11"/>
      <c r="G25" s="14"/>
      <c r="H25" s="14"/>
      <c r="I25" s="14"/>
      <c r="J25" s="14"/>
      <c r="K25" s="14"/>
      <c r="L25" s="14"/>
      <c r="M25" s="14"/>
      <c r="N25" s="14">
        <f>SUM(N23:N24)</f>
        <v>4608</v>
      </c>
    </row>
    <row r="26" customFormat="1" ht="66" customHeight="1" spans="1:14">
      <c r="A26" s="4">
        <v>15</v>
      </c>
      <c r="B26" s="4" t="s">
        <v>1072</v>
      </c>
      <c r="C26" s="4" t="s">
        <v>1073</v>
      </c>
      <c r="D26" s="8" t="s">
        <v>1074</v>
      </c>
      <c r="E26" s="4" t="s">
        <v>55</v>
      </c>
      <c r="F26" s="4">
        <v>6</v>
      </c>
      <c r="G26" s="9">
        <v>5152.29</v>
      </c>
      <c r="H26" s="9">
        <v>198.17</v>
      </c>
      <c r="I26" s="9">
        <v>66.06</v>
      </c>
      <c r="J26" s="9">
        <v>264.22</v>
      </c>
      <c r="K26" s="9">
        <v>198.17</v>
      </c>
      <c r="L26" s="9">
        <v>726.61</v>
      </c>
      <c r="M26" s="9">
        <v>594.5</v>
      </c>
      <c r="N26" s="15">
        <f>SUM(G26:M26)</f>
        <v>7200.02</v>
      </c>
    </row>
    <row r="27" customFormat="1" ht="60" customHeight="1" spans="1:14">
      <c r="A27" s="4">
        <v>16</v>
      </c>
      <c r="B27" s="4" t="s">
        <v>1075</v>
      </c>
      <c r="C27" s="4" t="s">
        <v>1076</v>
      </c>
      <c r="D27" s="8" t="s">
        <v>1077</v>
      </c>
      <c r="E27" s="4" t="s">
        <v>332</v>
      </c>
      <c r="F27" s="4">
        <v>2</v>
      </c>
      <c r="G27" s="9">
        <v>2404.4</v>
      </c>
      <c r="H27" s="9">
        <v>92.48</v>
      </c>
      <c r="I27" s="9">
        <v>30.83</v>
      </c>
      <c r="J27" s="9">
        <v>123.3</v>
      </c>
      <c r="K27" s="9">
        <v>92.48</v>
      </c>
      <c r="L27" s="9">
        <v>339.08</v>
      </c>
      <c r="M27" s="9">
        <v>277.43</v>
      </c>
      <c r="N27" s="15">
        <f>SUM(G27:M27)</f>
        <v>3360</v>
      </c>
    </row>
    <row r="28" customFormat="1" ht="60" customHeight="1" spans="1:14">
      <c r="A28" s="4">
        <v>17</v>
      </c>
      <c r="B28" s="4" t="s">
        <v>1078</v>
      </c>
      <c r="C28" s="4" t="s">
        <v>1079</v>
      </c>
      <c r="D28" s="8" t="s">
        <v>1080</v>
      </c>
      <c r="E28" s="4" t="s">
        <v>93</v>
      </c>
      <c r="F28" s="4">
        <v>2</v>
      </c>
      <c r="G28" s="9">
        <v>1211.01</v>
      </c>
      <c r="H28" s="9">
        <v>100.92</v>
      </c>
      <c r="I28" s="9">
        <v>40.37</v>
      </c>
      <c r="J28" s="9">
        <v>302.75</v>
      </c>
      <c r="K28" s="9">
        <v>141.28</v>
      </c>
      <c r="L28" s="9">
        <v>222.02</v>
      </c>
      <c r="M28" s="9">
        <v>181.65</v>
      </c>
      <c r="N28" s="15">
        <f>SUM(G28:M28)</f>
        <v>2200</v>
      </c>
    </row>
    <row r="29" customFormat="1" ht="25" customHeight="1" spans="1:14">
      <c r="A29" s="11" t="s">
        <v>50</v>
      </c>
      <c r="B29" s="12"/>
      <c r="C29" s="11"/>
      <c r="D29" s="13"/>
      <c r="E29" s="12"/>
      <c r="F29" s="11"/>
      <c r="G29" s="14"/>
      <c r="H29" s="14"/>
      <c r="I29" s="14"/>
      <c r="J29" s="14"/>
      <c r="K29" s="14"/>
      <c r="L29" s="14"/>
      <c r="M29" s="14"/>
      <c r="N29" s="14">
        <f>SUM(N26:N28)</f>
        <v>12760.02</v>
      </c>
    </row>
    <row r="30" customFormat="1" ht="87" customHeight="1" spans="1:14">
      <c r="A30" s="4">
        <v>18</v>
      </c>
      <c r="B30" s="4" t="s">
        <v>1081</v>
      </c>
      <c r="C30" s="4" t="s">
        <v>1082</v>
      </c>
      <c r="D30" s="8" t="s">
        <v>1083</v>
      </c>
      <c r="E30" s="4" t="s">
        <v>55</v>
      </c>
      <c r="F30" s="4">
        <v>1</v>
      </c>
      <c r="G30" s="9">
        <v>504.5</v>
      </c>
      <c r="H30" s="9">
        <v>19.4</v>
      </c>
      <c r="I30" s="9">
        <v>6.47</v>
      </c>
      <c r="J30" s="9">
        <v>25.87</v>
      </c>
      <c r="K30" s="9">
        <v>19.4</v>
      </c>
      <c r="L30" s="9">
        <v>71.15</v>
      </c>
      <c r="M30" s="9">
        <v>58.21</v>
      </c>
      <c r="N30" s="15">
        <f>SUM(G30:M30)</f>
        <v>705</v>
      </c>
    </row>
    <row r="31" customFormat="1" ht="71" customHeight="1" spans="1:14">
      <c r="A31" s="4">
        <v>19</v>
      </c>
      <c r="B31" s="4" t="s">
        <v>1084</v>
      </c>
      <c r="C31" s="4" t="s">
        <v>1085</v>
      </c>
      <c r="D31" s="8" t="s">
        <v>1086</v>
      </c>
      <c r="E31" s="4" t="s">
        <v>55</v>
      </c>
      <c r="F31" s="4">
        <v>1</v>
      </c>
      <c r="G31" s="9">
        <v>3518.445</v>
      </c>
      <c r="H31" s="9">
        <v>135.324</v>
      </c>
      <c r="I31" s="9">
        <v>45.108</v>
      </c>
      <c r="J31" s="9">
        <v>180.432</v>
      </c>
      <c r="K31" s="9">
        <v>135.324</v>
      </c>
      <c r="L31" s="9">
        <v>496.188</v>
      </c>
      <c r="M31" s="9">
        <v>405.972</v>
      </c>
      <c r="N31" s="15">
        <f>SUM(G31:M31)</f>
        <v>4916.793</v>
      </c>
    </row>
    <row r="32" customFormat="1" ht="35" customHeight="1" spans="1:14">
      <c r="A32" s="11" t="s">
        <v>50</v>
      </c>
      <c r="B32" s="12"/>
      <c r="C32" s="11"/>
      <c r="D32" s="13"/>
      <c r="E32" s="12"/>
      <c r="F32" s="11"/>
      <c r="G32" s="14"/>
      <c r="H32" s="14"/>
      <c r="I32" s="14"/>
      <c r="J32" s="14"/>
      <c r="K32" s="14"/>
      <c r="L32" s="14"/>
      <c r="M32" s="14"/>
      <c r="N32" s="14">
        <f>SUM(N30:N31)</f>
        <v>5621.793</v>
      </c>
    </row>
    <row r="33" s="25" customFormat="1" ht="103" customHeight="1" spans="1:14">
      <c r="A33" s="30">
        <v>20</v>
      </c>
      <c r="B33" s="30" t="s">
        <v>1087</v>
      </c>
      <c r="C33" s="30" t="s">
        <v>1088</v>
      </c>
      <c r="D33" s="31" t="s">
        <v>1089</v>
      </c>
      <c r="E33" s="30" t="s">
        <v>55</v>
      </c>
      <c r="F33" s="30">
        <v>5</v>
      </c>
      <c r="G33" s="32">
        <v>2244.109</v>
      </c>
      <c r="H33" s="32">
        <v>86.31</v>
      </c>
      <c r="I33" s="32">
        <v>28.77</v>
      </c>
      <c r="J33" s="32">
        <v>115.08</v>
      </c>
      <c r="K33" s="32">
        <v>86.31</v>
      </c>
      <c r="L33" s="32">
        <v>316.477</v>
      </c>
      <c r="M33" s="32">
        <v>258.937</v>
      </c>
      <c r="N33" s="33">
        <f>SUM(G33:M33)</f>
        <v>3135.993</v>
      </c>
    </row>
    <row r="34" s="25" customFormat="1" ht="137" customHeight="1" spans="1:14">
      <c r="A34" s="30">
        <v>21</v>
      </c>
      <c r="B34" s="30" t="s">
        <v>1090</v>
      </c>
      <c r="C34" s="30" t="s">
        <v>1091</v>
      </c>
      <c r="D34" s="31" t="s">
        <v>1092</v>
      </c>
      <c r="E34" s="30" t="s">
        <v>1032</v>
      </c>
      <c r="F34" s="30">
        <v>9.72</v>
      </c>
      <c r="G34" s="32">
        <v>29213.506</v>
      </c>
      <c r="H34" s="32">
        <v>1123.598</v>
      </c>
      <c r="I34" s="32">
        <v>374.535</v>
      </c>
      <c r="J34" s="32">
        <v>1498.126</v>
      </c>
      <c r="K34" s="32">
        <v>1123.598</v>
      </c>
      <c r="L34" s="32">
        <v>4119.85</v>
      </c>
      <c r="M34" s="32">
        <v>3370.787</v>
      </c>
      <c r="N34" s="33">
        <f>SUM(G34:M34)</f>
        <v>40824</v>
      </c>
    </row>
    <row r="35" customFormat="1" ht="25" customHeight="1" spans="1:14">
      <c r="A35" s="11" t="s">
        <v>50</v>
      </c>
      <c r="B35" s="12"/>
      <c r="C35" s="11"/>
      <c r="D35" s="13"/>
      <c r="E35" s="12"/>
      <c r="F35" s="11"/>
      <c r="G35" s="14"/>
      <c r="H35" s="14"/>
      <c r="I35" s="14"/>
      <c r="J35" s="14"/>
      <c r="K35" s="14"/>
      <c r="L35" s="14"/>
      <c r="M35" s="14"/>
      <c r="N35" s="14">
        <f>SUM(N33:N34)</f>
        <v>43959.993</v>
      </c>
    </row>
    <row r="36" customFormat="1" ht="60" customHeight="1" spans="1:14">
      <c r="A36" s="4">
        <v>22</v>
      </c>
      <c r="B36" s="4" t="s">
        <v>1093</v>
      </c>
      <c r="C36" s="4" t="s">
        <v>1094</v>
      </c>
      <c r="D36" s="8" t="s">
        <v>1095</v>
      </c>
      <c r="E36" s="4" t="s">
        <v>55</v>
      </c>
      <c r="F36" s="4">
        <v>1</v>
      </c>
      <c r="G36" s="9">
        <v>1981.65</v>
      </c>
      <c r="H36" s="9">
        <v>165.14</v>
      </c>
      <c r="I36" s="9">
        <v>66.06</v>
      </c>
      <c r="J36" s="9">
        <v>495.41</v>
      </c>
      <c r="K36" s="9">
        <v>231.19</v>
      </c>
      <c r="L36" s="9">
        <v>363.3</v>
      </c>
      <c r="M36" s="9">
        <v>297.25</v>
      </c>
      <c r="N36" s="15">
        <f>SUM(G36:M36)</f>
        <v>3600</v>
      </c>
    </row>
    <row r="37" customFormat="1" ht="60" customHeight="1" spans="1:14">
      <c r="A37" s="4">
        <v>23</v>
      </c>
      <c r="B37" s="4" t="s">
        <v>1096</v>
      </c>
      <c r="C37" s="4" t="s">
        <v>1097</v>
      </c>
      <c r="D37" s="8" t="s">
        <v>1098</v>
      </c>
      <c r="E37" s="4" t="s">
        <v>55</v>
      </c>
      <c r="F37" s="4">
        <v>1</v>
      </c>
      <c r="G37" s="9">
        <v>3721.1</v>
      </c>
      <c r="H37" s="9">
        <v>143.12</v>
      </c>
      <c r="I37" s="9">
        <v>47.71</v>
      </c>
      <c r="J37" s="9">
        <v>190.83</v>
      </c>
      <c r="K37" s="9">
        <v>143.12</v>
      </c>
      <c r="L37" s="9">
        <v>524.77</v>
      </c>
      <c r="M37" s="9">
        <v>429.36</v>
      </c>
      <c r="N37" s="15">
        <f>SUM(G37:M37)</f>
        <v>5200.01</v>
      </c>
    </row>
    <row r="38" customFormat="1" ht="73" customHeight="1" spans="1:14">
      <c r="A38" s="4">
        <v>24</v>
      </c>
      <c r="B38" s="4" t="s">
        <v>1099</v>
      </c>
      <c r="C38" s="4" t="s">
        <v>1100</v>
      </c>
      <c r="D38" s="8" t="s">
        <v>1101</v>
      </c>
      <c r="E38" s="4" t="s">
        <v>55</v>
      </c>
      <c r="F38" s="4">
        <v>2</v>
      </c>
      <c r="G38" s="9">
        <v>12165.14</v>
      </c>
      <c r="H38" s="9">
        <v>467.89</v>
      </c>
      <c r="I38" s="9">
        <v>155.96</v>
      </c>
      <c r="J38" s="9">
        <v>623.85</v>
      </c>
      <c r="K38" s="9">
        <v>467.89</v>
      </c>
      <c r="L38" s="9">
        <v>1715.6</v>
      </c>
      <c r="M38" s="9">
        <v>1403.67</v>
      </c>
      <c r="N38" s="15">
        <f>SUM(G38:M38)</f>
        <v>17000</v>
      </c>
    </row>
    <row r="39" customFormat="1" ht="25" customHeight="1" spans="1:14">
      <c r="A39" s="11" t="s">
        <v>50</v>
      </c>
      <c r="B39" s="12"/>
      <c r="C39" s="11"/>
      <c r="D39" s="13"/>
      <c r="E39" s="12"/>
      <c r="F39" s="11"/>
      <c r="G39" s="14"/>
      <c r="H39" s="14"/>
      <c r="I39" s="14"/>
      <c r="J39" s="14"/>
      <c r="K39" s="14"/>
      <c r="L39" s="14"/>
      <c r="M39" s="14"/>
      <c r="N39" s="14">
        <f>SUM(N36:N38)</f>
        <v>25800.01</v>
      </c>
    </row>
    <row r="40" s="20" customFormat="1" ht="108" customHeight="1" spans="1:14">
      <c r="A40" s="21">
        <v>25</v>
      </c>
      <c r="B40" s="21" t="s">
        <v>1102</v>
      </c>
      <c r="C40" s="21" t="s">
        <v>1103</v>
      </c>
      <c r="D40" s="22" t="s">
        <v>1104</v>
      </c>
      <c r="E40" s="21" t="s">
        <v>55</v>
      </c>
      <c r="F40" s="27">
        <v>1</v>
      </c>
      <c r="G40" s="23">
        <v>16888.072</v>
      </c>
      <c r="H40" s="23">
        <v>649.544</v>
      </c>
      <c r="I40" s="23">
        <v>216.512</v>
      </c>
      <c r="J40" s="23">
        <v>866.056</v>
      </c>
      <c r="K40" s="23">
        <v>649.544</v>
      </c>
      <c r="L40" s="23">
        <v>2381.648</v>
      </c>
      <c r="M40" s="23">
        <v>1948.624</v>
      </c>
      <c r="N40" s="29">
        <f>SUM(G40:M40)</f>
        <v>23600</v>
      </c>
    </row>
    <row r="41" customFormat="1" ht="76" customHeight="1" spans="1:14">
      <c r="A41" s="4">
        <v>26</v>
      </c>
      <c r="B41" s="4" t="s">
        <v>1105</v>
      </c>
      <c r="C41" s="4" t="s">
        <v>1106</v>
      </c>
      <c r="D41" s="8" t="s">
        <v>1107</v>
      </c>
      <c r="E41" s="4" t="s">
        <v>55</v>
      </c>
      <c r="F41" s="4">
        <v>2</v>
      </c>
      <c r="G41" s="9">
        <v>4007.34</v>
      </c>
      <c r="H41" s="9">
        <v>154.13</v>
      </c>
      <c r="I41" s="9">
        <v>51.38</v>
      </c>
      <c r="J41" s="9">
        <v>205.5</v>
      </c>
      <c r="K41" s="9">
        <v>154.13</v>
      </c>
      <c r="L41" s="9">
        <v>565.14</v>
      </c>
      <c r="M41" s="9">
        <v>462.39</v>
      </c>
      <c r="N41" s="15">
        <f>SUM(G41:M41)</f>
        <v>5600.01</v>
      </c>
    </row>
    <row r="42" customFormat="1" ht="25" customHeight="1" spans="1:14">
      <c r="A42" s="11" t="s">
        <v>50</v>
      </c>
      <c r="B42" s="12"/>
      <c r="C42" s="11"/>
      <c r="D42" s="13"/>
      <c r="E42" s="12"/>
      <c r="F42" s="11"/>
      <c r="G42" s="14"/>
      <c r="H42" s="14"/>
      <c r="I42" s="14"/>
      <c r="J42" s="14"/>
      <c r="K42" s="14"/>
      <c r="L42" s="14"/>
      <c r="M42" s="14"/>
      <c r="N42" s="14">
        <f>SUM(N40:N41)</f>
        <v>29200.01</v>
      </c>
    </row>
    <row r="43" customFormat="1" ht="64" customHeight="1" spans="1:14">
      <c r="A43" s="4">
        <v>27</v>
      </c>
      <c r="B43" s="4" t="s">
        <v>1108</v>
      </c>
      <c r="C43" s="4" t="s">
        <v>1109</v>
      </c>
      <c r="D43" s="8" t="s">
        <v>1110</v>
      </c>
      <c r="E43" s="4" t="s">
        <v>55</v>
      </c>
      <c r="F43" s="4">
        <v>1</v>
      </c>
      <c r="G43" s="9">
        <v>858.72</v>
      </c>
      <c r="H43" s="9">
        <v>33.03</v>
      </c>
      <c r="I43" s="9">
        <v>11.01</v>
      </c>
      <c r="J43" s="9">
        <v>44.04</v>
      </c>
      <c r="K43" s="9">
        <v>33.03</v>
      </c>
      <c r="L43" s="9">
        <v>121.1</v>
      </c>
      <c r="M43" s="9">
        <v>99.08</v>
      </c>
      <c r="N43" s="15">
        <f>SUM(G43:M43)</f>
        <v>1200.01</v>
      </c>
    </row>
    <row r="44" customFormat="1" ht="25" customHeight="1" spans="1:14">
      <c r="A44" s="11" t="s">
        <v>50</v>
      </c>
      <c r="B44" s="12"/>
      <c r="C44" s="11"/>
      <c r="D44" s="13"/>
      <c r="E44" s="12"/>
      <c r="F44" s="11"/>
      <c r="G44" s="14"/>
      <c r="H44" s="14"/>
      <c r="I44" s="14"/>
      <c r="J44" s="14"/>
      <c r="K44" s="14"/>
      <c r="L44" s="14"/>
      <c r="M44" s="14"/>
      <c r="N44" s="14">
        <f>N43</f>
        <v>1200.01</v>
      </c>
    </row>
    <row r="45" s="20" customFormat="1" ht="174" customHeight="1" spans="1:14">
      <c r="A45" s="21">
        <v>28</v>
      </c>
      <c r="B45" s="21" t="s">
        <v>1111</v>
      </c>
      <c r="C45" s="21" t="s">
        <v>1112</v>
      </c>
      <c r="D45" s="22" t="s">
        <v>1113</v>
      </c>
      <c r="E45" s="21" t="s">
        <v>55</v>
      </c>
      <c r="F45" s="21">
        <v>16</v>
      </c>
      <c r="G45" s="23">
        <v>33890.64</v>
      </c>
      <c r="H45" s="23">
        <v>1303.488</v>
      </c>
      <c r="I45" s="23">
        <v>434.496</v>
      </c>
      <c r="J45" s="23">
        <v>1737.984</v>
      </c>
      <c r="K45" s="23">
        <v>1303.488</v>
      </c>
      <c r="L45" s="23">
        <v>4779.448</v>
      </c>
      <c r="M45" s="23">
        <v>3910.456</v>
      </c>
      <c r="N45" s="23">
        <f>SUM(G45:M45)</f>
        <v>47360</v>
      </c>
    </row>
    <row r="46" customFormat="1" ht="25" customHeight="1" spans="1:14">
      <c r="A46" s="11" t="s">
        <v>50</v>
      </c>
      <c r="B46" s="12"/>
      <c r="C46" s="11"/>
      <c r="D46" s="13"/>
      <c r="E46" s="12"/>
      <c r="F46" s="11"/>
      <c r="G46" s="14"/>
      <c r="H46" s="14"/>
      <c r="I46" s="14"/>
      <c r="J46" s="14"/>
      <c r="K46" s="14"/>
      <c r="L46" s="14"/>
      <c r="M46" s="14"/>
      <c r="N46" s="14">
        <f>N45</f>
        <v>47360</v>
      </c>
    </row>
    <row r="47" s="20" customFormat="1" ht="174" customHeight="1" spans="1:14">
      <c r="A47" s="21">
        <v>29</v>
      </c>
      <c r="B47" s="21" t="s">
        <v>1114</v>
      </c>
      <c r="C47" s="21" t="s">
        <v>1115</v>
      </c>
      <c r="D47" s="22" t="s">
        <v>1116</v>
      </c>
      <c r="E47" s="21" t="s">
        <v>55</v>
      </c>
      <c r="F47" s="21">
        <v>20</v>
      </c>
      <c r="G47" s="23">
        <v>42363.3</v>
      </c>
      <c r="H47" s="23">
        <v>1629.36</v>
      </c>
      <c r="I47" s="23">
        <v>543.12</v>
      </c>
      <c r="J47" s="23">
        <v>2172.48</v>
      </c>
      <c r="K47" s="23">
        <v>1629.36</v>
      </c>
      <c r="L47" s="23">
        <v>5974.31</v>
      </c>
      <c r="M47" s="23">
        <v>4888.07</v>
      </c>
      <c r="N47" s="29">
        <f>SUM(G47:M47)</f>
        <v>59200</v>
      </c>
    </row>
    <row r="48" customFormat="1" ht="25" customHeight="1" spans="1:14">
      <c r="A48" s="11" t="s">
        <v>50</v>
      </c>
      <c r="B48" s="12"/>
      <c r="C48" s="11"/>
      <c r="D48" s="13"/>
      <c r="E48" s="12"/>
      <c r="F48" s="11"/>
      <c r="G48" s="14"/>
      <c r="H48" s="14"/>
      <c r="I48" s="14"/>
      <c r="J48" s="14"/>
      <c r="K48" s="14"/>
      <c r="L48" s="14"/>
      <c r="M48" s="14"/>
      <c r="N48" s="14">
        <f>N47</f>
        <v>59200</v>
      </c>
    </row>
    <row r="49" s="20" customFormat="1" ht="105" customHeight="1" spans="1:14">
      <c r="A49" s="21">
        <v>30</v>
      </c>
      <c r="B49" s="21" t="s">
        <v>1117</v>
      </c>
      <c r="C49" s="21" t="s">
        <v>1118</v>
      </c>
      <c r="D49" s="22" t="s">
        <v>1119</v>
      </c>
      <c r="E49" s="21" t="s">
        <v>55</v>
      </c>
      <c r="F49" s="21">
        <v>1</v>
      </c>
      <c r="G49" s="23">
        <v>13418.864</v>
      </c>
      <c r="H49" s="23">
        <v>516.112</v>
      </c>
      <c r="I49" s="23">
        <v>172.04</v>
      </c>
      <c r="J49" s="23">
        <v>688.144</v>
      </c>
      <c r="K49" s="23">
        <v>516.112</v>
      </c>
      <c r="L49" s="23">
        <v>1892.4</v>
      </c>
      <c r="M49" s="23">
        <v>1548.328</v>
      </c>
      <c r="N49" s="29">
        <f>SUM(G49:M49)</f>
        <v>18752</v>
      </c>
    </row>
    <row r="50" customFormat="1" ht="104" customHeight="1" spans="1:14">
      <c r="A50" s="4">
        <v>31</v>
      </c>
      <c r="B50" s="4" t="s">
        <v>1120</v>
      </c>
      <c r="C50" s="4" t="s">
        <v>1121</v>
      </c>
      <c r="D50" s="8" t="s">
        <v>1122</v>
      </c>
      <c r="E50" s="4" t="s">
        <v>55</v>
      </c>
      <c r="F50" s="4">
        <v>1</v>
      </c>
      <c r="G50" s="9">
        <v>2747.89</v>
      </c>
      <c r="H50" s="9">
        <v>105.69</v>
      </c>
      <c r="I50" s="9">
        <v>35.23</v>
      </c>
      <c r="J50" s="9">
        <v>140.92</v>
      </c>
      <c r="K50" s="9">
        <v>105.69</v>
      </c>
      <c r="L50" s="9">
        <v>387.52</v>
      </c>
      <c r="M50" s="9">
        <v>317.06</v>
      </c>
      <c r="N50" s="15">
        <f t="shared" ref="N50:N68" si="0">SUM(G50:M50)</f>
        <v>3840</v>
      </c>
    </row>
    <row r="51" customFormat="1" ht="25" customHeight="1" spans="1:14">
      <c r="A51" s="11" t="s">
        <v>50</v>
      </c>
      <c r="B51" s="12"/>
      <c r="C51" s="11"/>
      <c r="D51" s="13"/>
      <c r="E51" s="12"/>
      <c r="F51" s="11"/>
      <c r="G51" s="14"/>
      <c r="H51" s="14"/>
      <c r="I51" s="14"/>
      <c r="J51" s="14"/>
      <c r="K51" s="14"/>
      <c r="L51" s="14"/>
      <c r="M51" s="14"/>
      <c r="N51" s="14">
        <f>SUM(N49:N50)</f>
        <v>22592</v>
      </c>
    </row>
    <row r="52" customFormat="1" ht="128" customHeight="1" spans="1:14">
      <c r="A52" s="4">
        <v>32</v>
      </c>
      <c r="B52" s="4" t="s">
        <v>1123</v>
      </c>
      <c r="C52" s="4" t="s">
        <v>1124</v>
      </c>
      <c r="D52" s="8" t="s">
        <v>1125</v>
      </c>
      <c r="E52" s="4" t="s">
        <v>55</v>
      </c>
      <c r="F52" s="4">
        <v>1</v>
      </c>
      <c r="G52" s="9">
        <v>5009.17</v>
      </c>
      <c r="H52" s="9">
        <v>192.66</v>
      </c>
      <c r="I52" s="9">
        <v>64.22</v>
      </c>
      <c r="J52" s="9">
        <v>256.88</v>
      </c>
      <c r="K52" s="9">
        <v>192.66</v>
      </c>
      <c r="L52" s="9">
        <v>706.42</v>
      </c>
      <c r="M52" s="9">
        <v>577.98</v>
      </c>
      <c r="N52" s="15">
        <f t="shared" si="0"/>
        <v>6999.99</v>
      </c>
    </row>
    <row r="53" customFormat="1" ht="25" customHeight="1" spans="1:14">
      <c r="A53" s="11" t="s">
        <v>50</v>
      </c>
      <c r="B53" s="12"/>
      <c r="C53" s="11"/>
      <c r="D53" s="13"/>
      <c r="E53" s="12"/>
      <c r="F53" s="11"/>
      <c r="G53" s="14"/>
      <c r="H53" s="14"/>
      <c r="I53" s="14"/>
      <c r="J53" s="14"/>
      <c r="K53" s="14"/>
      <c r="L53" s="14"/>
      <c r="M53" s="14"/>
      <c r="N53" s="14">
        <f t="shared" ref="N53:N57" si="1">N52</f>
        <v>6999.99</v>
      </c>
    </row>
    <row r="54" customFormat="1" ht="178" customHeight="1" spans="1:14">
      <c r="A54" s="4">
        <v>33</v>
      </c>
      <c r="B54" s="4" t="s">
        <v>1126</v>
      </c>
      <c r="C54" s="4" t="s">
        <v>1127</v>
      </c>
      <c r="D54" s="8" t="s">
        <v>1128</v>
      </c>
      <c r="E54" s="4" t="s">
        <v>55</v>
      </c>
      <c r="F54" s="4">
        <v>1</v>
      </c>
      <c r="G54" s="9">
        <v>7556.7</v>
      </c>
      <c r="H54" s="9">
        <v>290.64</v>
      </c>
      <c r="I54" s="9">
        <v>96.88</v>
      </c>
      <c r="J54" s="9">
        <v>387.52</v>
      </c>
      <c r="K54" s="9">
        <v>290.64</v>
      </c>
      <c r="L54" s="9">
        <v>1065.69</v>
      </c>
      <c r="M54" s="9">
        <v>871.93</v>
      </c>
      <c r="N54" s="15">
        <f t="shared" si="0"/>
        <v>10560</v>
      </c>
    </row>
    <row r="55" customFormat="1" ht="25" customHeight="1" spans="1:14">
      <c r="A55" s="11" t="s">
        <v>50</v>
      </c>
      <c r="B55" s="12"/>
      <c r="C55" s="11"/>
      <c r="D55" s="13"/>
      <c r="E55" s="12"/>
      <c r="F55" s="11"/>
      <c r="G55" s="14"/>
      <c r="H55" s="14"/>
      <c r="I55" s="14"/>
      <c r="J55" s="14"/>
      <c r="K55" s="14"/>
      <c r="L55" s="14"/>
      <c r="M55" s="14"/>
      <c r="N55" s="14">
        <f t="shared" si="1"/>
        <v>10560</v>
      </c>
    </row>
    <row r="56" customFormat="1" ht="126" customHeight="1" spans="1:14">
      <c r="A56" s="4">
        <v>34</v>
      </c>
      <c r="B56" s="4" t="s">
        <v>1129</v>
      </c>
      <c r="C56" s="4" t="s">
        <v>1130</v>
      </c>
      <c r="D56" s="8" t="s">
        <v>1131</v>
      </c>
      <c r="E56" s="4" t="s">
        <v>55</v>
      </c>
      <c r="F56" s="4">
        <v>2</v>
      </c>
      <c r="G56" s="9">
        <v>6297.25</v>
      </c>
      <c r="H56" s="9">
        <v>242.2</v>
      </c>
      <c r="I56" s="9">
        <v>80.73</v>
      </c>
      <c r="J56" s="9">
        <v>322.94</v>
      </c>
      <c r="K56" s="9">
        <v>242.2</v>
      </c>
      <c r="L56" s="9">
        <v>888.07</v>
      </c>
      <c r="M56" s="9">
        <v>726.61</v>
      </c>
      <c r="N56" s="15">
        <f t="shared" si="0"/>
        <v>8800</v>
      </c>
    </row>
    <row r="57" customFormat="1" ht="25" customHeight="1" spans="1:14">
      <c r="A57" s="11" t="s">
        <v>50</v>
      </c>
      <c r="B57" s="12"/>
      <c r="C57" s="11"/>
      <c r="D57" s="13"/>
      <c r="E57" s="12"/>
      <c r="F57" s="11"/>
      <c r="G57" s="14"/>
      <c r="H57" s="14"/>
      <c r="I57" s="14"/>
      <c r="J57" s="14"/>
      <c r="K57" s="14"/>
      <c r="L57" s="14"/>
      <c r="M57" s="14"/>
      <c r="N57" s="14">
        <f t="shared" si="1"/>
        <v>8800</v>
      </c>
    </row>
    <row r="58" customFormat="1" ht="187" customHeight="1" spans="1:14">
      <c r="A58" s="4">
        <v>35</v>
      </c>
      <c r="B58" s="4" t="s">
        <v>1132</v>
      </c>
      <c r="C58" s="4" t="s">
        <v>1133</v>
      </c>
      <c r="D58" s="8" t="s">
        <v>1134</v>
      </c>
      <c r="E58" s="4" t="s">
        <v>55</v>
      </c>
      <c r="F58" s="4">
        <v>2</v>
      </c>
      <c r="G58" s="9">
        <v>6297.25</v>
      </c>
      <c r="H58" s="9">
        <v>242.2</v>
      </c>
      <c r="I58" s="9">
        <v>80.73</v>
      </c>
      <c r="J58" s="9">
        <v>322.94</v>
      </c>
      <c r="K58" s="9">
        <v>242.2</v>
      </c>
      <c r="L58" s="9">
        <v>888.07</v>
      </c>
      <c r="M58" s="9">
        <v>726.61</v>
      </c>
      <c r="N58" s="15">
        <f t="shared" si="0"/>
        <v>8800</v>
      </c>
    </row>
    <row r="59" customFormat="1" ht="45" customHeight="1" spans="1:14">
      <c r="A59" s="4">
        <v>36</v>
      </c>
      <c r="B59" s="4" t="s">
        <v>1135</v>
      </c>
      <c r="C59" s="4" t="s">
        <v>1136</v>
      </c>
      <c r="D59" s="8" t="s">
        <v>1137</v>
      </c>
      <c r="E59" s="4" t="s">
        <v>55</v>
      </c>
      <c r="F59" s="4">
        <v>4</v>
      </c>
      <c r="G59" s="9">
        <v>125.5</v>
      </c>
      <c r="H59" s="9">
        <v>33.03</v>
      </c>
      <c r="I59" s="9">
        <v>16.51</v>
      </c>
      <c r="J59" s="9">
        <v>92.48</v>
      </c>
      <c r="K59" s="9">
        <v>26.42</v>
      </c>
      <c r="L59" s="9">
        <v>36.33</v>
      </c>
      <c r="M59" s="9">
        <v>29.72</v>
      </c>
      <c r="N59" s="15">
        <f t="shared" si="0"/>
        <v>359.99</v>
      </c>
    </row>
    <row r="60" customFormat="1" ht="25" customHeight="1" spans="1:14">
      <c r="A60" s="11" t="s">
        <v>50</v>
      </c>
      <c r="B60" s="12"/>
      <c r="C60" s="11"/>
      <c r="D60" s="13"/>
      <c r="E60" s="12"/>
      <c r="F60" s="11"/>
      <c r="G60" s="14"/>
      <c r="H60" s="14"/>
      <c r="I60" s="14"/>
      <c r="J60" s="14"/>
      <c r="K60" s="14"/>
      <c r="L60" s="14"/>
      <c r="M60" s="14"/>
      <c r="N60" s="14">
        <f>SUM(N58:N59)</f>
        <v>9159.99</v>
      </c>
    </row>
    <row r="61" customFormat="1" ht="82" customHeight="1" spans="1:14">
      <c r="A61" s="4">
        <v>37</v>
      </c>
      <c r="B61" s="4" t="s">
        <v>1138</v>
      </c>
      <c r="C61" s="4" t="s">
        <v>1139</v>
      </c>
      <c r="D61" s="8" t="s">
        <v>1140</v>
      </c>
      <c r="E61" s="4" t="s">
        <v>55</v>
      </c>
      <c r="F61" s="4">
        <v>1</v>
      </c>
      <c r="G61" s="9">
        <v>2289.91</v>
      </c>
      <c r="H61" s="9">
        <v>88.07</v>
      </c>
      <c r="I61" s="9">
        <v>29.36</v>
      </c>
      <c r="J61" s="9">
        <v>117.43</v>
      </c>
      <c r="K61" s="9">
        <v>88.07</v>
      </c>
      <c r="L61" s="9">
        <v>322.94</v>
      </c>
      <c r="M61" s="9">
        <v>264.22</v>
      </c>
      <c r="N61" s="15">
        <f t="shared" si="0"/>
        <v>3200</v>
      </c>
    </row>
    <row r="62" customFormat="1" ht="25" customHeight="1" spans="1:14">
      <c r="A62" s="11" t="s">
        <v>50</v>
      </c>
      <c r="B62" s="12"/>
      <c r="C62" s="11"/>
      <c r="D62" s="13"/>
      <c r="E62" s="12"/>
      <c r="F62" s="11"/>
      <c r="G62" s="14"/>
      <c r="H62" s="14"/>
      <c r="I62" s="14"/>
      <c r="J62" s="14"/>
      <c r="K62" s="14"/>
      <c r="L62" s="14"/>
      <c r="M62" s="14"/>
      <c r="N62" s="14">
        <f>N61</f>
        <v>3200</v>
      </c>
    </row>
    <row r="63" s="20" customFormat="1" ht="172" customHeight="1" spans="1:14">
      <c r="A63" s="21">
        <v>38</v>
      </c>
      <c r="B63" s="21" t="s">
        <v>1141</v>
      </c>
      <c r="C63" s="21" t="s">
        <v>1142</v>
      </c>
      <c r="D63" s="22" t="s">
        <v>1143</v>
      </c>
      <c r="E63" s="21" t="s">
        <v>55</v>
      </c>
      <c r="F63" s="21">
        <v>1</v>
      </c>
      <c r="G63" s="23">
        <v>5202.672</v>
      </c>
      <c r="H63" s="23">
        <v>200.104</v>
      </c>
      <c r="I63" s="23">
        <v>66.704</v>
      </c>
      <c r="J63" s="23">
        <v>266.8</v>
      </c>
      <c r="K63" s="23">
        <v>200.104</v>
      </c>
      <c r="L63" s="23">
        <v>733.712</v>
      </c>
      <c r="M63" s="23">
        <v>600.312</v>
      </c>
      <c r="N63" s="29">
        <f t="shared" si="0"/>
        <v>7270.408</v>
      </c>
    </row>
    <row r="64" customFormat="1" ht="25" customHeight="1" spans="1:14">
      <c r="A64" s="11" t="s">
        <v>50</v>
      </c>
      <c r="B64" s="12"/>
      <c r="C64" s="11"/>
      <c r="D64" s="13"/>
      <c r="E64" s="12"/>
      <c r="F64" s="11"/>
      <c r="G64" s="14"/>
      <c r="H64" s="14"/>
      <c r="I64" s="14"/>
      <c r="J64" s="14"/>
      <c r="K64" s="14"/>
      <c r="L64" s="14"/>
      <c r="M64" s="14"/>
      <c r="N64" s="14">
        <f>N63</f>
        <v>7270.408</v>
      </c>
    </row>
    <row r="65" customFormat="1" ht="91" customHeight="1" spans="1:14">
      <c r="A65" s="4">
        <v>39</v>
      </c>
      <c r="B65" s="4" t="s">
        <v>1144</v>
      </c>
      <c r="C65" s="4" t="s">
        <v>1145</v>
      </c>
      <c r="D65" s="8" t="s">
        <v>1146</v>
      </c>
      <c r="E65" s="4" t="s">
        <v>55</v>
      </c>
      <c r="F65" s="4">
        <v>1</v>
      </c>
      <c r="G65" s="9">
        <v>4488.22</v>
      </c>
      <c r="H65" s="9">
        <v>172.62</v>
      </c>
      <c r="I65" s="9">
        <v>57.54</v>
      </c>
      <c r="J65" s="9">
        <v>230.17</v>
      </c>
      <c r="K65" s="9">
        <v>172.62</v>
      </c>
      <c r="L65" s="9">
        <v>632.95</v>
      </c>
      <c r="M65" s="9">
        <v>517.87</v>
      </c>
      <c r="N65" s="15">
        <f>SUM(G65:M65)</f>
        <v>6271.99</v>
      </c>
    </row>
    <row r="66" customFormat="1" ht="45" customHeight="1" spans="1:14">
      <c r="A66" s="4">
        <v>40</v>
      </c>
      <c r="B66" s="4" t="s">
        <v>1147</v>
      </c>
      <c r="C66" s="4" t="s">
        <v>1148</v>
      </c>
      <c r="D66" s="8" t="s">
        <v>1149</v>
      </c>
      <c r="E66" s="4" t="s">
        <v>248</v>
      </c>
      <c r="F66" s="4">
        <v>1</v>
      </c>
      <c r="G66" s="9">
        <v>334.68</v>
      </c>
      <c r="H66" s="9">
        <v>88.07</v>
      </c>
      <c r="I66" s="9">
        <v>44.04</v>
      </c>
      <c r="J66" s="9">
        <v>246.61</v>
      </c>
      <c r="K66" s="9">
        <v>70.46</v>
      </c>
      <c r="L66" s="9">
        <v>96.88</v>
      </c>
      <c r="M66" s="9">
        <v>79.27</v>
      </c>
      <c r="N66" s="15">
        <f>SUM(G66:M66)</f>
        <v>960.01</v>
      </c>
    </row>
    <row r="67" customFormat="1" ht="69" customHeight="1" spans="1:14">
      <c r="A67" s="4">
        <v>41</v>
      </c>
      <c r="B67" s="4" t="s">
        <v>1150</v>
      </c>
      <c r="C67" s="4" t="s">
        <v>1151</v>
      </c>
      <c r="D67" s="8" t="s">
        <v>1152</v>
      </c>
      <c r="E67" s="4" t="s">
        <v>55</v>
      </c>
      <c r="F67" s="4">
        <v>2</v>
      </c>
      <c r="G67" s="9">
        <v>5415.63</v>
      </c>
      <c r="H67" s="9">
        <v>208.29</v>
      </c>
      <c r="I67" s="9">
        <v>69.43</v>
      </c>
      <c r="J67" s="9">
        <v>277.72</v>
      </c>
      <c r="K67" s="9">
        <v>208.29</v>
      </c>
      <c r="L67" s="9">
        <v>763.74</v>
      </c>
      <c r="M67" s="9">
        <v>624.88</v>
      </c>
      <c r="N67" s="15">
        <f>SUM(G67:M67)</f>
        <v>7567.98</v>
      </c>
    </row>
    <row r="68" customFormat="1" ht="25" customHeight="1" spans="1:14">
      <c r="A68" s="11" t="s">
        <v>50</v>
      </c>
      <c r="B68" s="12"/>
      <c r="C68" s="11"/>
      <c r="D68" s="13"/>
      <c r="E68" s="12"/>
      <c r="F68" s="11"/>
      <c r="G68" s="14"/>
      <c r="H68" s="14"/>
      <c r="I68" s="14"/>
      <c r="J68" s="14"/>
      <c r="K68" s="14"/>
      <c r="L68" s="14"/>
      <c r="M68" s="14"/>
      <c r="N68" s="14">
        <f>SUM(N65:N67)</f>
        <v>14799.98</v>
      </c>
    </row>
    <row r="69" customFormat="1" ht="45" customHeight="1" spans="1:14">
      <c r="A69" s="4">
        <v>42</v>
      </c>
      <c r="B69" s="4" t="s">
        <v>1153</v>
      </c>
      <c r="C69" s="4" t="s">
        <v>1154</v>
      </c>
      <c r="D69" s="8" t="s">
        <v>1155</v>
      </c>
      <c r="E69" s="4" t="s">
        <v>55</v>
      </c>
      <c r="F69" s="4">
        <v>1</v>
      </c>
      <c r="G69" s="9">
        <v>1981.65</v>
      </c>
      <c r="H69" s="9">
        <v>165.14</v>
      </c>
      <c r="I69" s="9">
        <v>66.06</v>
      </c>
      <c r="J69" s="9">
        <v>495.41</v>
      </c>
      <c r="K69" s="9">
        <v>231.19</v>
      </c>
      <c r="L69" s="9">
        <v>363.3</v>
      </c>
      <c r="M69" s="9">
        <v>297.25</v>
      </c>
      <c r="N69" s="15">
        <f t="shared" ref="N69:N132" si="2">SUM(G69:M69)</f>
        <v>3600</v>
      </c>
    </row>
    <row r="70" customFormat="1" ht="74" customHeight="1" spans="1:14">
      <c r="A70" s="4">
        <v>43</v>
      </c>
      <c r="B70" s="4" t="s">
        <v>1156</v>
      </c>
      <c r="C70" s="4" t="s">
        <v>1157</v>
      </c>
      <c r="D70" s="8" t="s">
        <v>1158</v>
      </c>
      <c r="E70" s="4" t="s">
        <v>55</v>
      </c>
      <c r="F70" s="4">
        <v>2</v>
      </c>
      <c r="G70" s="9">
        <v>757.43</v>
      </c>
      <c r="H70" s="9">
        <v>63.12</v>
      </c>
      <c r="I70" s="9">
        <v>25.25</v>
      </c>
      <c r="J70" s="9">
        <v>189.36</v>
      </c>
      <c r="K70" s="9">
        <v>88.37</v>
      </c>
      <c r="L70" s="9">
        <v>138.86</v>
      </c>
      <c r="M70" s="9">
        <v>113.61</v>
      </c>
      <c r="N70" s="15">
        <f t="shared" si="2"/>
        <v>1376</v>
      </c>
    </row>
    <row r="71" customFormat="1" ht="45" customHeight="1" spans="1:14">
      <c r="A71" s="4">
        <v>44</v>
      </c>
      <c r="B71" s="4" t="s">
        <v>1159</v>
      </c>
      <c r="C71" s="4" t="s">
        <v>1160</v>
      </c>
      <c r="D71" s="8" t="s">
        <v>1161</v>
      </c>
      <c r="E71" s="4" t="s">
        <v>55</v>
      </c>
      <c r="F71" s="4">
        <v>1</v>
      </c>
      <c r="G71" s="9">
        <v>2003.67</v>
      </c>
      <c r="H71" s="9">
        <v>77.06</v>
      </c>
      <c r="I71" s="9">
        <v>25.69</v>
      </c>
      <c r="J71" s="9">
        <v>102.75</v>
      </c>
      <c r="K71" s="9">
        <v>77.06</v>
      </c>
      <c r="L71" s="9">
        <v>282.57</v>
      </c>
      <c r="M71" s="9">
        <v>231.19</v>
      </c>
      <c r="N71" s="15">
        <f t="shared" si="2"/>
        <v>2799.99</v>
      </c>
    </row>
    <row r="72" customFormat="1" ht="45" customHeight="1" spans="1:14">
      <c r="A72" s="4">
        <v>45</v>
      </c>
      <c r="B72" s="4" t="s">
        <v>1162</v>
      </c>
      <c r="C72" s="4" t="s">
        <v>1163</v>
      </c>
      <c r="D72" s="8" t="s">
        <v>1164</v>
      </c>
      <c r="E72" s="4" t="s">
        <v>55</v>
      </c>
      <c r="F72" s="4">
        <v>1</v>
      </c>
      <c r="G72" s="9">
        <v>1717.43</v>
      </c>
      <c r="H72" s="9">
        <v>66.06</v>
      </c>
      <c r="I72" s="9">
        <v>22.02</v>
      </c>
      <c r="J72" s="9">
        <v>88.07</v>
      </c>
      <c r="K72" s="9">
        <v>66.06</v>
      </c>
      <c r="L72" s="9">
        <v>242.2</v>
      </c>
      <c r="M72" s="9">
        <v>198.17</v>
      </c>
      <c r="N72" s="15">
        <f t="shared" si="2"/>
        <v>2400.01</v>
      </c>
    </row>
    <row r="73" customFormat="1" ht="25" customHeight="1" spans="1:14">
      <c r="A73" s="11" t="s">
        <v>50</v>
      </c>
      <c r="B73" s="12"/>
      <c r="C73" s="11"/>
      <c r="D73" s="13"/>
      <c r="E73" s="12"/>
      <c r="F73" s="11"/>
      <c r="G73" s="14"/>
      <c r="H73" s="14"/>
      <c r="I73" s="14"/>
      <c r="J73" s="14"/>
      <c r="K73" s="14"/>
      <c r="L73" s="14"/>
      <c r="M73" s="14"/>
      <c r="N73" s="14">
        <f>SUM(N69:N72)</f>
        <v>10176</v>
      </c>
    </row>
    <row r="74" customFormat="1" ht="64" customHeight="1" spans="1:14">
      <c r="A74" s="4">
        <v>46</v>
      </c>
      <c r="B74" s="4" t="s">
        <v>1165</v>
      </c>
      <c r="C74" s="4" t="s">
        <v>1166</v>
      </c>
      <c r="D74" s="8" t="s">
        <v>1167</v>
      </c>
      <c r="E74" s="4" t="s">
        <v>55</v>
      </c>
      <c r="F74" s="4">
        <v>1</v>
      </c>
      <c r="G74" s="9">
        <v>1056.88</v>
      </c>
      <c r="H74" s="9">
        <v>88.07</v>
      </c>
      <c r="I74" s="9">
        <v>35.23</v>
      </c>
      <c r="J74" s="9">
        <v>264.22</v>
      </c>
      <c r="K74" s="9">
        <v>123.3</v>
      </c>
      <c r="L74" s="9">
        <v>193.76</v>
      </c>
      <c r="M74" s="9">
        <v>158.53</v>
      </c>
      <c r="N74" s="15">
        <f t="shared" si="2"/>
        <v>1919.99</v>
      </c>
    </row>
    <row r="75" customFormat="1" ht="60" customHeight="1" spans="1:14">
      <c r="A75" s="4">
        <v>47</v>
      </c>
      <c r="B75" s="4" t="s">
        <v>1168</v>
      </c>
      <c r="C75" s="4" t="s">
        <v>1169</v>
      </c>
      <c r="D75" s="8" t="s">
        <v>1170</v>
      </c>
      <c r="E75" s="4" t="s">
        <v>55</v>
      </c>
      <c r="F75" s="4">
        <v>2</v>
      </c>
      <c r="G75" s="9">
        <v>2576.15</v>
      </c>
      <c r="H75" s="9">
        <v>99.08</v>
      </c>
      <c r="I75" s="9">
        <v>33.03</v>
      </c>
      <c r="J75" s="9">
        <v>132.11</v>
      </c>
      <c r="K75" s="9">
        <v>99.08</v>
      </c>
      <c r="L75" s="9">
        <v>363.3</v>
      </c>
      <c r="M75" s="9">
        <v>297.25</v>
      </c>
      <c r="N75" s="15">
        <f t="shared" si="2"/>
        <v>3600</v>
      </c>
    </row>
    <row r="76" customFormat="1" ht="65" customHeight="1" spans="1:14">
      <c r="A76" s="4">
        <v>48</v>
      </c>
      <c r="B76" s="4" t="s">
        <v>1171</v>
      </c>
      <c r="C76" s="4" t="s">
        <v>1172</v>
      </c>
      <c r="D76" s="8" t="s">
        <v>1173</v>
      </c>
      <c r="E76" s="4" t="s">
        <v>55</v>
      </c>
      <c r="F76" s="4">
        <v>1</v>
      </c>
      <c r="G76" s="9">
        <v>465.14</v>
      </c>
      <c r="H76" s="9">
        <v>17.89</v>
      </c>
      <c r="I76" s="9">
        <v>5.96</v>
      </c>
      <c r="J76" s="9">
        <v>23.85</v>
      </c>
      <c r="K76" s="9">
        <v>17.89</v>
      </c>
      <c r="L76" s="9">
        <v>65.6</v>
      </c>
      <c r="M76" s="9">
        <v>53.67</v>
      </c>
      <c r="N76" s="15">
        <f t="shared" si="2"/>
        <v>650</v>
      </c>
    </row>
    <row r="77" customFormat="1" ht="25" customHeight="1" spans="1:14">
      <c r="A77" s="11" t="s">
        <v>50</v>
      </c>
      <c r="B77" s="12"/>
      <c r="C77" s="11"/>
      <c r="D77" s="13"/>
      <c r="E77" s="12"/>
      <c r="F77" s="11"/>
      <c r="G77" s="14"/>
      <c r="H77" s="14"/>
      <c r="I77" s="14"/>
      <c r="J77" s="14"/>
      <c r="K77" s="14"/>
      <c r="L77" s="14"/>
      <c r="M77" s="14"/>
      <c r="N77" s="14">
        <f>SUM(N74:N76)</f>
        <v>6169.99</v>
      </c>
    </row>
    <row r="78" customFormat="1" ht="45" customHeight="1" spans="1:14">
      <c r="A78" s="4">
        <v>49</v>
      </c>
      <c r="B78" s="4" t="s">
        <v>1174</v>
      </c>
      <c r="C78" s="4" t="s">
        <v>1175</v>
      </c>
      <c r="D78" s="8" t="s">
        <v>1176</v>
      </c>
      <c r="E78" s="4" t="s">
        <v>93</v>
      </c>
      <c r="F78" s="4">
        <v>6</v>
      </c>
      <c r="G78" s="9">
        <v>1202.2</v>
      </c>
      <c r="H78" s="9">
        <v>46.24</v>
      </c>
      <c r="I78" s="9">
        <v>15.41</v>
      </c>
      <c r="J78" s="9">
        <v>61.65</v>
      </c>
      <c r="K78" s="9">
        <v>46.24</v>
      </c>
      <c r="L78" s="9">
        <v>169.54</v>
      </c>
      <c r="M78" s="9">
        <v>138.72</v>
      </c>
      <c r="N78" s="15">
        <f t="shared" si="2"/>
        <v>1680</v>
      </c>
    </row>
    <row r="79" customFormat="1" ht="85" customHeight="1" spans="1:14">
      <c r="A79" s="4">
        <v>50</v>
      </c>
      <c r="B79" s="4" t="s">
        <v>1177</v>
      </c>
      <c r="C79" s="4" t="s">
        <v>1178</v>
      </c>
      <c r="D79" s="8" t="s">
        <v>1179</v>
      </c>
      <c r="E79" s="4" t="s">
        <v>55</v>
      </c>
      <c r="F79" s="4">
        <v>4</v>
      </c>
      <c r="G79" s="9">
        <v>4964.4</v>
      </c>
      <c r="H79" s="9">
        <v>1306.42</v>
      </c>
      <c r="I79" s="9">
        <v>653.21</v>
      </c>
      <c r="J79" s="9">
        <v>3657.98</v>
      </c>
      <c r="K79" s="9">
        <v>1045.14</v>
      </c>
      <c r="L79" s="9">
        <v>1437.06</v>
      </c>
      <c r="M79" s="9">
        <v>1175.78</v>
      </c>
      <c r="N79" s="15">
        <f t="shared" si="2"/>
        <v>14239.99</v>
      </c>
    </row>
    <row r="80" customFormat="1" ht="25" customHeight="1" spans="1:14">
      <c r="A80" s="11" t="s">
        <v>50</v>
      </c>
      <c r="B80" s="12"/>
      <c r="C80" s="11"/>
      <c r="D80" s="13"/>
      <c r="E80" s="12"/>
      <c r="F80" s="11"/>
      <c r="G80" s="14"/>
      <c r="H80" s="14"/>
      <c r="I80" s="14"/>
      <c r="J80" s="14"/>
      <c r="K80" s="14"/>
      <c r="L80" s="14"/>
      <c r="M80" s="14"/>
      <c r="N80" s="14">
        <f>SUM(N78:N79)</f>
        <v>15919.99</v>
      </c>
    </row>
    <row r="81" customFormat="1" ht="102" customHeight="1" spans="1:14">
      <c r="A81" s="4">
        <v>51</v>
      </c>
      <c r="B81" s="4" t="s">
        <v>1180</v>
      </c>
      <c r="C81" s="4" t="s">
        <v>1181</v>
      </c>
      <c r="D81" s="8" t="s">
        <v>1182</v>
      </c>
      <c r="E81" s="4" t="s">
        <v>55</v>
      </c>
      <c r="F81" s="4">
        <v>2</v>
      </c>
      <c r="G81" s="9">
        <v>5713.32</v>
      </c>
      <c r="H81" s="9">
        <v>219.74</v>
      </c>
      <c r="I81" s="9">
        <v>73.25</v>
      </c>
      <c r="J81" s="9">
        <v>292.99</v>
      </c>
      <c r="K81" s="9">
        <v>219.74</v>
      </c>
      <c r="L81" s="9">
        <v>805.72</v>
      </c>
      <c r="M81" s="9">
        <v>659.23</v>
      </c>
      <c r="N81" s="15">
        <f t="shared" si="2"/>
        <v>7983.99</v>
      </c>
    </row>
    <row r="82" customFormat="1" ht="116" customHeight="1" spans="1:14">
      <c r="A82" s="4">
        <v>52</v>
      </c>
      <c r="B82" s="4" t="s">
        <v>1183</v>
      </c>
      <c r="C82" s="4" t="s">
        <v>1055</v>
      </c>
      <c r="D82" s="8" t="s">
        <v>1184</v>
      </c>
      <c r="E82" s="4" t="s">
        <v>55</v>
      </c>
      <c r="F82" s="4">
        <v>1</v>
      </c>
      <c r="G82" s="9">
        <v>3005.5</v>
      </c>
      <c r="H82" s="9">
        <v>115.6</v>
      </c>
      <c r="I82" s="9">
        <v>38.53</v>
      </c>
      <c r="J82" s="9">
        <v>154.13</v>
      </c>
      <c r="K82" s="9">
        <v>115.6</v>
      </c>
      <c r="L82" s="9">
        <v>423.85</v>
      </c>
      <c r="M82" s="9">
        <v>346.79</v>
      </c>
      <c r="N82" s="15">
        <f t="shared" si="2"/>
        <v>4200</v>
      </c>
    </row>
    <row r="83" customFormat="1" ht="25" customHeight="1" spans="1:14">
      <c r="A83" s="11" t="s">
        <v>50</v>
      </c>
      <c r="B83" s="12"/>
      <c r="C83" s="11"/>
      <c r="D83" s="13"/>
      <c r="E83" s="12"/>
      <c r="F83" s="11"/>
      <c r="G83" s="14"/>
      <c r="H83" s="14"/>
      <c r="I83" s="14"/>
      <c r="J83" s="14"/>
      <c r="K83" s="14"/>
      <c r="L83" s="14"/>
      <c r="M83" s="14"/>
      <c r="N83" s="14">
        <f>SUM(N81:N82)</f>
        <v>12183.99</v>
      </c>
    </row>
    <row r="84" customFormat="1" ht="71" customHeight="1" spans="1:14">
      <c r="A84" s="4">
        <v>53</v>
      </c>
      <c r="B84" s="4" t="s">
        <v>1185</v>
      </c>
      <c r="C84" s="4" t="s">
        <v>1085</v>
      </c>
      <c r="D84" s="8" t="s">
        <v>1086</v>
      </c>
      <c r="E84" s="4" t="s">
        <v>55</v>
      </c>
      <c r="F84" s="4">
        <v>1</v>
      </c>
      <c r="G84" s="9">
        <v>5026.35</v>
      </c>
      <c r="H84" s="9">
        <v>193.32</v>
      </c>
      <c r="I84" s="9">
        <v>64.44</v>
      </c>
      <c r="J84" s="9">
        <v>257.76</v>
      </c>
      <c r="K84" s="9">
        <v>193.32</v>
      </c>
      <c r="L84" s="9">
        <v>708.84</v>
      </c>
      <c r="M84" s="9">
        <v>579.96</v>
      </c>
      <c r="N84" s="15">
        <f t="shared" si="2"/>
        <v>7023.99</v>
      </c>
    </row>
    <row r="85" customFormat="1" ht="103" customHeight="1" spans="1:14">
      <c r="A85" s="4">
        <v>54</v>
      </c>
      <c r="B85" s="4" t="s">
        <v>1186</v>
      </c>
      <c r="C85" s="4" t="s">
        <v>1088</v>
      </c>
      <c r="D85" s="8" t="s">
        <v>1089</v>
      </c>
      <c r="E85" s="4" t="s">
        <v>55</v>
      </c>
      <c r="F85" s="4">
        <v>16</v>
      </c>
      <c r="G85" s="9">
        <v>10258.79</v>
      </c>
      <c r="H85" s="9">
        <v>394.57</v>
      </c>
      <c r="I85" s="9">
        <v>131.52</v>
      </c>
      <c r="J85" s="9">
        <v>526.09</v>
      </c>
      <c r="K85" s="9">
        <v>394.57</v>
      </c>
      <c r="L85" s="9">
        <v>1446.75</v>
      </c>
      <c r="M85" s="9">
        <v>1183.71</v>
      </c>
      <c r="N85" s="15">
        <f t="shared" si="2"/>
        <v>14336</v>
      </c>
    </row>
    <row r="86" customFormat="1" ht="25" customHeight="1" spans="1:14">
      <c r="A86" s="11" t="s">
        <v>50</v>
      </c>
      <c r="B86" s="12"/>
      <c r="C86" s="11"/>
      <c r="D86" s="13"/>
      <c r="E86" s="12"/>
      <c r="F86" s="11"/>
      <c r="G86" s="14"/>
      <c r="H86" s="14"/>
      <c r="I86" s="14"/>
      <c r="J86" s="14"/>
      <c r="K86" s="14"/>
      <c r="L86" s="14"/>
      <c r="M86" s="14"/>
      <c r="N86" s="14">
        <f>SUM(N84:N85)</f>
        <v>21359.99</v>
      </c>
    </row>
    <row r="87" customFormat="1" ht="91" customHeight="1" spans="1:14">
      <c r="A87" s="4">
        <v>55</v>
      </c>
      <c r="B87" s="4" t="s">
        <v>1187</v>
      </c>
      <c r="C87" s="4" t="s">
        <v>1188</v>
      </c>
      <c r="D87" s="8" t="s">
        <v>1189</v>
      </c>
      <c r="E87" s="4" t="s">
        <v>55</v>
      </c>
      <c r="F87" s="4">
        <v>16</v>
      </c>
      <c r="G87" s="9">
        <v>13739.45</v>
      </c>
      <c r="H87" s="9">
        <v>528.44</v>
      </c>
      <c r="I87" s="9">
        <v>176.15</v>
      </c>
      <c r="J87" s="9">
        <v>704.59</v>
      </c>
      <c r="K87" s="9">
        <v>528.44</v>
      </c>
      <c r="L87" s="9">
        <v>1937.61</v>
      </c>
      <c r="M87" s="9">
        <v>1585.32</v>
      </c>
      <c r="N87" s="15">
        <f t="shared" si="2"/>
        <v>19200</v>
      </c>
    </row>
    <row r="88" customFormat="1" ht="74" customHeight="1" spans="1:14">
      <c r="A88" s="4">
        <v>56</v>
      </c>
      <c r="B88" s="4" t="s">
        <v>1190</v>
      </c>
      <c r="C88" s="4" t="s">
        <v>1191</v>
      </c>
      <c r="D88" s="8" t="s">
        <v>1192</v>
      </c>
      <c r="E88" s="4" t="s">
        <v>55</v>
      </c>
      <c r="F88" s="4">
        <v>1</v>
      </c>
      <c r="G88" s="9">
        <v>2963.3</v>
      </c>
      <c r="H88" s="9">
        <v>779.82</v>
      </c>
      <c r="I88" s="9">
        <v>389.91</v>
      </c>
      <c r="J88" s="9">
        <v>2183.49</v>
      </c>
      <c r="K88" s="9">
        <v>623.85</v>
      </c>
      <c r="L88" s="9">
        <v>857.8</v>
      </c>
      <c r="M88" s="9">
        <v>701.83</v>
      </c>
      <c r="N88" s="15">
        <f t="shared" si="2"/>
        <v>8500</v>
      </c>
    </row>
    <row r="89" customFormat="1" ht="25" customHeight="1" spans="1:14">
      <c r="A89" s="11" t="s">
        <v>50</v>
      </c>
      <c r="B89" s="12"/>
      <c r="C89" s="11"/>
      <c r="D89" s="13"/>
      <c r="E89" s="12"/>
      <c r="F89" s="11"/>
      <c r="G89" s="14"/>
      <c r="H89" s="14"/>
      <c r="I89" s="14"/>
      <c r="J89" s="14"/>
      <c r="K89" s="14"/>
      <c r="L89" s="14"/>
      <c r="M89" s="14"/>
      <c r="N89" s="14">
        <f>SUM(N87:N88)</f>
        <v>27700</v>
      </c>
    </row>
    <row r="90" customFormat="1" ht="76" customHeight="1" spans="1:14">
      <c r="A90" s="4">
        <v>57</v>
      </c>
      <c r="B90" s="4" t="s">
        <v>1193</v>
      </c>
      <c r="C90" s="4" t="s">
        <v>1194</v>
      </c>
      <c r="D90" s="8" t="s">
        <v>1195</v>
      </c>
      <c r="E90" s="4" t="s">
        <v>55</v>
      </c>
      <c r="F90" s="4">
        <v>2</v>
      </c>
      <c r="G90" s="9">
        <v>4532.11</v>
      </c>
      <c r="H90" s="9">
        <v>1192.66</v>
      </c>
      <c r="I90" s="9">
        <v>596.33</v>
      </c>
      <c r="J90" s="9">
        <v>3339.45</v>
      </c>
      <c r="K90" s="9">
        <v>954.13</v>
      </c>
      <c r="L90" s="9">
        <v>1311.93</v>
      </c>
      <c r="M90" s="9">
        <v>1073.39</v>
      </c>
      <c r="N90" s="15">
        <f t="shared" si="2"/>
        <v>13000</v>
      </c>
    </row>
    <row r="91" customFormat="1" ht="109" customHeight="1" spans="1:14">
      <c r="A91" s="4">
        <v>58</v>
      </c>
      <c r="B91" s="4" t="s">
        <v>1196</v>
      </c>
      <c r="C91" s="4" t="s">
        <v>1197</v>
      </c>
      <c r="D91" s="8" t="s">
        <v>1198</v>
      </c>
      <c r="E91" s="4" t="s">
        <v>55</v>
      </c>
      <c r="F91" s="4">
        <v>1</v>
      </c>
      <c r="G91" s="9">
        <v>6583.49</v>
      </c>
      <c r="H91" s="9">
        <v>253.21</v>
      </c>
      <c r="I91" s="9">
        <v>84.4</v>
      </c>
      <c r="J91" s="9">
        <v>337.61</v>
      </c>
      <c r="K91" s="9">
        <v>253.21</v>
      </c>
      <c r="L91" s="9">
        <v>928.44</v>
      </c>
      <c r="M91" s="9">
        <v>759.63</v>
      </c>
      <c r="N91" s="15">
        <f t="shared" si="2"/>
        <v>9199.99</v>
      </c>
    </row>
    <row r="92" customFormat="1" ht="25" customHeight="1" spans="1:14">
      <c r="A92" s="11" t="s">
        <v>50</v>
      </c>
      <c r="B92" s="12"/>
      <c r="C92" s="11"/>
      <c r="D92" s="13"/>
      <c r="E92" s="12"/>
      <c r="F92" s="11"/>
      <c r="G92" s="14"/>
      <c r="H92" s="14"/>
      <c r="I92" s="14"/>
      <c r="J92" s="14"/>
      <c r="K92" s="14"/>
      <c r="L92" s="14"/>
      <c r="M92" s="14"/>
      <c r="N92" s="14">
        <f>SUM(N90:N91)</f>
        <v>22199.99</v>
      </c>
    </row>
    <row r="93" customFormat="1" ht="64" customHeight="1" spans="1:14">
      <c r="A93" s="4">
        <v>59</v>
      </c>
      <c r="B93" s="4" t="s">
        <v>1199</v>
      </c>
      <c r="C93" s="4" t="s">
        <v>1109</v>
      </c>
      <c r="D93" s="8" t="s">
        <v>1110</v>
      </c>
      <c r="E93" s="4" t="s">
        <v>55</v>
      </c>
      <c r="F93" s="4">
        <v>1</v>
      </c>
      <c r="G93" s="9">
        <v>858.72</v>
      </c>
      <c r="H93" s="9">
        <v>33.03</v>
      </c>
      <c r="I93" s="9">
        <v>11.01</v>
      </c>
      <c r="J93" s="9">
        <v>44.04</v>
      </c>
      <c r="K93" s="9">
        <v>33.03</v>
      </c>
      <c r="L93" s="9">
        <v>121.1</v>
      </c>
      <c r="M93" s="9">
        <v>99.08</v>
      </c>
      <c r="N93" s="15">
        <f t="shared" si="2"/>
        <v>1200.01</v>
      </c>
    </row>
    <row r="94" customFormat="1" ht="25" customHeight="1" spans="1:14">
      <c r="A94" s="11" t="s">
        <v>50</v>
      </c>
      <c r="B94" s="12"/>
      <c r="C94" s="11"/>
      <c r="D94" s="13"/>
      <c r="E94" s="12"/>
      <c r="F94" s="11"/>
      <c r="G94" s="14"/>
      <c r="H94" s="14"/>
      <c r="I94" s="14"/>
      <c r="J94" s="14"/>
      <c r="K94" s="14"/>
      <c r="L94" s="14"/>
      <c r="M94" s="14"/>
      <c r="N94" s="14">
        <f t="shared" ref="N94:N98" si="3">N93</f>
        <v>1200.01</v>
      </c>
    </row>
    <row r="95" s="20" customFormat="1" ht="174" customHeight="1" spans="1:14">
      <c r="A95" s="21">
        <v>60</v>
      </c>
      <c r="B95" s="21" t="s">
        <v>1200</v>
      </c>
      <c r="C95" s="21" t="s">
        <v>1112</v>
      </c>
      <c r="D95" s="22" t="s">
        <v>1113</v>
      </c>
      <c r="E95" s="21" t="s">
        <v>55</v>
      </c>
      <c r="F95" s="21">
        <v>8</v>
      </c>
      <c r="G95" s="23">
        <v>16945.32</v>
      </c>
      <c r="H95" s="23">
        <v>651.744</v>
      </c>
      <c r="I95" s="23">
        <v>217.248</v>
      </c>
      <c r="J95" s="23">
        <v>868.992</v>
      </c>
      <c r="K95" s="23">
        <v>651.744</v>
      </c>
      <c r="L95" s="23">
        <v>2389.724</v>
      </c>
      <c r="M95" s="23">
        <v>1955.228</v>
      </c>
      <c r="N95" s="29">
        <f t="shared" si="2"/>
        <v>23680</v>
      </c>
    </row>
    <row r="96" customFormat="1" ht="25" customHeight="1" spans="1:14">
      <c r="A96" s="11" t="s">
        <v>50</v>
      </c>
      <c r="B96" s="12"/>
      <c r="C96" s="11"/>
      <c r="D96" s="13"/>
      <c r="E96" s="12"/>
      <c r="F96" s="11"/>
      <c r="G96" s="14"/>
      <c r="H96" s="14"/>
      <c r="I96" s="14"/>
      <c r="J96" s="14"/>
      <c r="K96" s="14"/>
      <c r="L96" s="14"/>
      <c r="M96" s="14"/>
      <c r="N96" s="14">
        <f t="shared" si="3"/>
        <v>23680</v>
      </c>
    </row>
    <row r="97" s="20" customFormat="1" ht="174" customHeight="1" spans="1:14">
      <c r="A97" s="21">
        <v>61</v>
      </c>
      <c r="B97" s="21" t="s">
        <v>1201</v>
      </c>
      <c r="C97" s="21" t="s">
        <v>1115</v>
      </c>
      <c r="D97" s="22" t="s">
        <v>1116</v>
      </c>
      <c r="E97" s="21" t="s">
        <v>55</v>
      </c>
      <c r="F97" s="21">
        <v>10</v>
      </c>
      <c r="G97" s="23">
        <v>21181.65</v>
      </c>
      <c r="H97" s="23">
        <v>814.68</v>
      </c>
      <c r="I97" s="23">
        <v>271.56</v>
      </c>
      <c r="J97" s="23">
        <v>1086.24</v>
      </c>
      <c r="K97" s="23">
        <v>814.68</v>
      </c>
      <c r="L97" s="23">
        <v>2987.155</v>
      </c>
      <c r="M97" s="23">
        <v>2444.035</v>
      </c>
      <c r="N97" s="29">
        <f>SUM(G97:M97)</f>
        <v>29600</v>
      </c>
    </row>
    <row r="98" customFormat="1" ht="25" customHeight="1" spans="1:14">
      <c r="A98" s="11" t="s">
        <v>50</v>
      </c>
      <c r="B98" s="12"/>
      <c r="C98" s="11"/>
      <c r="D98" s="13"/>
      <c r="E98" s="12"/>
      <c r="F98" s="11"/>
      <c r="G98" s="14"/>
      <c r="H98" s="14"/>
      <c r="I98" s="14"/>
      <c r="J98" s="14"/>
      <c r="K98" s="14"/>
      <c r="L98" s="14"/>
      <c r="M98" s="14"/>
      <c r="N98" s="14">
        <f t="shared" si="3"/>
        <v>29600</v>
      </c>
    </row>
    <row r="99" customFormat="1" ht="104" customHeight="1" spans="1:14">
      <c r="A99" s="4">
        <v>62</v>
      </c>
      <c r="B99" s="4" t="s">
        <v>1202</v>
      </c>
      <c r="C99" s="4" t="s">
        <v>1121</v>
      </c>
      <c r="D99" s="8" t="s">
        <v>1122</v>
      </c>
      <c r="E99" s="4" t="s">
        <v>55</v>
      </c>
      <c r="F99" s="4">
        <v>1</v>
      </c>
      <c r="G99" s="9">
        <v>2747.89</v>
      </c>
      <c r="H99" s="9">
        <v>105.69</v>
      </c>
      <c r="I99" s="9">
        <v>35.23</v>
      </c>
      <c r="J99" s="9">
        <v>140.92</v>
      </c>
      <c r="K99" s="9">
        <v>105.69</v>
      </c>
      <c r="L99" s="9">
        <v>387.52</v>
      </c>
      <c r="M99" s="9">
        <v>317.06</v>
      </c>
      <c r="N99" s="15">
        <f t="shared" si="2"/>
        <v>3840</v>
      </c>
    </row>
    <row r="100" customFormat="1" ht="25" customHeight="1" spans="1:14">
      <c r="A100" s="11" t="s">
        <v>50</v>
      </c>
      <c r="B100" s="12"/>
      <c r="C100" s="11"/>
      <c r="D100" s="13"/>
      <c r="E100" s="12"/>
      <c r="F100" s="11"/>
      <c r="G100" s="14"/>
      <c r="H100" s="14"/>
      <c r="I100" s="14"/>
      <c r="J100" s="14"/>
      <c r="K100" s="14"/>
      <c r="L100" s="14"/>
      <c r="M100" s="14"/>
      <c r="N100" s="14">
        <f>N99</f>
        <v>3840</v>
      </c>
    </row>
    <row r="101" customFormat="1" ht="178" customHeight="1" spans="1:14">
      <c r="A101" s="4">
        <v>63</v>
      </c>
      <c r="B101" s="4" t="s">
        <v>1203</v>
      </c>
      <c r="C101" s="4" t="s">
        <v>1127</v>
      </c>
      <c r="D101" s="8" t="s">
        <v>1128</v>
      </c>
      <c r="E101" s="4" t="s">
        <v>55</v>
      </c>
      <c r="F101" s="4">
        <v>1</v>
      </c>
      <c r="G101" s="9">
        <v>7556.7</v>
      </c>
      <c r="H101" s="9">
        <v>290.64</v>
      </c>
      <c r="I101" s="9">
        <v>96.88</v>
      </c>
      <c r="J101" s="9">
        <v>387.52</v>
      </c>
      <c r="K101" s="9">
        <v>290.64</v>
      </c>
      <c r="L101" s="9">
        <v>1065.69</v>
      </c>
      <c r="M101" s="9">
        <v>871.93</v>
      </c>
      <c r="N101" s="15">
        <f t="shared" si="2"/>
        <v>10560</v>
      </c>
    </row>
    <row r="102" customFormat="1" ht="25" customHeight="1" spans="1:14">
      <c r="A102" s="11" t="s">
        <v>50</v>
      </c>
      <c r="B102" s="12"/>
      <c r="C102" s="11"/>
      <c r="D102" s="13"/>
      <c r="E102" s="12"/>
      <c r="F102" s="11"/>
      <c r="G102" s="14"/>
      <c r="H102" s="14"/>
      <c r="I102" s="14"/>
      <c r="J102" s="14"/>
      <c r="K102" s="14"/>
      <c r="L102" s="14"/>
      <c r="M102" s="14"/>
      <c r="N102" s="14">
        <f>N101</f>
        <v>10560</v>
      </c>
    </row>
    <row r="103" customFormat="1" ht="127" customHeight="1" spans="1:14">
      <c r="A103" s="4">
        <v>64</v>
      </c>
      <c r="B103" s="4" t="s">
        <v>1204</v>
      </c>
      <c r="C103" s="4" t="s">
        <v>1205</v>
      </c>
      <c r="D103" s="8" t="s">
        <v>1206</v>
      </c>
      <c r="E103" s="4" t="s">
        <v>55</v>
      </c>
      <c r="F103" s="4">
        <v>3</v>
      </c>
      <c r="G103" s="9">
        <v>9445.87</v>
      </c>
      <c r="H103" s="9">
        <v>363.3</v>
      </c>
      <c r="I103" s="9">
        <v>121.1</v>
      </c>
      <c r="J103" s="9">
        <v>484.4</v>
      </c>
      <c r="K103" s="9">
        <v>363.3</v>
      </c>
      <c r="L103" s="9">
        <v>1332.11</v>
      </c>
      <c r="M103" s="9">
        <v>1089.91</v>
      </c>
      <c r="N103" s="15">
        <f t="shared" si="2"/>
        <v>13199.99</v>
      </c>
    </row>
    <row r="104" customFormat="1" ht="91" customHeight="1" spans="1:14">
      <c r="A104" s="4">
        <v>65</v>
      </c>
      <c r="B104" s="4" t="s">
        <v>1207</v>
      </c>
      <c r="C104" s="4" t="s">
        <v>1145</v>
      </c>
      <c r="D104" s="8" t="s">
        <v>1146</v>
      </c>
      <c r="E104" s="4" t="s">
        <v>55</v>
      </c>
      <c r="F104" s="4">
        <v>1</v>
      </c>
      <c r="G104" s="9">
        <v>5638.9</v>
      </c>
      <c r="H104" s="9">
        <v>216.88</v>
      </c>
      <c r="I104" s="9">
        <v>72.29</v>
      </c>
      <c r="J104" s="9">
        <v>289.17</v>
      </c>
      <c r="K104" s="9">
        <v>216.88</v>
      </c>
      <c r="L104" s="9">
        <v>795.23</v>
      </c>
      <c r="M104" s="9">
        <v>650.64</v>
      </c>
      <c r="N104" s="15">
        <f t="shared" si="2"/>
        <v>7879.99</v>
      </c>
    </row>
    <row r="105" customFormat="1" ht="25" customHeight="1" spans="1:14">
      <c r="A105" s="11" t="s">
        <v>50</v>
      </c>
      <c r="B105" s="12"/>
      <c r="C105" s="11"/>
      <c r="D105" s="13"/>
      <c r="E105" s="12"/>
      <c r="F105" s="11"/>
      <c r="G105" s="14"/>
      <c r="H105" s="14"/>
      <c r="I105" s="14"/>
      <c r="J105" s="14"/>
      <c r="K105" s="14"/>
      <c r="L105" s="14"/>
      <c r="M105" s="14"/>
      <c r="N105" s="14">
        <f>SUM(N103:N104)</f>
        <v>21079.98</v>
      </c>
    </row>
    <row r="106" customFormat="1" ht="45" customHeight="1" spans="1:14">
      <c r="A106" s="4">
        <v>66</v>
      </c>
      <c r="B106" s="4" t="s">
        <v>1208</v>
      </c>
      <c r="C106" s="4" t="s">
        <v>1148</v>
      </c>
      <c r="D106" s="8" t="s">
        <v>1149</v>
      </c>
      <c r="E106" s="4" t="s">
        <v>248</v>
      </c>
      <c r="F106" s="4">
        <v>1</v>
      </c>
      <c r="G106" s="9">
        <v>306.79</v>
      </c>
      <c r="H106" s="9">
        <v>80.73</v>
      </c>
      <c r="I106" s="9">
        <v>40.37</v>
      </c>
      <c r="J106" s="9">
        <v>226.06</v>
      </c>
      <c r="K106" s="9">
        <v>64.59</v>
      </c>
      <c r="L106" s="9">
        <v>88.81</v>
      </c>
      <c r="M106" s="9">
        <v>72.66</v>
      </c>
      <c r="N106" s="15">
        <f t="shared" si="2"/>
        <v>880.01</v>
      </c>
    </row>
    <row r="107" customFormat="1" ht="69" customHeight="1" spans="1:14">
      <c r="A107" s="4">
        <v>67</v>
      </c>
      <c r="B107" s="4" t="s">
        <v>1209</v>
      </c>
      <c r="C107" s="4" t="s">
        <v>1151</v>
      </c>
      <c r="D107" s="8" t="s">
        <v>1152</v>
      </c>
      <c r="E107" s="4" t="s">
        <v>55</v>
      </c>
      <c r="F107" s="4">
        <v>1</v>
      </c>
      <c r="G107" s="9">
        <v>2690.64</v>
      </c>
      <c r="H107" s="9">
        <v>103.49</v>
      </c>
      <c r="I107" s="9">
        <v>34.5</v>
      </c>
      <c r="J107" s="9">
        <v>137.98</v>
      </c>
      <c r="K107" s="9">
        <v>103.49</v>
      </c>
      <c r="L107" s="9">
        <v>379.45</v>
      </c>
      <c r="M107" s="9">
        <v>310.46</v>
      </c>
      <c r="N107" s="15">
        <f t="shared" si="2"/>
        <v>3760.01</v>
      </c>
    </row>
    <row r="108" customFormat="1" ht="45" customHeight="1" spans="1:14">
      <c r="A108" s="4">
        <v>68</v>
      </c>
      <c r="B108" s="4" t="s">
        <v>1210</v>
      </c>
      <c r="C108" s="4" t="s">
        <v>1154</v>
      </c>
      <c r="D108" s="8" t="s">
        <v>1155</v>
      </c>
      <c r="E108" s="4" t="s">
        <v>55</v>
      </c>
      <c r="F108" s="4">
        <v>1</v>
      </c>
      <c r="G108" s="9">
        <v>1981.65</v>
      </c>
      <c r="H108" s="9">
        <v>165.14</v>
      </c>
      <c r="I108" s="9">
        <v>66.06</v>
      </c>
      <c r="J108" s="9">
        <v>495.41</v>
      </c>
      <c r="K108" s="9">
        <v>231.19</v>
      </c>
      <c r="L108" s="9">
        <v>363.3</v>
      </c>
      <c r="M108" s="9">
        <v>297.25</v>
      </c>
      <c r="N108" s="15">
        <f t="shared" si="2"/>
        <v>3600</v>
      </c>
    </row>
    <row r="109" customFormat="1" ht="25" customHeight="1" spans="1:14">
      <c r="A109" s="11" t="s">
        <v>50</v>
      </c>
      <c r="B109" s="12"/>
      <c r="C109" s="11"/>
      <c r="D109" s="13"/>
      <c r="E109" s="12"/>
      <c r="F109" s="11"/>
      <c r="G109" s="14"/>
      <c r="H109" s="14"/>
      <c r="I109" s="14"/>
      <c r="J109" s="14"/>
      <c r="K109" s="14"/>
      <c r="L109" s="14"/>
      <c r="M109" s="14"/>
      <c r="N109" s="14">
        <f>SUM(N106:N108)</f>
        <v>8240.02</v>
      </c>
    </row>
    <row r="110" customFormat="1" ht="74" customHeight="1" spans="1:14">
      <c r="A110" s="4">
        <v>69</v>
      </c>
      <c r="B110" s="4" t="s">
        <v>1211</v>
      </c>
      <c r="C110" s="4" t="s">
        <v>1157</v>
      </c>
      <c r="D110" s="8" t="s">
        <v>1158</v>
      </c>
      <c r="E110" s="4" t="s">
        <v>55</v>
      </c>
      <c r="F110" s="4">
        <v>1</v>
      </c>
      <c r="G110" s="9">
        <v>378.72</v>
      </c>
      <c r="H110" s="9">
        <v>31.56</v>
      </c>
      <c r="I110" s="9">
        <v>12.62</v>
      </c>
      <c r="J110" s="9">
        <v>94.68</v>
      </c>
      <c r="K110" s="9">
        <v>44.18</v>
      </c>
      <c r="L110" s="9">
        <v>69.43</v>
      </c>
      <c r="M110" s="9">
        <v>56.81</v>
      </c>
      <c r="N110" s="15">
        <f t="shared" si="2"/>
        <v>688</v>
      </c>
    </row>
    <row r="111" customFormat="1" ht="45" customHeight="1" spans="1:14">
      <c r="A111" s="4">
        <v>70</v>
      </c>
      <c r="B111" s="4" t="s">
        <v>1212</v>
      </c>
      <c r="C111" s="4" t="s">
        <v>1163</v>
      </c>
      <c r="D111" s="8" t="s">
        <v>1213</v>
      </c>
      <c r="E111" s="4" t="s">
        <v>55</v>
      </c>
      <c r="F111" s="4">
        <v>1</v>
      </c>
      <c r="G111" s="9">
        <v>1259.45</v>
      </c>
      <c r="H111" s="9">
        <v>48.44</v>
      </c>
      <c r="I111" s="9">
        <v>16.15</v>
      </c>
      <c r="J111" s="9">
        <v>64.59</v>
      </c>
      <c r="K111" s="9">
        <v>48.44</v>
      </c>
      <c r="L111" s="9">
        <v>177.61</v>
      </c>
      <c r="M111" s="9">
        <v>145.32</v>
      </c>
      <c r="N111" s="15">
        <f t="shared" si="2"/>
        <v>1760</v>
      </c>
    </row>
    <row r="112" customFormat="1" ht="64" customHeight="1" spans="1:14">
      <c r="A112" s="4">
        <v>71</v>
      </c>
      <c r="B112" s="4" t="s">
        <v>1214</v>
      </c>
      <c r="C112" s="4" t="s">
        <v>1166</v>
      </c>
      <c r="D112" s="8" t="s">
        <v>1167</v>
      </c>
      <c r="E112" s="4" t="s">
        <v>55</v>
      </c>
      <c r="F112" s="4">
        <v>1</v>
      </c>
      <c r="G112" s="9">
        <v>1056.88</v>
      </c>
      <c r="H112" s="9">
        <v>88.07</v>
      </c>
      <c r="I112" s="9">
        <v>35.23</v>
      </c>
      <c r="J112" s="9">
        <v>264.22</v>
      </c>
      <c r="K112" s="9">
        <v>123.3</v>
      </c>
      <c r="L112" s="9">
        <v>193.76</v>
      </c>
      <c r="M112" s="9">
        <v>158.53</v>
      </c>
      <c r="N112" s="15">
        <f t="shared" si="2"/>
        <v>1919.99</v>
      </c>
    </row>
    <row r="113" customFormat="1" ht="25" customHeight="1" spans="1:14">
      <c r="A113" s="11" t="s">
        <v>50</v>
      </c>
      <c r="B113" s="12"/>
      <c r="C113" s="11"/>
      <c r="D113" s="13"/>
      <c r="E113" s="12"/>
      <c r="F113" s="11"/>
      <c r="G113" s="14"/>
      <c r="H113" s="14"/>
      <c r="I113" s="14"/>
      <c r="J113" s="14"/>
      <c r="K113" s="14"/>
      <c r="L113" s="14"/>
      <c r="M113" s="14"/>
      <c r="N113" s="14">
        <f>SUM(N110:N112)</f>
        <v>4367.99</v>
      </c>
    </row>
    <row r="114" customFormat="1" ht="60" customHeight="1" spans="1:14">
      <c r="A114" s="4">
        <v>72</v>
      </c>
      <c r="B114" s="4" t="s">
        <v>1215</v>
      </c>
      <c r="C114" s="4" t="s">
        <v>1169</v>
      </c>
      <c r="D114" s="8" t="s">
        <v>1170</v>
      </c>
      <c r="E114" s="4" t="s">
        <v>55</v>
      </c>
      <c r="F114" s="4">
        <v>1</v>
      </c>
      <c r="G114" s="9">
        <v>1288.07</v>
      </c>
      <c r="H114" s="9">
        <v>49.54</v>
      </c>
      <c r="I114" s="9">
        <v>16.51</v>
      </c>
      <c r="J114" s="9">
        <v>66.06</v>
      </c>
      <c r="K114" s="9">
        <v>49.54</v>
      </c>
      <c r="L114" s="9">
        <v>181.65</v>
      </c>
      <c r="M114" s="9">
        <v>148.62</v>
      </c>
      <c r="N114" s="15">
        <f t="shared" si="2"/>
        <v>1799.99</v>
      </c>
    </row>
    <row r="115" customFormat="1" ht="65" customHeight="1" spans="1:14">
      <c r="A115" s="4">
        <v>73</v>
      </c>
      <c r="B115" s="4" t="s">
        <v>1216</v>
      </c>
      <c r="C115" s="4" t="s">
        <v>1172</v>
      </c>
      <c r="D115" s="8" t="s">
        <v>1173</v>
      </c>
      <c r="E115" s="4" t="s">
        <v>55</v>
      </c>
      <c r="F115" s="4">
        <v>1</v>
      </c>
      <c r="G115" s="9">
        <v>465.14</v>
      </c>
      <c r="H115" s="9">
        <v>17.89</v>
      </c>
      <c r="I115" s="9">
        <v>5.96</v>
      </c>
      <c r="J115" s="9">
        <v>23.85</v>
      </c>
      <c r="K115" s="9">
        <v>17.89</v>
      </c>
      <c r="L115" s="9">
        <v>65.6</v>
      </c>
      <c r="M115" s="9">
        <v>53.67</v>
      </c>
      <c r="N115" s="15">
        <f t="shared" si="2"/>
        <v>650</v>
      </c>
    </row>
    <row r="116" customFormat="1" ht="45" customHeight="1" spans="1:14">
      <c r="A116" s="4">
        <v>74</v>
      </c>
      <c r="B116" s="4" t="s">
        <v>1217</v>
      </c>
      <c r="C116" s="4" t="s">
        <v>1175</v>
      </c>
      <c r="D116" s="8" t="s">
        <v>1176</v>
      </c>
      <c r="E116" s="4" t="s">
        <v>93</v>
      </c>
      <c r="F116" s="4">
        <v>3</v>
      </c>
      <c r="G116" s="9">
        <v>601.1</v>
      </c>
      <c r="H116" s="9">
        <v>23.12</v>
      </c>
      <c r="I116" s="9">
        <v>7.71</v>
      </c>
      <c r="J116" s="9">
        <v>30.83</v>
      </c>
      <c r="K116" s="9">
        <v>23.12</v>
      </c>
      <c r="L116" s="9">
        <v>84.77</v>
      </c>
      <c r="M116" s="9">
        <v>69.36</v>
      </c>
      <c r="N116" s="15">
        <f t="shared" si="2"/>
        <v>840.01</v>
      </c>
    </row>
    <row r="117" customFormat="1" ht="25" customHeight="1" spans="1:14">
      <c r="A117" s="11" t="s">
        <v>50</v>
      </c>
      <c r="B117" s="12"/>
      <c r="C117" s="11"/>
      <c r="D117" s="13"/>
      <c r="E117" s="12"/>
      <c r="F117" s="11"/>
      <c r="G117" s="14"/>
      <c r="H117" s="14"/>
      <c r="I117" s="14"/>
      <c r="J117" s="14"/>
      <c r="K117" s="14"/>
      <c r="L117" s="14"/>
      <c r="M117" s="14"/>
      <c r="N117" s="14">
        <f>SUM(N114:N116)</f>
        <v>3290</v>
      </c>
    </row>
    <row r="118" customFormat="1" ht="108" customHeight="1" spans="1:14">
      <c r="A118" s="4">
        <v>75</v>
      </c>
      <c r="B118" s="4" t="s">
        <v>1218</v>
      </c>
      <c r="C118" s="4" t="s">
        <v>1219</v>
      </c>
      <c r="D118" s="8" t="s">
        <v>1220</v>
      </c>
      <c r="E118" s="4" t="s">
        <v>55</v>
      </c>
      <c r="F118" s="4">
        <v>3</v>
      </c>
      <c r="G118" s="9">
        <v>30055.05</v>
      </c>
      <c r="H118" s="9">
        <v>1155.96</v>
      </c>
      <c r="I118" s="9">
        <v>385.32</v>
      </c>
      <c r="J118" s="9">
        <v>1541.28</v>
      </c>
      <c r="K118" s="9">
        <v>1155.96</v>
      </c>
      <c r="L118" s="9">
        <v>4238.53</v>
      </c>
      <c r="M118" s="9">
        <v>3467.89</v>
      </c>
      <c r="N118" s="15">
        <f t="shared" si="2"/>
        <v>41999.99</v>
      </c>
    </row>
    <row r="119" customFormat="1" ht="45" customHeight="1" spans="1:14">
      <c r="A119" s="4">
        <v>76</v>
      </c>
      <c r="B119" s="4" t="s">
        <v>1221</v>
      </c>
      <c r="C119" s="4" t="s">
        <v>1175</v>
      </c>
      <c r="D119" s="8" t="s">
        <v>1176</v>
      </c>
      <c r="E119" s="4" t="s">
        <v>93</v>
      </c>
      <c r="F119" s="4">
        <v>9</v>
      </c>
      <c r="G119" s="9">
        <v>1803.3</v>
      </c>
      <c r="H119" s="9">
        <v>69.36</v>
      </c>
      <c r="I119" s="9">
        <v>23.12</v>
      </c>
      <c r="J119" s="9">
        <v>92.48</v>
      </c>
      <c r="K119" s="9">
        <v>69.36</v>
      </c>
      <c r="L119" s="9">
        <v>254.31</v>
      </c>
      <c r="M119" s="9">
        <v>208.07</v>
      </c>
      <c r="N119" s="15">
        <f t="shared" si="2"/>
        <v>2520</v>
      </c>
    </row>
    <row r="120" customFormat="1" ht="25" customHeight="1" spans="1:14">
      <c r="A120" s="11" t="s">
        <v>50</v>
      </c>
      <c r="B120" s="12"/>
      <c r="C120" s="11"/>
      <c r="D120" s="13"/>
      <c r="E120" s="12"/>
      <c r="F120" s="11"/>
      <c r="G120" s="14"/>
      <c r="H120" s="14"/>
      <c r="I120" s="14"/>
      <c r="J120" s="14"/>
      <c r="K120" s="14"/>
      <c r="L120" s="14"/>
      <c r="M120" s="14"/>
      <c r="N120" s="14">
        <f>SUM(N118:N119)</f>
        <v>44519.99</v>
      </c>
    </row>
    <row r="121" customFormat="1" ht="118" customHeight="1" spans="1:14">
      <c r="A121" s="4">
        <v>77</v>
      </c>
      <c r="B121" s="4" t="s">
        <v>1222</v>
      </c>
      <c r="C121" s="4" t="s">
        <v>1034</v>
      </c>
      <c r="D121" s="8" t="s">
        <v>1223</v>
      </c>
      <c r="E121" s="4" t="s">
        <v>55</v>
      </c>
      <c r="F121" s="4">
        <v>4</v>
      </c>
      <c r="G121" s="9">
        <v>12829.36</v>
      </c>
      <c r="H121" s="9">
        <v>3376.15</v>
      </c>
      <c r="I121" s="9">
        <v>1688.07</v>
      </c>
      <c r="J121" s="9">
        <v>9453.21</v>
      </c>
      <c r="K121" s="9">
        <v>2700.92</v>
      </c>
      <c r="L121" s="9">
        <v>3713.76</v>
      </c>
      <c r="M121" s="9">
        <v>3038.53</v>
      </c>
      <c r="N121" s="15">
        <f t="shared" si="2"/>
        <v>36800</v>
      </c>
    </row>
    <row r="122" customFormat="1" ht="75" customHeight="1" spans="1:14">
      <c r="A122" s="4">
        <v>78</v>
      </c>
      <c r="B122" s="4" t="s">
        <v>1224</v>
      </c>
      <c r="C122" s="4" t="s">
        <v>1037</v>
      </c>
      <c r="D122" s="8" t="s">
        <v>1225</v>
      </c>
      <c r="E122" s="4" t="s">
        <v>55</v>
      </c>
      <c r="F122" s="4">
        <v>2</v>
      </c>
      <c r="G122" s="9">
        <v>13475.23</v>
      </c>
      <c r="H122" s="9">
        <v>1122.94</v>
      </c>
      <c r="I122" s="9">
        <v>449.17</v>
      </c>
      <c r="J122" s="9">
        <v>3368.81</v>
      </c>
      <c r="K122" s="9">
        <v>1572.11</v>
      </c>
      <c r="L122" s="9">
        <v>2470.46</v>
      </c>
      <c r="M122" s="9">
        <v>2021.28</v>
      </c>
      <c r="N122" s="15">
        <f t="shared" si="2"/>
        <v>24480</v>
      </c>
    </row>
    <row r="123" customFormat="1" ht="25" customHeight="1" spans="1:14">
      <c r="A123" s="11" t="s">
        <v>50</v>
      </c>
      <c r="B123" s="12"/>
      <c r="C123" s="11"/>
      <c r="D123" s="13"/>
      <c r="E123" s="12"/>
      <c r="F123" s="11"/>
      <c r="G123" s="14"/>
      <c r="H123" s="14"/>
      <c r="I123" s="14"/>
      <c r="J123" s="14"/>
      <c r="K123" s="14"/>
      <c r="L123" s="14"/>
      <c r="M123" s="14"/>
      <c r="N123" s="14">
        <f>SUM(N121:N122)</f>
        <v>61280</v>
      </c>
    </row>
    <row r="124" customFormat="1" ht="86" customHeight="1" spans="1:14">
      <c r="A124" s="4">
        <v>79</v>
      </c>
      <c r="B124" s="4" t="s">
        <v>1226</v>
      </c>
      <c r="C124" s="4" t="s">
        <v>1040</v>
      </c>
      <c r="D124" s="8" t="s">
        <v>1227</v>
      </c>
      <c r="E124" s="4" t="s">
        <v>55</v>
      </c>
      <c r="F124" s="4">
        <v>4</v>
      </c>
      <c r="G124" s="9">
        <v>7045.87</v>
      </c>
      <c r="H124" s="9">
        <v>587.16</v>
      </c>
      <c r="I124" s="9">
        <v>234.86</v>
      </c>
      <c r="J124" s="9">
        <v>1761.47</v>
      </c>
      <c r="K124" s="9">
        <v>822.02</v>
      </c>
      <c r="L124" s="9">
        <v>1291.74</v>
      </c>
      <c r="M124" s="9">
        <v>1056.88</v>
      </c>
      <c r="N124" s="15">
        <f t="shared" si="2"/>
        <v>12800</v>
      </c>
    </row>
    <row r="125" customFormat="1" ht="84" customHeight="1" spans="1:14">
      <c r="A125" s="4">
        <v>80</v>
      </c>
      <c r="B125" s="4" t="s">
        <v>1228</v>
      </c>
      <c r="C125" s="4" t="s">
        <v>1229</v>
      </c>
      <c r="D125" s="8" t="s">
        <v>1230</v>
      </c>
      <c r="E125" s="4" t="s">
        <v>55</v>
      </c>
      <c r="F125" s="4">
        <v>4</v>
      </c>
      <c r="G125" s="9">
        <v>2518.9</v>
      </c>
      <c r="H125" s="9">
        <v>209.91</v>
      </c>
      <c r="I125" s="9">
        <v>83.96</v>
      </c>
      <c r="J125" s="9">
        <v>629.72</v>
      </c>
      <c r="K125" s="9">
        <v>293.87</v>
      </c>
      <c r="L125" s="9">
        <v>461.8</v>
      </c>
      <c r="M125" s="9">
        <v>377.83</v>
      </c>
      <c r="N125" s="15">
        <f t="shared" si="2"/>
        <v>4575.99</v>
      </c>
    </row>
    <row r="126" customFormat="1" ht="25" customHeight="1" spans="1:14">
      <c r="A126" s="11" t="s">
        <v>50</v>
      </c>
      <c r="B126" s="12"/>
      <c r="C126" s="11"/>
      <c r="D126" s="13"/>
      <c r="E126" s="12"/>
      <c r="F126" s="11"/>
      <c r="G126" s="14"/>
      <c r="H126" s="14"/>
      <c r="I126" s="14"/>
      <c r="J126" s="14"/>
      <c r="K126" s="14"/>
      <c r="L126" s="14"/>
      <c r="M126" s="14"/>
      <c r="N126" s="14">
        <f>SUM(N124:N125)</f>
        <v>17375.99</v>
      </c>
    </row>
    <row r="127" customFormat="1" ht="93" customHeight="1" spans="1:14">
      <c r="A127" s="4">
        <v>81</v>
      </c>
      <c r="B127" s="4" t="s">
        <v>1231</v>
      </c>
      <c r="C127" s="4" t="s">
        <v>1043</v>
      </c>
      <c r="D127" s="8" t="s">
        <v>1232</v>
      </c>
      <c r="E127" s="4" t="s">
        <v>55</v>
      </c>
      <c r="F127" s="4">
        <v>12</v>
      </c>
      <c r="G127" s="9">
        <v>3778.35</v>
      </c>
      <c r="H127" s="9">
        <v>314.86</v>
      </c>
      <c r="I127" s="9">
        <v>125.94</v>
      </c>
      <c r="J127" s="9">
        <v>944.59</v>
      </c>
      <c r="K127" s="9">
        <v>440.81</v>
      </c>
      <c r="L127" s="9">
        <v>692.7</v>
      </c>
      <c r="M127" s="9">
        <v>566.75</v>
      </c>
      <c r="N127" s="15">
        <f t="shared" si="2"/>
        <v>6864</v>
      </c>
    </row>
    <row r="128" customFormat="1" ht="102" customHeight="1" spans="1:14">
      <c r="A128" s="4">
        <v>82</v>
      </c>
      <c r="B128" s="4" t="s">
        <v>1233</v>
      </c>
      <c r="C128" s="4" t="s">
        <v>1046</v>
      </c>
      <c r="D128" s="8" t="s">
        <v>1234</v>
      </c>
      <c r="E128" s="4" t="s">
        <v>55</v>
      </c>
      <c r="F128" s="4">
        <v>1</v>
      </c>
      <c r="G128" s="9">
        <v>4396.62</v>
      </c>
      <c r="H128" s="9">
        <v>169.1</v>
      </c>
      <c r="I128" s="9">
        <v>56.37</v>
      </c>
      <c r="J128" s="9">
        <v>225.47</v>
      </c>
      <c r="K128" s="9">
        <v>169.1</v>
      </c>
      <c r="L128" s="9">
        <v>620.04</v>
      </c>
      <c r="M128" s="9">
        <v>507.3</v>
      </c>
      <c r="N128" s="15">
        <f t="shared" si="2"/>
        <v>6144</v>
      </c>
    </row>
    <row r="129" customFormat="1" ht="25" customHeight="1" spans="1:14">
      <c r="A129" s="11" t="s">
        <v>50</v>
      </c>
      <c r="B129" s="12"/>
      <c r="C129" s="11"/>
      <c r="D129" s="13"/>
      <c r="E129" s="12"/>
      <c r="F129" s="11"/>
      <c r="G129" s="14"/>
      <c r="H129" s="14"/>
      <c r="I129" s="14"/>
      <c r="J129" s="14"/>
      <c r="K129" s="14"/>
      <c r="L129" s="14"/>
      <c r="M129" s="14"/>
      <c r="N129" s="14">
        <f>SUM(N127:N128)</f>
        <v>13008</v>
      </c>
    </row>
    <row r="130" customFormat="1" ht="102" customHeight="1" spans="1:14">
      <c r="A130" s="4">
        <v>83</v>
      </c>
      <c r="B130" s="4" t="s">
        <v>1235</v>
      </c>
      <c r="C130" s="4" t="s">
        <v>1049</v>
      </c>
      <c r="D130" s="8" t="s">
        <v>1236</v>
      </c>
      <c r="E130" s="4" t="s">
        <v>55</v>
      </c>
      <c r="F130" s="4">
        <v>1</v>
      </c>
      <c r="G130" s="9">
        <v>5810.64</v>
      </c>
      <c r="H130" s="9">
        <v>223.49</v>
      </c>
      <c r="I130" s="9">
        <v>74.5</v>
      </c>
      <c r="J130" s="9">
        <v>297.98</v>
      </c>
      <c r="K130" s="9">
        <v>223.49</v>
      </c>
      <c r="L130" s="9">
        <v>819.45</v>
      </c>
      <c r="M130" s="9">
        <v>670.46</v>
      </c>
      <c r="N130" s="15">
        <f t="shared" si="2"/>
        <v>8120.01</v>
      </c>
    </row>
    <row r="131" customFormat="1" ht="102" customHeight="1" spans="1:14">
      <c r="A131" s="4">
        <v>84</v>
      </c>
      <c r="B131" s="4" t="s">
        <v>1237</v>
      </c>
      <c r="C131" s="4" t="s">
        <v>1238</v>
      </c>
      <c r="D131" s="8" t="s">
        <v>1239</v>
      </c>
      <c r="E131" s="4" t="s">
        <v>55</v>
      </c>
      <c r="F131" s="4">
        <v>1</v>
      </c>
      <c r="G131" s="9">
        <v>3142.9</v>
      </c>
      <c r="H131" s="9">
        <v>120.88</v>
      </c>
      <c r="I131" s="9">
        <v>40.29</v>
      </c>
      <c r="J131" s="9">
        <v>161.17</v>
      </c>
      <c r="K131" s="9">
        <v>120.88</v>
      </c>
      <c r="L131" s="9">
        <v>443.23</v>
      </c>
      <c r="M131" s="9">
        <v>362.64</v>
      </c>
      <c r="N131" s="15">
        <f t="shared" si="2"/>
        <v>4391.99</v>
      </c>
    </row>
    <row r="132" customFormat="1" ht="25" customHeight="1" spans="1:14">
      <c r="A132" s="11" t="s">
        <v>50</v>
      </c>
      <c r="B132" s="12"/>
      <c r="C132" s="11"/>
      <c r="D132" s="13"/>
      <c r="E132" s="12"/>
      <c r="F132" s="11"/>
      <c r="G132" s="14"/>
      <c r="H132" s="14"/>
      <c r="I132" s="14"/>
      <c r="J132" s="14"/>
      <c r="K132" s="14"/>
      <c r="L132" s="14"/>
      <c r="M132" s="14"/>
      <c r="N132" s="14">
        <f>SUM(N130:N131)</f>
        <v>12512</v>
      </c>
    </row>
    <row r="133" customFormat="1" ht="102" customHeight="1" spans="1:14">
      <c r="A133" s="4">
        <v>85</v>
      </c>
      <c r="B133" s="4" t="s">
        <v>1240</v>
      </c>
      <c r="C133" s="4" t="s">
        <v>1052</v>
      </c>
      <c r="D133" s="8" t="s">
        <v>1241</v>
      </c>
      <c r="E133" s="4" t="s">
        <v>55</v>
      </c>
      <c r="F133" s="4">
        <v>2</v>
      </c>
      <c r="G133" s="9">
        <v>6285.8</v>
      </c>
      <c r="H133" s="9">
        <v>241.76</v>
      </c>
      <c r="I133" s="9">
        <v>80.59</v>
      </c>
      <c r="J133" s="9">
        <v>322.35</v>
      </c>
      <c r="K133" s="9">
        <v>241.76</v>
      </c>
      <c r="L133" s="9">
        <v>886.46</v>
      </c>
      <c r="M133" s="9">
        <v>725.28</v>
      </c>
      <c r="N133" s="15">
        <f t="shared" ref="N133:N196" si="4">SUM(G133:M133)</f>
        <v>8784</v>
      </c>
    </row>
    <row r="134" customFormat="1" ht="109" customHeight="1" spans="1:14">
      <c r="A134" s="4">
        <v>86</v>
      </c>
      <c r="B134" s="4" t="s">
        <v>1242</v>
      </c>
      <c r="C134" s="4" t="s">
        <v>1055</v>
      </c>
      <c r="D134" s="8" t="s">
        <v>1243</v>
      </c>
      <c r="E134" s="4" t="s">
        <v>55</v>
      </c>
      <c r="F134" s="4">
        <v>2</v>
      </c>
      <c r="G134" s="9">
        <v>6011.01</v>
      </c>
      <c r="H134" s="9">
        <v>231.19</v>
      </c>
      <c r="I134" s="9">
        <v>77.06</v>
      </c>
      <c r="J134" s="9">
        <v>308.26</v>
      </c>
      <c r="K134" s="9">
        <v>231.19</v>
      </c>
      <c r="L134" s="9">
        <v>847.71</v>
      </c>
      <c r="M134" s="9">
        <v>693.58</v>
      </c>
      <c r="N134" s="15">
        <f t="shared" si="4"/>
        <v>8400</v>
      </c>
    </row>
    <row r="135" customFormat="1" ht="25" customHeight="1" spans="1:14">
      <c r="A135" s="11" t="s">
        <v>50</v>
      </c>
      <c r="B135" s="12"/>
      <c r="C135" s="11"/>
      <c r="D135" s="13"/>
      <c r="E135" s="12"/>
      <c r="F135" s="11"/>
      <c r="G135" s="14"/>
      <c r="H135" s="14"/>
      <c r="I135" s="14"/>
      <c r="J135" s="14"/>
      <c r="K135" s="14"/>
      <c r="L135" s="14"/>
      <c r="M135" s="14"/>
      <c r="N135" s="14">
        <f>SUM(N133:N134)</f>
        <v>17184</v>
      </c>
    </row>
    <row r="136" customFormat="1" ht="60" customHeight="1" spans="1:14">
      <c r="A136" s="4">
        <v>87</v>
      </c>
      <c r="B136" s="4" t="s">
        <v>1244</v>
      </c>
      <c r="C136" s="4" t="s">
        <v>1245</v>
      </c>
      <c r="D136" s="8" t="s">
        <v>1246</v>
      </c>
      <c r="E136" s="4" t="s">
        <v>55</v>
      </c>
      <c r="F136" s="4">
        <v>1</v>
      </c>
      <c r="G136" s="9">
        <v>2994.5</v>
      </c>
      <c r="H136" s="9">
        <v>249.54</v>
      </c>
      <c r="I136" s="9">
        <v>99.82</v>
      </c>
      <c r="J136" s="9">
        <v>748.62</v>
      </c>
      <c r="K136" s="9">
        <v>349.36</v>
      </c>
      <c r="L136" s="9">
        <v>548.99</v>
      </c>
      <c r="M136" s="9">
        <v>449.17</v>
      </c>
      <c r="N136" s="15">
        <f t="shared" si="4"/>
        <v>5440</v>
      </c>
    </row>
    <row r="137" customFormat="1" ht="103" customHeight="1" spans="1:14">
      <c r="A137" s="4">
        <v>88</v>
      </c>
      <c r="B137" s="4" t="s">
        <v>1247</v>
      </c>
      <c r="C137" s="4" t="s">
        <v>1058</v>
      </c>
      <c r="D137" s="8" t="s">
        <v>1248</v>
      </c>
      <c r="E137" s="4" t="s">
        <v>55</v>
      </c>
      <c r="F137" s="4">
        <v>1</v>
      </c>
      <c r="G137" s="9">
        <v>12550.46</v>
      </c>
      <c r="H137" s="9">
        <v>1045.87</v>
      </c>
      <c r="I137" s="9">
        <v>418.35</v>
      </c>
      <c r="J137" s="9">
        <v>3137.61</v>
      </c>
      <c r="K137" s="9">
        <v>1464.22</v>
      </c>
      <c r="L137" s="9">
        <v>2300.92</v>
      </c>
      <c r="M137" s="9">
        <v>1882.57</v>
      </c>
      <c r="N137" s="15">
        <f t="shared" si="4"/>
        <v>22800</v>
      </c>
    </row>
    <row r="138" customFormat="1" ht="60" customHeight="1" spans="1:14">
      <c r="A138" s="4">
        <v>89</v>
      </c>
      <c r="B138" s="4" t="s">
        <v>1249</v>
      </c>
      <c r="C138" s="4" t="s">
        <v>1061</v>
      </c>
      <c r="D138" s="8" t="s">
        <v>1062</v>
      </c>
      <c r="E138" s="4" t="s">
        <v>55</v>
      </c>
      <c r="F138" s="4">
        <v>1</v>
      </c>
      <c r="G138" s="9">
        <v>3514.13</v>
      </c>
      <c r="H138" s="9">
        <v>292.84</v>
      </c>
      <c r="I138" s="9">
        <v>117.14</v>
      </c>
      <c r="J138" s="9">
        <v>878.53</v>
      </c>
      <c r="K138" s="9">
        <v>409.98</v>
      </c>
      <c r="L138" s="9">
        <v>644.26</v>
      </c>
      <c r="M138" s="9">
        <v>527.12</v>
      </c>
      <c r="N138" s="15">
        <f t="shared" si="4"/>
        <v>6384</v>
      </c>
    </row>
    <row r="139" customFormat="1" ht="25" customHeight="1" spans="1:14">
      <c r="A139" s="11" t="s">
        <v>50</v>
      </c>
      <c r="B139" s="12"/>
      <c r="C139" s="11"/>
      <c r="D139" s="13"/>
      <c r="E139" s="12"/>
      <c r="F139" s="11"/>
      <c r="G139" s="14"/>
      <c r="H139" s="14"/>
      <c r="I139" s="14"/>
      <c r="J139" s="14"/>
      <c r="K139" s="14"/>
      <c r="L139" s="14"/>
      <c r="M139" s="14"/>
      <c r="N139" s="14">
        <f>SUM(N136:N138)</f>
        <v>34624</v>
      </c>
    </row>
    <row r="140" customFormat="1" ht="91" customHeight="1" spans="1:14">
      <c r="A140" s="4">
        <v>90</v>
      </c>
      <c r="B140" s="4" t="s">
        <v>1250</v>
      </c>
      <c r="C140" s="4" t="s">
        <v>1064</v>
      </c>
      <c r="D140" s="8" t="s">
        <v>1065</v>
      </c>
      <c r="E140" s="4" t="s">
        <v>55</v>
      </c>
      <c r="F140" s="4">
        <v>2</v>
      </c>
      <c r="G140" s="9">
        <v>3153.03</v>
      </c>
      <c r="H140" s="9">
        <v>262.75</v>
      </c>
      <c r="I140" s="9">
        <v>105.1</v>
      </c>
      <c r="J140" s="9">
        <v>788.26</v>
      </c>
      <c r="K140" s="9">
        <v>367.85</v>
      </c>
      <c r="L140" s="9">
        <v>578.06</v>
      </c>
      <c r="M140" s="9">
        <v>472.95</v>
      </c>
      <c r="N140" s="15">
        <f t="shared" si="4"/>
        <v>5728</v>
      </c>
    </row>
    <row r="141" customFormat="1" ht="83" customHeight="1" spans="1:14">
      <c r="A141" s="4">
        <v>91</v>
      </c>
      <c r="B141" s="4" t="s">
        <v>1251</v>
      </c>
      <c r="C141" s="4" t="s">
        <v>1067</v>
      </c>
      <c r="D141" s="8" t="s">
        <v>1068</v>
      </c>
      <c r="E141" s="4" t="s">
        <v>55</v>
      </c>
      <c r="F141" s="4">
        <v>4</v>
      </c>
      <c r="G141" s="9">
        <v>2289.91</v>
      </c>
      <c r="H141" s="9">
        <v>88.07</v>
      </c>
      <c r="I141" s="9">
        <v>29.36</v>
      </c>
      <c r="J141" s="9">
        <v>117.43</v>
      </c>
      <c r="K141" s="9">
        <v>88.07</v>
      </c>
      <c r="L141" s="9">
        <v>322.94</v>
      </c>
      <c r="M141" s="9">
        <v>264.22</v>
      </c>
      <c r="N141" s="15">
        <f t="shared" si="4"/>
        <v>3200</v>
      </c>
    </row>
    <row r="142" customFormat="1" ht="25" customHeight="1" spans="1:14">
      <c r="A142" s="11" t="s">
        <v>50</v>
      </c>
      <c r="B142" s="12"/>
      <c r="C142" s="11"/>
      <c r="D142" s="13"/>
      <c r="E142" s="12"/>
      <c r="F142" s="11"/>
      <c r="G142" s="14"/>
      <c r="H142" s="14"/>
      <c r="I142" s="14"/>
      <c r="J142" s="14"/>
      <c r="K142" s="14"/>
      <c r="L142" s="14"/>
      <c r="M142" s="14"/>
      <c r="N142" s="14">
        <f>SUM(N140:N141)</f>
        <v>8928</v>
      </c>
    </row>
    <row r="143" customFormat="1" ht="83" customHeight="1" spans="1:14">
      <c r="A143" s="4">
        <v>92</v>
      </c>
      <c r="B143" s="4" t="s">
        <v>1252</v>
      </c>
      <c r="C143" s="4" t="s">
        <v>1253</v>
      </c>
      <c r="D143" s="8" t="s">
        <v>1254</v>
      </c>
      <c r="E143" s="4" t="s">
        <v>55</v>
      </c>
      <c r="F143" s="4">
        <v>2</v>
      </c>
      <c r="G143" s="9">
        <v>2392.95</v>
      </c>
      <c r="H143" s="9">
        <v>92.04</v>
      </c>
      <c r="I143" s="9">
        <v>30.68</v>
      </c>
      <c r="J143" s="9">
        <v>122.72</v>
      </c>
      <c r="K143" s="9">
        <v>92.04</v>
      </c>
      <c r="L143" s="9">
        <v>337.47</v>
      </c>
      <c r="M143" s="9">
        <v>276.11</v>
      </c>
      <c r="N143" s="15">
        <f t="shared" si="4"/>
        <v>3344.01</v>
      </c>
    </row>
    <row r="144" customFormat="1" ht="83" customHeight="1" spans="1:14">
      <c r="A144" s="4">
        <v>93</v>
      </c>
      <c r="B144" s="4" t="s">
        <v>1255</v>
      </c>
      <c r="C144" s="4" t="s">
        <v>1070</v>
      </c>
      <c r="D144" s="8" t="s">
        <v>1256</v>
      </c>
      <c r="E144" s="4" t="s">
        <v>55</v>
      </c>
      <c r="F144" s="4">
        <v>2</v>
      </c>
      <c r="G144" s="9">
        <v>1007.56</v>
      </c>
      <c r="H144" s="9">
        <v>38.75</v>
      </c>
      <c r="I144" s="9">
        <v>12.92</v>
      </c>
      <c r="J144" s="9">
        <v>51.67</v>
      </c>
      <c r="K144" s="9">
        <v>38.75</v>
      </c>
      <c r="L144" s="9">
        <v>142.09</v>
      </c>
      <c r="M144" s="9">
        <v>116.26</v>
      </c>
      <c r="N144" s="15">
        <f t="shared" si="4"/>
        <v>1408</v>
      </c>
    </row>
    <row r="145" customFormat="1" ht="25" customHeight="1" spans="1:14">
      <c r="A145" s="11" t="s">
        <v>50</v>
      </c>
      <c r="B145" s="12"/>
      <c r="C145" s="11"/>
      <c r="D145" s="13"/>
      <c r="E145" s="12"/>
      <c r="F145" s="11"/>
      <c r="G145" s="14"/>
      <c r="H145" s="14"/>
      <c r="I145" s="14"/>
      <c r="J145" s="14"/>
      <c r="K145" s="14"/>
      <c r="L145" s="14"/>
      <c r="M145" s="14"/>
      <c r="N145" s="14">
        <f>SUM(N143:N144)</f>
        <v>4752.01</v>
      </c>
    </row>
    <row r="146" customFormat="1" ht="66" customHeight="1" spans="1:14">
      <c r="A146" s="4">
        <v>94</v>
      </c>
      <c r="B146" s="4" t="s">
        <v>1257</v>
      </c>
      <c r="C146" s="4" t="s">
        <v>1073</v>
      </c>
      <c r="D146" s="8" t="s">
        <v>1074</v>
      </c>
      <c r="E146" s="4" t="s">
        <v>55</v>
      </c>
      <c r="F146" s="4">
        <v>8</v>
      </c>
      <c r="G146" s="9">
        <v>6869.72</v>
      </c>
      <c r="H146" s="9">
        <v>264.22</v>
      </c>
      <c r="I146" s="9">
        <v>88.07</v>
      </c>
      <c r="J146" s="9">
        <v>352.29</v>
      </c>
      <c r="K146" s="9">
        <v>264.22</v>
      </c>
      <c r="L146" s="9">
        <v>968.81</v>
      </c>
      <c r="M146" s="9">
        <v>792.66</v>
      </c>
      <c r="N146" s="15">
        <f t="shared" si="4"/>
        <v>9599.99</v>
      </c>
    </row>
    <row r="147" customFormat="1" ht="60" customHeight="1" spans="1:14">
      <c r="A147" s="4">
        <v>95</v>
      </c>
      <c r="B147" s="4" t="s">
        <v>1258</v>
      </c>
      <c r="C147" s="4" t="s">
        <v>1076</v>
      </c>
      <c r="D147" s="8" t="s">
        <v>1077</v>
      </c>
      <c r="E147" s="4" t="s">
        <v>332</v>
      </c>
      <c r="F147" s="4">
        <v>2</v>
      </c>
      <c r="G147" s="9">
        <v>2392.95</v>
      </c>
      <c r="H147" s="9">
        <v>92.04</v>
      </c>
      <c r="I147" s="9">
        <v>30.68</v>
      </c>
      <c r="J147" s="9">
        <v>122.72</v>
      </c>
      <c r="K147" s="9">
        <v>92.04</v>
      </c>
      <c r="L147" s="9">
        <v>337.47</v>
      </c>
      <c r="M147" s="9">
        <v>276.11</v>
      </c>
      <c r="N147" s="15">
        <f t="shared" si="4"/>
        <v>3344.01</v>
      </c>
    </row>
    <row r="148" customFormat="1" ht="60" customHeight="1" spans="1:14">
      <c r="A148" s="4">
        <v>96</v>
      </c>
      <c r="B148" s="4" t="s">
        <v>1259</v>
      </c>
      <c r="C148" s="4" t="s">
        <v>1079</v>
      </c>
      <c r="D148" s="8" t="s">
        <v>1080</v>
      </c>
      <c r="E148" s="4" t="s">
        <v>93</v>
      </c>
      <c r="F148" s="4">
        <v>2</v>
      </c>
      <c r="G148" s="9">
        <v>1211.01</v>
      </c>
      <c r="H148" s="9">
        <v>100.92</v>
      </c>
      <c r="I148" s="9">
        <v>40.37</v>
      </c>
      <c r="J148" s="9">
        <v>302.75</v>
      </c>
      <c r="K148" s="9">
        <v>141.28</v>
      </c>
      <c r="L148" s="9">
        <v>222.02</v>
      </c>
      <c r="M148" s="9">
        <v>181.65</v>
      </c>
      <c r="N148" s="15">
        <f t="shared" si="4"/>
        <v>2200</v>
      </c>
    </row>
    <row r="149" customFormat="1" ht="25" customHeight="1" spans="1:14">
      <c r="A149" s="11" t="s">
        <v>50</v>
      </c>
      <c r="B149" s="12"/>
      <c r="C149" s="11"/>
      <c r="D149" s="13"/>
      <c r="E149" s="12"/>
      <c r="F149" s="11"/>
      <c r="G149" s="14"/>
      <c r="H149" s="14"/>
      <c r="I149" s="14"/>
      <c r="J149" s="14"/>
      <c r="K149" s="14"/>
      <c r="L149" s="14"/>
      <c r="M149" s="14"/>
      <c r="N149" s="14">
        <f>SUM(N146:N148)</f>
        <v>15144</v>
      </c>
    </row>
    <row r="150" customFormat="1" ht="87" customHeight="1" spans="1:14">
      <c r="A150" s="4">
        <v>97</v>
      </c>
      <c r="B150" s="4" t="s">
        <v>1260</v>
      </c>
      <c r="C150" s="4" t="s">
        <v>1082</v>
      </c>
      <c r="D150" s="8" t="s">
        <v>1083</v>
      </c>
      <c r="E150" s="4" t="s">
        <v>55</v>
      </c>
      <c r="F150" s="4">
        <v>2</v>
      </c>
      <c r="G150" s="9">
        <v>1007.56</v>
      </c>
      <c r="H150" s="9">
        <v>38.75</v>
      </c>
      <c r="I150" s="9">
        <v>12.92</v>
      </c>
      <c r="J150" s="9">
        <v>51.67</v>
      </c>
      <c r="K150" s="9">
        <v>38.75</v>
      </c>
      <c r="L150" s="9">
        <v>142.09</v>
      </c>
      <c r="M150" s="9">
        <v>116.26</v>
      </c>
      <c r="N150" s="15">
        <f t="shared" si="4"/>
        <v>1408</v>
      </c>
    </row>
    <row r="151" customFormat="1" ht="71" customHeight="1" spans="1:14">
      <c r="A151" s="4">
        <v>98</v>
      </c>
      <c r="B151" s="4" t="s">
        <v>1261</v>
      </c>
      <c r="C151" s="4" t="s">
        <v>1085</v>
      </c>
      <c r="D151" s="8" t="s">
        <v>1086</v>
      </c>
      <c r="E151" s="4" t="s">
        <v>55</v>
      </c>
      <c r="F151" s="4">
        <v>1</v>
      </c>
      <c r="G151" s="9">
        <v>5009.17</v>
      </c>
      <c r="H151" s="9">
        <v>192.66</v>
      </c>
      <c r="I151" s="9">
        <v>64.22</v>
      </c>
      <c r="J151" s="9">
        <v>256.88</v>
      </c>
      <c r="K151" s="9">
        <v>192.66</v>
      </c>
      <c r="L151" s="9">
        <v>706.42</v>
      </c>
      <c r="M151" s="9">
        <v>577.98</v>
      </c>
      <c r="N151" s="15">
        <f t="shared" si="4"/>
        <v>6999.99</v>
      </c>
    </row>
    <row r="152" customFormat="1" ht="25" customHeight="1" spans="1:14">
      <c r="A152" s="11" t="s">
        <v>50</v>
      </c>
      <c r="B152" s="12"/>
      <c r="C152" s="11"/>
      <c r="D152" s="13"/>
      <c r="E152" s="12"/>
      <c r="F152" s="11"/>
      <c r="G152" s="14"/>
      <c r="H152" s="14"/>
      <c r="I152" s="14"/>
      <c r="J152" s="14"/>
      <c r="K152" s="14"/>
      <c r="L152" s="14"/>
      <c r="M152" s="14"/>
      <c r="N152" s="14">
        <f>SUM(N150:N151)</f>
        <v>8407.99</v>
      </c>
    </row>
    <row r="153" customFormat="1" ht="103" customHeight="1" spans="1:14">
      <c r="A153" s="4">
        <v>99</v>
      </c>
      <c r="B153" s="4" t="s">
        <v>1262</v>
      </c>
      <c r="C153" s="4" t="s">
        <v>1088</v>
      </c>
      <c r="D153" s="8" t="s">
        <v>1089</v>
      </c>
      <c r="E153" s="4" t="s">
        <v>55</v>
      </c>
      <c r="F153" s="4">
        <v>11</v>
      </c>
      <c r="G153" s="9">
        <v>7241.83</v>
      </c>
      <c r="H153" s="9">
        <v>278.53</v>
      </c>
      <c r="I153" s="9">
        <v>92.84</v>
      </c>
      <c r="J153" s="9">
        <v>371.38</v>
      </c>
      <c r="K153" s="9">
        <v>278.53</v>
      </c>
      <c r="L153" s="9">
        <v>1021.28</v>
      </c>
      <c r="M153" s="9">
        <v>835.6</v>
      </c>
      <c r="N153" s="15">
        <f t="shared" si="4"/>
        <v>10119.99</v>
      </c>
    </row>
    <row r="154" customFormat="1" ht="25" customHeight="1" spans="1:14">
      <c r="A154" s="11" t="s">
        <v>50</v>
      </c>
      <c r="B154" s="12"/>
      <c r="C154" s="11"/>
      <c r="D154" s="13"/>
      <c r="E154" s="12"/>
      <c r="F154" s="11"/>
      <c r="G154" s="14"/>
      <c r="H154" s="14"/>
      <c r="I154" s="14"/>
      <c r="J154" s="14"/>
      <c r="K154" s="14"/>
      <c r="L154" s="14"/>
      <c r="M154" s="14"/>
      <c r="N154" s="14">
        <f>N153</f>
        <v>10119.99</v>
      </c>
    </row>
    <row r="155" customFormat="1" ht="145" customHeight="1" spans="1:14">
      <c r="A155" s="4">
        <v>100</v>
      </c>
      <c r="B155" s="4" t="s">
        <v>1263</v>
      </c>
      <c r="C155" s="4" t="s">
        <v>1264</v>
      </c>
      <c r="D155" s="8" t="s">
        <v>1265</v>
      </c>
      <c r="E155" s="4" t="s">
        <v>1032</v>
      </c>
      <c r="F155" s="4">
        <v>64.96</v>
      </c>
      <c r="G155" s="9">
        <v>427663.27</v>
      </c>
      <c r="H155" s="9">
        <v>16448.59</v>
      </c>
      <c r="I155" s="9">
        <v>5482.86</v>
      </c>
      <c r="J155" s="9">
        <v>21931.45</v>
      </c>
      <c r="K155" s="9">
        <v>16448.59</v>
      </c>
      <c r="L155" s="9">
        <v>60311.49</v>
      </c>
      <c r="M155" s="9">
        <v>49345.76</v>
      </c>
      <c r="N155" s="15">
        <f t="shared" si="4"/>
        <v>597632.01</v>
      </c>
    </row>
    <row r="156" customFormat="1" ht="60" customHeight="1" spans="1:14">
      <c r="A156" s="4">
        <v>101</v>
      </c>
      <c r="B156" s="4" t="s">
        <v>1266</v>
      </c>
      <c r="C156" s="4" t="s">
        <v>1094</v>
      </c>
      <c r="D156" s="8" t="s">
        <v>1267</v>
      </c>
      <c r="E156" s="4" t="s">
        <v>55</v>
      </c>
      <c r="F156" s="4">
        <v>1</v>
      </c>
      <c r="G156" s="9">
        <v>5636.7</v>
      </c>
      <c r="H156" s="9">
        <v>469.72</v>
      </c>
      <c r="I156" s="9">
        <v>187.89</v>
      </c>
      <c r="J156" s="9">
        <v>1409.17</v>
      </c>
      <c r="K156" s="9">
        <v>657.61</v>
      </c>
      <c r="L156" s="9">
        <v>1033.39</v>
      </c>
      <c r="M156" s="9">
        <v>845.5</v>
      </c>
      <c r="N156" s="15">
        <f t="shared" si="4"/>
        <v>10239.98</v>
      </c>
    </row>
    <row r="157" customFormat="1" ht="25" customHeight="1" spans="1:14">
      <c r="A157" s="11" t="s">
        <v>50</v>
      </c>
      <c r="B157" s="12"/>
      <c r="C157" s="11"/>
      <c r="D157" s="13"/>
      <c r="E157" s="12"/>
      <c r="F157" s="11"/>
      <c r="G157" s="14"/>
      <c r="H157" s="14"/>
      <c r="I157" s="14"/>
      <c r="J157" s="14"/>
      <c r="K157" s="14"/>
      <c r="L157" s="14"/>
      <c r="M157" s="14"/>
      <c r="N157" s="14">
        <f>SUM(N155:N156)</f>
        <v>607871.99</v>
      </c>
    </row>
    <row r="158" customFormat="1" ht="60" customHeight="1" spans="1:14">
      <c r="A158" s="4">
        <v>102</v>
      </c>
      <c r="B158" s="4" t="s">
        <v>1268</v>
      </c>
      <c r="C158" s="4" t="s">
        <v>1097</v>
      </c>
      <c r="D158" s="8" t="s">
        <v>1098</v>
      </c>
      <c r="E158" s="4" t="s">
        <v>55</v>
      </c>
      <c r="F158" s="4">
        <v>1</v>
      </c>
      <c r="G158" s="9">
        <v>3721.1</v>
      </c>
      <c r="H158" s="9">
        <v>143.12</v>
      </c>
      <c r="I158" s="9">
        <v>47.71</v>
      </c>
      <c r="J158" s="9">
        <v>190.83</v>
      </c>
      <c r="K158" s="9">
        <v>143.12</v>
      </c>
      <c r="L158" s="9">
        <v>524.77</v>
      </c>
      <c r="M158" s="9">
        <v>429.36</v>
      </c>
      <c r="N158" s="15">
        <f t="shared" si="4"/>
        <v>5200.01</v>
      </c>
    </row>
    <row r="159" customFormat="1" ht="124" customHeight="1" spans="1:14">
      <c r="A159" s="4">
        <v>103</v>
      </c>
      <c r="B159" s="4" t="s">
        <v>1269</v>
      </c>
      <c r="C159" s="4" t="s">
        <v>1270</v>
      </c>
      <c r="D159" s="8" t="s">
        <v>1271</v>
      </c>
      <c r="E159" s="4" t="s">
        <v>1032</v>
      </c>
      <c r="F159" s="4">
        <v>20</v>
      </c>
      <c r="G159" s="9">
        <v>127376.15</v>
      </c>
      <c r="H159" s="9">
        <v>4899.08</v>
      </c>
      <c r="I159" s="9">
        <v>1633.03</v>
      </c>
      <c r="J159" s="9">
        <v>6532.11</v>
      </c>
      <c r="K159" s="9">
        <v>4899.08</v>
      </c>
      <c r="L159" s="9">
        <v>17963.3</v>
      </c>
      <c r="M159" s="9">
        <v>14697.25</v>
      </c>
      <c r="N159" s="15">
        <f t="shared" si="4"/>
        <v>178000</v>
      </c>
    </row>
    <row r="160" customFormat="1" ht="25" customHeight="1" spans="1:14">
      <c r="A160" s="11" t="s">
        <v>50</v>
      </c>
      <c r="B160" s="12"/>
      <c r="C160" s="11"/>
      <c r="D160" s="13"/>
      <c r="E160" s="12"/>
      <c r="F160" s="11"/>
      <c r="G160" s="14"/>
      <c r="H160" s="14"/>
      <c r="I160" s="14"/>
      <c r="J160" s="14"/>
      <c r="K160" s="14"/>
      <c r="L160" s="14"/>
      <c r="M160" s="14"/>
      <c r="N160" s="14">
        <f>SUM(N158:N159)</f>
        <v>183200.01</v>
      </c>
    </row>
    <row r="161" customFormat="1" ht="124" customHeight="1" spans="1:14">
      <c r="A161" s="4">
        <v>104</v>
      </c>
      <c r="B161" s="4" t="s">
        <v>1272</v>
      </c>
      <c r="C161" s="4" t="s">
        <v>1273</v>
      </c>
      <c r="D161" s="8" t="s">
        <v>1274</v>
      </c>
      <c r="E161" s="4" t="s">
        <v>1032</v>
      </c>
      <c r="F161" s="4">
        <v>22</v>
      </c>
      <c r="G161" s="9">
        <v>140113.76</v>
      </c>
      <c r="H161" s="9">
        <v>5388.99</v>
      </c>
      <c r="I161" s="9">
        <v>1796.33</v>
      </c>
      <c r="J161" s="9">
        <v>7185.32</v>
      </c>
      <c r="K161" s="9">
        <v>5388.99</v>
      </c>
      <c r="L161" s="9">
        <v>19759.63</v>
      </c>
      <c r="M161" s="9">
        <v>16166.97</v>
      </c>
      <c r="N161" s="15">
        <f t="shared" si="4"/>
        <v>195799.99</v>
      </c>
    </row>
    <row r="162" customFormat="1" ht="124" customHeight="1" spans="1:14">
      <c r="A162" s="4">
        <v>105</v>
      </c>
      <c r="B162" s="4" t="s">
        <v>1275</v>
      </c>
      <c r="C162" s="4" t="s">
        <v>1276</v>
      </c>
      <c r="D162" s="8" t="s">
        <v>1277</v>
      </c>
      <c r="E162" s="4" t="s">
        <v>1032</v>
      </c>
      <c r="F162" s="4">
        <v>22.5</v>
      </c>
      <c r="G162" s="9">
        <v>143298.17</v>
      </c>
      <c r="H162" s="9">
        <v>5511.47</v>
      </c>
      <c r="I162" s="9">
        <v>1837.16</v>
      </c>
      <c r="J162" s="9">
        <v>7348.62</v>
      </c>
      <c r="K162" s="9">
        <v>5511.47</v>
      </c>
      <c r="L162" s="9">
        <v>20208.72</v>
      </c>
      <c r="M162" s="9">
        <v>16534.4</v>
      </c>
      <c r="N162" s="15">
        <f t="shared" si="4"/>
        <v>200250.01</v>
      </c>
    </row>
    <row r="163" customFormat="1" ht="25" customHeight="1" spans="1:14">
      <c r="A163" s="11" t="s">
        <v>50</v>
      </c>
      <c r="B163" s="12"/>
      <c r="C163" s="11"/>
      <c r="D163" s="13"/>
      <c r="E163" s="12"/>
      <c r="F163" s="11"/>
      <c r="G163" s="14"/>
      <c r="H163" s="14"/>
      <c r="I163" s="14"/>
      <c r="J163" s="14"/>
      <c r="K163" s="14"/>
      <c r="L163" s="14"/>
      <c r="M163" s="14"/>
      <c r="N163" s="14">
        <f>SUM(N161:N162)</f>
        <v>396050</v>
      </c>
    </row>
    <row r="164" customFormat="1" ht="60" customHeight="1" spans="1:14">
      <c r="A164" s="4">
        <v>106</v>
      </c>
      <c r="B164" s="4" t="s">
        <v>1278</v>
      </c>
      <c r="C164" s="4" t="s">
        <v>1106</v>
      </c>
      <c r="D164" s="8" t="s">
        <v>1279</v>
      </c>
      <c r="E164" s="4" t="s">
        <v>55</v>
      </c>
      <c r="F164" s="4">
        <v>4</v>
      </c>
      <c r="G164" s="9">
        <v>8014.68</v>
      </c>
      <c r="H164" s="9">
        <v>308.26</v>
      </c>
      <c r="I164" s="9">
        <v>102.75</v>
      </c>
      <c r="J164" s="9">
        <v>411.01</v>
      </c>
      <c r="K164" s="9">
        <v>308.26</v>
      </c>
      <c r="L164" s="9">
        <v>1130.28</v>
      </c>
      <c r="M164" s="9">
        <v>924.77</v>
      </c>
      <c r="N164" s="15">
        <f t="shared" si="4"/>
        <v>11200.01</v>
      </c>
    </row>
    <row r="165" customFormat="1" ht="64" customHeight="1" spans="1:14">
      <c r="A165" s="4">
        <v>107</v>
      </c>
      <c r="B165" s="4" t="s">
        <v>1280</v>
      </c>
      <c r="C165" s="4" t="s">
        <v>1109</v>
      </c>
      <c r="D165" s="8" t="s">
        <v>1110</v>
      </c>
      <c r="E165" s="4" t="s">
        <v>55</v>
      </c>
      <c r="F165" s="4">
        <v>1</v>
      </c>
      <c r="G165" s="9">
        <v>858.72</v>
      </c>
      <c r="H165" s="9">
        <v>33.03</v>
      </c>
      <c r="I165" s="9">
        <v>11.01</v>
      </c>
      <c r="J165" s="9">
        <v>44.04</v>
      </c>
      <c r="K165" s="9">
        <v>33.03</v>
      </c>
      <c r="L165" s="9">
        <v>121.1</v>
      </c>
      <c r="M165" s="9">
        <v>99.08</v>
      </c>
      <c r="N165" s="15">
        <f t="shared" si="4"/>
        <v>1200.01</v>
      </c>
    </row>
    <row r="166" customFormat="1" ht="108" customHeight="1" spans="1:14">
      <c r="A166" s="4">
        <v>108</v>
      </c>
      <c r="B166" s="4" t="s">
        <v>1281</v>
      </c>
      <c r="C166" s="4" t="s">
        <v>1282</v>
      </c>
      <c r="D166" s="8" t="s">
        <v>1283</v>
      </c>
      <c r="E166" s="4" t="s">
        <v>248</v>
      </c>
      <c r="F166" s="4">
        <v>20</v>
      </c>
      <c r="G166" s="9">
        <v>27192.66</v>
      </c>
      <c r="H166" s="9">
        <v>1045.87</v>
      </c>
      <c r="I166" s="9">
        <v>348.62</v>
      </c>
      <c r="J166" s="9">
        <v>1394.5</v>
      </c>
      <c r="K166" s="9">
        <v>1045.87</v>
      </c>
      <c r="L166" s="9">
        <v>3834.86</v>
      </c>
      <c r="M166" s="9">
        <v>3137.61</v>
      </c>
      <c r="N166" s="15">
        <f t="shared" si="4"/>
        <v>37999.99</v>
      </c>
    </row>
    <row r="167" customFormat="1" ht="25" customHeight="1" spans="1:14">
      <c r="A167" s="11" t="s">
        <v>50</v>
      </c>
      <c r="B167" s="12"/>
      <c r="C167" s="11"/>
      <c r="D167" s="13"/>
      <c r="E167" s="12"/>
      <c r="F167" s="11"/>
      <c r="G167" s="14"/>
      <c r="H167" s="14"/>
      <c r="I167" s="14"/>
      <c r="J167" s="14"/>
      <c r="K167" s="14"/>
      <c r="L167" s="14"/>
      <c r="M167" s="14"/>
      <c r="N167" s="14">
        <f>SUM(N164:N166)</f>
        <v>50400.01</v>
      </c>
    </row>
    <row r="168" customFormat="1" ht="108" customHeight="1" spans="1:14">
      <c r="A168" s="4">
        <v>109</v>
      </c>
      <c r="B168" s="4" t="s">
        <v>1284</v>
      </c>
      <c r="C168" s="4" t="s">
        <v>1285</v>
      </c>
      <c r="D168" s="8" t="s">
        <v>1286</v>
      </c>
      <c r="E168" s="4" t="s">
        <v>248</v>
      </c>
      <c r="F168" s="4">
        <v>24</v>
      </c>
      <c r="G168" s="9">
        <v>33524.26</v>
      </c>
      <c r="H168" s="9">
        <v>1289.39</v>
      </c>
      <c r="I168" s="9">
        <v>429.8</v>
      </c>
      <c r="J168" s="9">
        <v>1719.19</v>
      </c>
      <c r="K168" s="9">
        <v>1289.39</v>
      </c>
      <c r="L168" s="9">
        <v>4727.78</v>
      </c>
      <c r="M168" s="9">
        <v>3868.18</v>
      </c>
      <c r="N168" s="15">
        <f t="shared" si="4"/>
        <v>46847.99</v>
      </c>
    </row>
    <row r="169" customFormat="1" ht="106" customHeight="1" spans="1:14">
      <c r="A169" s="4">
        <v>110</v>
      </c>
      <c r="B169" s="4" t="s">
        <v>1287</v>
      </c>
      <c r="C169" s="4" t="s">
        <v>1288</v>
      </c>
      <c r="D169" s="8" t="s">
        <v>1289</v>
      </c>
      <c r="E169" s="4" t="s">
        <v>55</v>
      </c>
      <c r="F169" s="4">
        <v>1</v>
      </c>
      <c r="G169" s="9">
        <v>2392.95</v>
      </c>
      <c r="H169" s="9">
        <v>92.04</v>
      </c>
      <c r="I169" s="9">
        <v>30.68</v>
      </c>
      <c r="J169" s="9">
        <v>122.72</v>
      </c>
      <c r="K169" s="9">
        <v>92.04</v>
      </c>
      <c r="L169" s="9">
        <v>337.47</v>
      </c>
      <c r="M169" s="9">
        <v>276.11</v>
      </c>
      <c r="N169" s="15">
        <f t="shared" si="4"/>
        <v>3344.01</v>
      </c>
    </row>
    <row r="170" customFormat="1" ht="25" customHeight="1" spans="1:14">
      <c r="A170" s="11" t="s">
        <v>50</v>
      </c>
      <c r="B170" s="12"/>
      <c r="C170" s="11"/>
      <c r="D170" s="13"/>
      <c r="E170" s="12"/>
      <c r="F170" s="11"/>
      <c r="G170" s="14"/>
      <c r="H170" s="14"/>
      <c r="I170" s="14"/>
      <c r="J170" s="14"/>
      <c r="K170" s="14"/>
      <c r="L170" s="14"/>
      <c r="M170" s="14"/>
      <c r="N170" s="14">
        <f>SUM(N168:N169)</f>
        <v>50192</v>
      </c>
    </row>
    <row r="171" customFormat="1" ht="74" customHeight="1" spans="1:14">
      <c r="A171" s="4">
        <v>111</v>
      </c>
      <c r="B171" s="4" t="s">
        <v>1290</v>
      </c>
      <c r="C171" s="4" t="s">
        <v>1291</v>
      </c>
      <c r="D171" s="8" t="s">
        <v>1292</v>
      </c>
      <c r="E171" s="4" t="s">
        <v>55</v>
      </c>
      <c r="F171" s="4">
        <v>1</v>
      </c>
      <c r="G171" s="9">
        <v>847.27</v>
      </c>
      <c r="H171" s="9">
        <v>32.59</v>
      </c>
      <c r="I171" s="9">
        <v>10.86</v>
      </c>
      <c r="J171" s="9">
        <v>43.45</v>
      </c>
      <c r="K171" s="9">
        <v>32.59</v>
      </c>
      <c r="L171" s="9">
        <v>119.49</v>
      </c>
      <c r="M171" s="9">
        <v>97.76</v>
      </c>
      <c r="N171" s="15">
        <f t="shared" si="4"/>
        <v>1184.01</v>
      </c>
    </row>
    <row r="172" customFormat="1" ht="80" customHeight="1" spans="1:14">
      <c r="A172" s="4">
        <v>112</v>
      </c>
      <c r="B172" s="4" t="s">
        <v>1293</v>
      </c>
      <c r="C172" s="4" t="s">
        <v>1294</v>
      </c>
      <c r="D172" s="8" t="s">
        <v>1295</v>
      </c>
      <c r="E172" s="4" t="s">
        <v>55</v>
      </c>
      <c r="F172" s="4">
        <v>1</v>
      </c>
      <c r="G172" s="9">
        <v>292.84</v>
      </c>
      <c r="H172" s="9">
        <v>24.4</v>
      </c>
      <c r="I172" s="9">
        <v>9.76</v>
      </c>
      <c r="J172" s="9">
        <v>73.21</v>
      </c>
      <c r="K172" s="9">
        <v>34.17</v>
      </c>
      <c r="L172" s="9">
        <v>53.69</v>
      </c>
      <c r="M172" s="9">
        <v>43.93</v>
      </c>
      <c r="N172" s="15">
        <f t="shared" si="4"/>
        <v>532</v>
      </c>
    </row>
    <row r="173" customFormat="1" ht="65" customHeight="1" spans="1:14">
      <c r="A173" s="4">
        <v>113</v>
      </c>
      <c r="B173" s="4" t="s">
        <v>1296</v>
      </c>
      <c r="C173" s="4" t="s">
        <v>1297</v>
      </c>
      <c r="D173" s="8" t="s">
        <v>1298</v>
      </c>
      <c r="E173" s="4" t="s">
        <v>248</v>
      </c>
      <c r="F173" s="4">
        <v>2</v>
      </c>
      <c r="G173" s="9">
        <v>6297.25</v>
      </c>
      <c r="H173" s="9">
        <v>242.2</v>
      </c>
      <c r="I173" s="9">
        <v>80.73</v>
      </c>
      <c r="J173" s="9">
        <v>322.94</v>
      </c>
      <c r="K173" s="9">
        <v>242.2</v>
      </c>
      <c r="L173" s="9">
        <v>888.07</v>
      </c>
      <c r="M173" s="9">
        <v>726.61</v>
      </c>
      <c r="N173" s="15">
        <f t="shared" si="4"/>
        <v>8800</v>
      </c>
    </row>
    <row r="174" customFormat="1" ht="25" customHeight="1" spans="1:14">
      <c r="A174" s="11" t="s">
        <v>50</v>
      </c>
      <c r="B174" s="12"/>
      <c r="C174" s="11"/>
      <c r="D174" s="13"/>
      <c r="E174" s="12"/>
      <c r="F174" s="11"/>
      <c r="G174" s="14"/>
      <c r="H174" s="14"/>
      <c r="I174" s="14"/>
      <c r="J174" s="14"/>
      <c r="K174" s="14"/>
      <c r="L174" s="14"/>
      <c r="M174" s="14"/>
      <c r="N174" s="14">
        <f>SUM(N171:N173)</f>
        <v>10516.01</v>
      </c>
    </row>
    <row r="175" customFormat="1" ht="174" customHeight="1" spans="1:14">
      <c r="A175" s="4">
        <v>114</v>
      </c>
      <c r="B175" s="4" t="s">
        <v>1299</v>
      </c>
      <c r="C175" s="4" t="s">
        <v>1112</v>
      </c>
      <c r="D175" s="8" t="s">
        <v>1113</v>
      </c>
      <c r="E175" s="4" t="s">
        <v>55</v>
      </c>
      <c r="F175" s="4">
        <v>21</v>
      </c>
      <c r="G175" s="9">
        <v>44481.47</v>
      </c>
      <c r="H175" s="9">
        <v>1710.83</v>
      </c>
      <c r="I175" s="9">
        <v>570.28</v>
      </c>
      <c r="J175" s="9">
        <v>2281.1</v>
      </c>
      <c r="K175" s="9">
        <v>1710.83</v>
      </c>
      <c r="L175" s="9">
        <v>6273.03</v>
      </c>
      <c r="M175" s="9">
        <v>5132.48</v>
      </c>
      <c r="N175" s="15">
        <f>SUM(G175:M175)</f>
        <v>62160.02</v>
      </c>
    </row>
    <row r="176" customFormat="1" ht="25" customHeight="1" spans="1:14">
      <c r="A176" s="11" t="s">
        <v>50</v>
      </c>
      <c r="B176" s="12"/>
      <c r="C176" s="11"/>
      <c r="D176" s="13"/>
      <c r="E176" s="12"/>
      <c r="F176" s="11"/>
      <c r="G176" s="14"/>
      <c r="H176" s="14"/>
      <c r="I176" s="14"/>
      <c r="J176" s="14"/>
      <c r="K176" s="14"/>
      <c r="L176" s="14"/>
      <c r="M176" s="14"/>
      <c r="N176" s="14">
        <f>N175</f>
        <v>62160.02</v>
      </c>
    </row>
    <row r="177" customFormat="1" ht="174" customHeight="1" spans="1:14">
      <c r="A177" s="4">
        <v>115</v>
      </c>
      <c r="B177" s="4" t="s">
        <v>1300</v>
      </c>
      <c r="C177" s="4" t="s">
        <v>1115</v>
      </c>
      <c r="D177" s="8" t="s">
        <v>1116</v>
      </c>
      <c r="E177" s="4" t="s">
        <v>55</v>
      </c>
      <c r="F177" s="4">
        <v>24</v>
      </c>
      <c r="G177" s="9">
        <v>50835.96</v>
      </c>
      <c r="H177" s="9">
        <v>1955.23</v>
      </c>
      <c r="I177" s="9">
        <v>651.74</v>
      </c>
      <c r="J177" s="9">
        <v>2606.97</v>
      </c>
      <c r="K177" s="9">
        <v>1955.23</v>
      </c>
      <c r="L177" s="9">
        <v>7169.17</v>
      </c>
      <c r="M177" s="9">
        <v>5865.69</v>
      </c>
      <c r="N177" s="15">
        <f t="shared" si="4"/>
        <v>71039.99</v>
      </c>
    </row>
    <row r="178" customFormat="1" ht="25" customHeight="1" spans="1:14">
      <c r="A178" s="11" t="s">
        <v>50</v>
      </c>
      <c r="B178" s="12"/>
      <c r="C178" s="11"/>
      <c r="D178" s="13"/>
      <c r="E178" s="12"/>
      <c r="F178" s="11"/>
      <c r="G178" s="14"/>
      <c r="H178" s="14"/>
      <c r="I178" s="14"/>
      <c r="J178" s="14"/>
      <c r="K178" s="14"/>
      <c r="L178" s="14"/>
      <c r="M178" s="14"/>
      <c r="N178" s="14">
        <f>N177</f>
        <v>71039.99</v>
      </c>
    </row>
    <row r="179" customFormat="1" ht="105" customHeight="1" spans="1:14">
      <c r="A179" s="4">
        <v>116</v>
      </c>
      <c r="B179" s="4" t="s">
        <v>1301</v>
      </c>
      <c r="C179" s="4" t="s">
        <v>1302</v>
      </c>
      <c r="D179" s="8" t="s">
        <v>1303</v>
      </c>
      <c r="E179" s="4" t="s">
        <v>55</v>
      </c>
      <c r="F179" s="4">
        <v>1</v>
      </c>
      <c r="G179" s="9">
        <v>16744.95</v>
      </c>
      <c r="H179" s="9">
        <v>644.04</v>
      </c>
      <c r="I179" s="9">
        <v>214.68</v>
      </c>
      <c r="J179" s="9">
        <v>858.72</v>
      </c>
      <c r="K179" s="9">
        <v>644.04</v>
      </c>
      <c r="L179" s="9">
        <v>2361.47</v>
      </c>
      <c r="M179" s="9">
        <v>1932.11</v>
      </c>
      <c r="N179" s="15">
        <f t="shared" si="4"/>
        <v>23400.01</v>
      </c>
    </row>
    <row r="180" customFormat="1" ht="104" customHeight="1" spans="1:14">
      <c r="A180" s="4">
        <v>117</v>
      </c>
      <c r="B180" s="4" t="s">
        <v>1304</v>
      </c>
      <c r="C180" s="4" t="s">
        <v>1121</v>
      </c>
      <c r="D180" s="8" t="s">
        <v>1122</v>
      </c>
      <c r="E180" s="4" t="s">
        <v>55</v>
      </c>
      <c r="F180" s="4">
        <v>1</v>
      </c>
      <c r="G180" s="9">
        <v>2747.89</v>
      </c>
      <c r="H180" s="9">
        <v>105.69</v>
      </c>
      <c r="I180" s="9">
        <v>35.23</v>
      </c>
      <c r="J180" s="9">
        <v>140.92</v>
      </c>
      <c r="K180" s="9">
        <v>105.69</v>
      </c>
      <c r="L180" s="9">
        <v>387.52</v>
      </c>
      <c r="M180" s="9">
        <v>317.06</v>
      </c>
      <c r="N180" s="15">
        <f t="shared" si="4"/>
        <v>3840</v>
      </c>
    </row>
    <row r="181" customFormat="1" ht="25" customHeight="1" spans="1:14">
      <c r="A181" s="11" t="s">
        <v>50</v>
      </c>
      <c r="B181" s="12"/>
      <c r="C181" s="11"/>
      <c r="D181" s="13"/>
      <c r="E181" s="12"/>
      <c r="F181" s="11"/>
      <c r="G181" s="14"/>
      <c r="H181" s="14"/>
      <c r="I181" s="14"/>
      <c r="J181" s="14"/>
      <c r="K181" s="14"/>
      <c r="L181" s="14"/>
      <c r="M181" s="14"/>
      <c r="N181" s="14">
        <f>SUM(N179:N180)</f>
        <v>27240.01</v>
      </c>
    </row>
    <row r="182" customFormat="1" ht="128" customHeight="1" spans="1:14">
      <c r="A182" s="4">
        <v>118</v>
      </c>
      <c r="B182" s="4" t="s">
        <v>1305</v>
      </c>
      <c r="C182" s="4" t="s">
        <v>1124</v>
      </c>
      <c r="D182" s="8" t="s">
        <v>1306</v>
      </c>
      <c r="E182" s="4" t="s">
        <v>55</v>
      </c>
      <c r="F182" s="4">
        <v>1</v>
      </c>
      <c r="G182" s="9">
        <v>7327.71</v>
      </c>
      <c r="H182" s="9">
        <v>281.83</v>
      </c>
      <c r="I182" s="9">
        <v>93.94</v>
      </c>
      <c r="J182" s="9">
        <v>375.78</v>
      </c>
      <c r="K182" s="9">
        <v>281.83</v>
      </c>
      <c r="L182" s="9">
        <v>1033.39</v>
      </c>
      <c r="M182" s="9">
        <v>845.5</v>
      </c>
      <c r="N182" s="15">
        <f t="shared" si="4"/>
        <v>10239.98</v>
      </c>
    </row>
    <row r="183" customFormat="1" ht="25" customHeight="1" spans="1:14">
      <c r="A183" s="11" t="s">
        <v>50</v>
      </c>
      <c r="B183" s="12"/>
      <c r="C183" s="11"/>
      <c r="D183" s="13"/>
      <c r="E183" s="12"/>
      <c r="F183" s="11"/>
      <c r="G183" s="14"/>
      <c r="H183" s="14"/>
      <c r="I183" s="14"/>
      <c r="J183" s="14"/>
      <c r="K183" s="14"/>
      <c r="L183" s="14"/>
      <c r="M183" s="14"/>
      <c r="N183" s="14">
        <f t="shared" ref="N183:N187" si="5">N182</f>
        <v>10239.98</v>
      </c>
    </row>
    <row r="184" customFormat="1" ht="181" customHeight="1" spans="1:14">
      <c r="A184" s="4">
        <v>119</v>
      </c>
      <c r="B184" s="4" t="s">
        <v>1307</v>
      </c>
      <c r="C184" s="4" t="s">
        <v>1127</v>
      </c>
      <c r="D184" s="8" t="s">
        <v>1308</v>
      </c>
      <c r="E184" s="4" t="s">
        <v>55</v>
      </c>
      <c r="F184" s="4">
        <v>1</v>
      </c>
      <c r="G184" s="9">
        <v>7556.7</v>
      </c>
      <c r="H184" s="9">
        <v>290.64</v>
      </c>
      <c r="I184" s="9">
        <v>96.88</v>
      </c>
      <c r="J184" s="9">
        <v>387.52</v>
      </c>
      <c r="K184" s="9">
        <v>290.64</v>
      </c>
      <c r="L184" s="9">
        <v>1065.69</v>
      </c>
      <c r="M184" s="9">
        <v>871.93</v>
      </c>
      <c r="N184" s="15">
        <f t="shared" si="4"/>
        <v>10560</v>
      </c>
    </row>
    <row r="185" customFormat="1" ht="25" customHeight="1" spans="1:14">
      <c r="A185" s="11" t="s">
        <v>50</v>
      </c>
      <c r="B185" s="12"/>
      <c r="C185" s="11"/>
      <c r="D185" s="13"/>
      <c r="E185" s="12"/>
      <c r="F185" s="11"/>
      <c r="G185" s="14"/>
      <c r="H185" s="14"/>
      <c r="I185" s="14"/>
      <c r="J185" s="14"/>
      <c r="K185" s="14"/>
      <c r="L185" s="14"/>
      <c r="M185" s="14"/>
      <c r="N185" s="14">
        <f t="shared" si="5"/>
        <v>10560</v>
      </c>
    </row>
    <row r="186" customFormat="1" ht="126" customHeight="1" spans="1:14">
      <c r="A186" s="4">
        <v>120</v>
      </c>
      <c r="B186" s="4" t="s">
        <v>1309</v>
      </c>
      <c r="C186" s="4" t="s">
        <v>1130</v>
      </c>
      <c r="D186" s="8" t="s">
        <v>1131</v>
      </c>
      <c r="E186" s="4" t="s">
        <v>55</v>
      </c>
      <c r="F186" s="4">
        <v>6</v>
      </c>
      <c r="G186" s="9">
        <v>18891.74</v>
      </c>
      <c r="H186" s="9">
        <v>726.61</v>
      </c>
      <c r="I186" s="9">
        <v>242.2</v>
      </c>
      <c r="J186" s="9">
        <v>968.81</v>
      </c>
      <c r="K186" s="9">
        <v>726.61</v>
      </c>
      <c r="L186" s="9">
        <v>2664.22</v>
      </c>
      <c r="M186" s="9">
        <v>2179.82</v>
      </c>
      <c r="N186" s="15">
        <f t="shared" si="4"/>
        <v>26400.01</v>
      </c>
    </row>
    <row r="187" customFormat="1" ht="25" customHeight="1" spans="1:14">
      <c r="A187" s="11" t="s">
        <v>50</v>
      </c>
      <c r="B187" s="12"/>
      <c r="C187" s="11"/>
      <c r="D187" s="13"/>
      <c r="E187" s="12"/>
      <c r="F187" s="11"/>
      <c r="G187" s="14"/>
      <c r="H187" s="14"/>
      <c r="I187" s="14"/>
      <c r="J187" s="14"/>
      <c r="K187" s="14"/>
      <c r="L187" s="14"/>
      <c r="M187" s="14"/>
      <c r="N187" s="14">
        <f t="shared" si="5"/>
        <v>26400.01</v>
      </c>
    </row>
    <row r="188" customFormat="1" ht="187" customHeight="1" spans="1:14">
      <c r="A188" s="4">
        <v>121</v>
      </c>
      <c r="B188" s="4" t="s">
        <v>1310</v>
      </c>
      <c r="C188" s="4" t="s">
        <v>1133</v>
      </c>
      <c r="D188" s="8" t="s">
        <v>1134</v>
      </c>
      <c r="E188" s="4" t="s">
        <v>55</v>
      </c>
      <c r="F188" s="4">
        <v>2</v>
      </c>
      <c r="G188" s="9">
        <v>6297.25</v>
      </c>
      <c r="H188" s="9">
        <v>242.2</v>
      </c>
      <c r="I188" s="9">
        <v>80.73</v>
      </c>
      <c r="J188" s="9">
        <v>322.94</v>
      </c>
      <c r="K188" s="9">
        <v>242.2</v>
      </c>
      <c r="L188" s="9">
        <v>888.07</v>
      </c>
      <c r="M188" s="9">
        <v>726.61</v>
      </c>
      <c r="N188" s="15">
        <f t="shared" si="4"/>
        <v>8800</v>
      </c>
    </row>
    <row r="189" customFormat="1" ht="45" customHeight="1" spans="1:14">
      <c r="A189" s="4">
        <v>122</v>
      </c>
      <c r="B189" s="4" t="s">
        <v>1311</v>
      </c>
      <c r="C189" s="4" t="s">
        <v>1136</v>
      </c>
      <c r="D189" s="8" t="s">
        <v>1137</v>
      </c>
      <c r="E189" s="4" t="s">
        <v>55</v>
      </c>
      <c r="F189" s="4">
        <v>8</v>
      </c>
      <c r="G189" s="9">
        <v>251.01</v>
      </c>
      <c r="H189" s="9">
        <v>66.06</v>
      </c>
      <c r="I189" s="9">
        <v>33.03</v>
      </c>
      <c r="J189" s="9">
        <v>184.95</v>
      </c>
      <c r="K189" s="9">
        <v>52.84</v>
      </c>
      <c r="L189" s="9">
        <v>72.66</v>
      </c>
      <c r="M189" s="9">
        <v>59.45</v>
      </c>
      <c r="N189" s="15">
        <f t="shared" si="4"/>
        <v>720</v>
      </c>
    </row>
    <row r="190" customFormat="1" ht="25" customHeight="1" spans="1:14">
      <c r="A190" s="11" t="s">
        <v>50</v>
      </c>
      <c r="B190" s="12"/>
      <c r="C190" s="11"/>
      <c r="D190" s="13"/>
      <c r="E190" s="12"/>
      <c r="F190" s="11"/>
      <c r="G190" s="14"/>
      <c r="H190" s="14"/>
      <c r="I190" s="14"/>
      <c r="J190" s="14"/>
      <c r="K190" s="14"/>
      <c r="L190" s="14"/>
      <c r="M190" s="14"/>
      <c r="N190" s="14">
        <f>SUM(N188:N189)</f>
        <v>9520</v>
      </c>
    </row>
    <row r="191" customFormat="1" ht="82" customHeight="1" spans="1:14">
      <c r="A191" s="4">
        <v>123</v>
      </c>
      <c r="B191" s="4" t="s">
        <v>1312</v>
      </c>
      <c r="C191" s="4" t="s">
        <v>1139</v>
      </c>
      <c r="D191" s="8" t="s">
        <v>1140</v>
      </c>
      <c r="E191" s="4" t="s">
        <v>55</v>
      </c>
      <c r="F191" s="4">
        <v>1</v>
      </c>
      <c r="G191" s="9">
        <v>2289.91</v>
      </c>
      <c r="H191" s="9">
        <v>88.07</v>
      </c>
      <c r="I191" s="9">
        <v>29.36</v>
      </c>
      <c r="J191" s="9">
        <v>117.43</v>
      </c>
      <c r="K191" s="9">
        <v>88.07</v>
      </c>
      <c r="L191" s="9">
        <v>322.94</v>
      </c>
      <c r="M191" s="9">
        <v>264.22</v>
      </c>
      <c r="N191" s="15">
        <f t="shared" si="4"/>
        <v>3200</v>
      </c>
    </row>
    <row r="192" customFormat="1" ht="25" customHeight="1" spans="1:14">
      <c r="A192" s="11" t="s">
        <v>50</v>
      </c>
      <c r="B192" s="12"/>
      <c r="C192" s="11"/>
      <c r="D192" s="13"/>
      <c r="E192" s="12"/>
      <c r="F192" s="11"/>
      <c r="G192" s="14"/>
      <c r="H192" s="14"/>
      <c r="I192" s="14"/>
      <c r="J192" s="14"/>
      <c r="K192" s="14"/>
      <c r="L192" s="14"/>
      <c r="M192" s="14"/>
      <c r="N192" s="14">
        <f>N191</f>
        <v>3200</v>
      </c>
    </row>
    <row r="193" customFormat="1" ht="172" customHeight="1" spans="1:14">
      <c r="A193" s="4">
        <v>124</v>
      </c>
      <c r="B193" s="4" t="s">
        <v>1313</v>
      </c>
      <c r="C193" s="4" t="s">
        <v>1142</v>
      </c>
      <c r="D193" s="8" t="s">
        <v>1143</v>
      </c>
      <c r="E193" s="4" t="s">
        <v>55</v>
      </c>
      <c r="F193" s="4">
        <v>1</v>
      </c>
      <c r="G193" s="9">
        <v>8186.42</v>
      </c>
      <c r="H193" s="9">
        <v>314.86</v>
      </c>
      <c r="I193" s="9">
        <v>104.95</v>
      </c>
      <c r="J193" s="9">
        <v>419.82</v>
      </c>
      <c r="K193" s="9">
        <v>314.86</v>
      </c>
      <c r="L193" s="9">
        <v>1154.5</v>
      </c>
      <c r="M193" s="9">
        <v>944.59</v>
      </c>
      <c r="N193" s="15">
        <f t="shared" si="4"/>
        <v>11440</v>
      </c>
    </row>
    <row r="194" customFormat="1" ht="25" customHeight="1" spans="1:14">
      <c r="A194" s="11" t="s">
        <v>50</v>
      </c>
      <c r="B194" s="12"/>
      <c r="C194" s="11"/>
      <c r="D194" s="13"/>
      <c r="E194" s="12"/>
      <c r="F194" s="11"/>
      <c r="G194" s="14"/>
      <c r="H194" s="14"/>
      <c r="I194" s="14"/>
      <c r="J194" s="14"/>
      <c r="K194" s="14"/>
      <c r="L194" s="14"/>
      <c r="M194" s="14"/>
      <c r="N194" s="14">
        <f>N193</f>
        <v>11440</v>
      </c>
    </row>
    <row r="195" customFormat="1" ht="91" customHeight="1" spans="1:14">
      <c r="A195" s="4">
        <v>125</v>
      </c>
      <c r="B195" s="4" t="s">
        <v>1314</v>
      </c>
      <c r="C195" s="4" t="s">
        <v>1145</v>
      </c>
      <c r="D195" s="8" t="s">
        <v>1146</v>
      </c>
      <c r="E195" s="4" t="s">
        <v>55</v>
      </c>
      <c r="F195" s="4">
        <v>1</v>
      </c>
      <c r="G195" s="9">
        <v>3950.09</v>
      </c>
      <c r="H195" s="9">
        <v>151.93</v>
      </c>
      <c r="I195" s="9">
        <v>50.64</v>
      </c>
      <c r="J195" s="9">
        <v>202.57</v>
      </c>
      <c r="K195" s="9">
        <v>151.93</v>
      </c>
      <c r="L195" s="9">
        <v>557.06</v>
      </c>
      <c r="M195" s="9">
        <v>455.78</v>
      </c>
      <c r="N195" s="15">
        <f t="shared" si="4"/>
        <v>5520</v>
      </c>
    </row>
    <row r="196" customFormat="1" ht="45" customHeight="1" spans="1:14">
      <c r="A196" s="4">
        <v>126</v>
      </c>
      <c r="B196" s="4" t="s">
        <v>1315</v>
      </c>
      <c r="C196" s="4" t="s">
        <v>1148</v>
      </c>
      <c r="D196" s="8" t="s">
        <v>1149</v>
      </c>
      <c r="E196" s="4" t="s">
        <v>248</v>
      </c>
      <c r="F196" s="4">
        <v>1</v>
      </c>
      <c r="G196" s="9">
        <v>306.79</v>
      </c>
      <c r="H196" s="9">
        <v>80.73</v>
      </c>
      <c r="I196" s="9">
        <v>40.37</v>
      </c>
      <c r="J196" s="9">
        <v>226.06</v>
      </c>
      <c r="K196" s="9">
        <v>64.59</v>
      </c>
      <c r="L196" s="9">
        <v>88.81</v>
      </c>
      <c r="M196" s="9">
        <v>72.66</v>
      </c>
      <c r="N196" s="15">
        <f t="shared" si="4"/>
        <v>880.01</v>
      </c>
    </row>
    <row r="197" customFormat="1" ht="69" customHeight="1" spans="1:14">
      <c r="A197" s="4">
        <v>127</v>
      </c>
      <c r="B197" s="4" t="s">
        <v>1316</v>
      </c>
      <c r="C197" s="4" t="s">
        <v>1151</v>
      </c>
      <c r="D197" s="8" t="s">
        <v>1152</v>
      </c>
      <c r="E197" s="4" t="s">
        <v>55</v>
      </c>
      <c r="F197" s="4">
        <v>3</v>
      </c>
      <c r="G197" s="9">
        <v>8157.8</v>
      </c>
      <c r="H197" s="9">
        <v>313.76</v>
      </c>
      <c r="I197" s="9">
        <v>104.59</v>
      </c>
      <c r="J197" s="9">
        <v>418.35</v>
      </c>
      <c r="K197" s="9">
        <v>313.76</v>
      </c>
      <c r="L197" s="9">
        <v>1150.46</v>
      </c>
      <c r="M197" s="9">
        <v>941.28</v>
      </c>
      <c r="N197" s="15">
        <f t="shared" ref="N197:N260" si="6">SUM(G197:M197)</f>
        <v>11400</v>
      </c>
    </row>
    <row r="198" customFormat="1" ht="25" customHeight="1" spans="1:14">
      <c r="A198" s="11" t="s">
        <v>50</v>
      </c>
      <c r="B198" s="12"/>
      <c r="C198" s="11"/>
      <c r="D198" s="13"/>
      <c r="E198" s="12"/>
      <c r="F198" s="11"/>
      <c r="G198" s="14"/>
      <c r="H198" s="14"/>
      <c r="I198" s="14"/>
      <c r="J198" s="14"/>
      <c r="K198" s="14"/>
      <c r="L198" s="14"/>
      <c r="M198" s="14"/>
      <c r="N198" s="14">
        <f>SUM(N195:N197)</f>
        <v>17800.01</v>
      </c>
    </row>
    <row r="199" customFormat="1" ht="45" customHeight="1" spans="1:14">
      <c r="A199" s="4">
        <v>128</v>
      </c>
      <c r="B199" s="4" t="s">
        <v>1317</v>
      </c>
      <c r="C199" s="4" t="s">
        <v>1154</v>
      </c>
      <c r="D199" s="8" t="s">
        <v>1155</v>
      </c>
      <c r="E199" s="4" t="s">
        <v>55</v>
      </c>
      <c r="F199" s="4">
        <v>1</v>
      </c>
      <c r="G199" s="9">
        <v>1981.65</v>
      </c>
      <c r="H199" s="9">
        <v>165.14</v>
      </c>
      <c r="I199" s="9">
        <v>66.06</v>
      </c>
      <c r="J199" s="9">
        <v>495.41</v>
      </c>
      <c r="K199" s="9">
        <v>231.19</v>
      </c>
      <c r="L199" s="9">
        <v>363.3</v>
      </c>
      <c r="M199" s="9">
        <v>297.25</v>
      </c>
      <c r="N199" s="15">
        <f t="shared" si="6"/>
        <v>3600</v>
      </c>
    </row>
    <row r="200" customFormat="1" ht="74" customHeight="1" spans="1:14">
      <c r="A200" s="4">
        <v>129</v>
      </c>
      <c r="B200" s="4" t="s">
        <v>1318</v>
      </c>
      <c r="C200" s="4" t="s">
        <v>1157</v>
      </c>
      <c r="D200" s="8" t="s">
        <v>1158</v>
      </c>
      <c r="E200" s="4" t="s">
        <v>55</v>
      </c>
      <c r="F200" s="4">
        <v>4</v>
      </c>
      <c r="G200" s="9">
        <v>1514.86</v>
      </c>
      <c r="H200" s="9">
        <v>126.24</v>
      </c>
      <c r="I200" s="9">
        <v>50.5</v>
      </c>
      <c r="J200" s="9">
        <v>378.72</v>
      </c>
      <c r="K200" s="9">
        <v>176.73</v>
      </c>
      <c r="L200" s="9">
        <v>277.72</v>
      </c>
      <c r="M200" s="9">
        <v>227.23</v>
      </c>
      <c r="N200" s="15">
        <f t="shared" si="6"/>
        <v>2752</v>
      </c>
    </row>
    <row r="201" customFormat="1" ht="60" customHeight="1" spans="1:14">
      <c r="A201" s="4">
        <v>130</v>
      </c>
      <c r="B201" s="4" t="s">
        <v>1319</v>
      </c>
      <c r="C201" s="4" t="s">
        <v>1320</v>
      </c>
      <c r="D201" s="8" t="s">
        <v>1321</v>
      </c>
      <c r="E201" s="4" t="s">
        <v>55</v>
      </c>
      <c r="F201" s="4">
        <v>1</v>
      </c>
      <c r="G201" s="9">
        <v>1645.87</v>
      </c>
      <c r="H201" s="9">
        <v>63.3</v>
      </c>
      <c r="I201" s="9">
        <v>21.1</v>
      </c>
      <c r="J201" s="9">
        <v>84.4</v>
      </c>
      <c r="K201" s="9">
        <v>63.3</v>
      </c>
      <c r="L201" s="9">
        <v>232.11</v>
      </c>
      <c r="M201" s="9">
        <v>189.91</v>
      </c>
      <c r="N201" s="15">
        <f t="shared" si="6"/>
        <v>2299.99</v>
      </c>
    </row>
    <row r="202" customFormat="1" ht="45" customHeight="1" spans="1:14">
      <c r="A202" s="4">
        <v>131</v>
      </c>
      <c r="B202" s="4" t="s">
        <v>1322</v>
      </c>
      <c r="C202" s="4" t="s">
        <v>1163</v>
      </c>
      <c r="D202" s="8" t="s">
        <v>1164</v>
      </c>
      <c r="E202" s="4" t="s">
        <v>55</v>
      </c>
      <c r="F202" s="4">
        <v>1</v>
      </c>
      <c r="G202" s="9">
        <v>1602.94</v>
      </c>
      <c r="H202" s="9">
        <v>61.65</v>
      </c>
      <c r="I202" s="9">
        <v>20.55</v>
      </c>
      <c r="J202" s="9">
        <v>82.2</v>
      </c>
      <c r="K202" s="9">
        <v>61.65</v>
      </c>
      <c r="L202" s="9">
        <v>226.06</v>
      </c>
      <c r="M202" s="9">
        <v>184.95</v>
      </c>
      <c r="N202" s="15">
        <f t="shared" si="6"/>
        <v>2240</v>
      </c>
    </row>
    <row r="203" customFormat="1" ht="25" customHeight="1" spans="1:14">
      <c r="A203" s="11" t="s">
        <v>50</v>
      </c>
      <c r="B203" s="12"/>
      <c r="C203" s="11"/>
      <c r="D203" s="13"/>
      <c r="E203" s="12"/>
      <c r="F203" s="11"/>
      <c r="G203" s="14"/>
      <c r="H203" s="14"/>
      <c r="I203" s="14"/>
      <c r="J203" s="14"/>
      <c r="K203" s="14"/>
      <c r="L203" s="14"/>
      <c r="M203" s="14"/>
      <c r="N203" s="14">
        <f>SUM(N199:N202)</f>
        <v>10891.99</v>
      </c>
    </row>
    <row r="204" customFormat="1" ht="64" customHeight="1" spans="1:14">
      <c r="A204" s="4">
        <v>132</v>
      </c>
      <c r="B204" s="4" t="s">
        <v>1323</v>
      </c>
      <c r="C204" s="4" t="s">
        <v>1166</v>
      </c>
      <c r="D204" s="8" t="s">
        <v>1167</v>
      </c>
      <c r="E204" s="4" t="s">
        <v>55</v>
      </c>
      <c r="F204" s="4">
        <v>1</v>
      </c>
      <c r="G204" s="9">
        <v>1056.88</v>
      </c>
      <c r="H204" s="9">
        <v>88.07</v>
      </c>
      <c r="I204" s="9">
        <v>35.23</v>
      </c>
      <c r="J204" s="9">
        <v>264.22</v>
      </c>
      <c r="K204" s="9">
        <v>123.3</v>
      </c>
      <c r="L204" s="9">
        <v>193.76</v>
      </c>
      <c r="M204" s="9">
        <v>158.53</v>
      </c>
      <c r="N204" s="15">
        <f t="shared" si="6"/>
        <v>1919.99</v>
      </c>
    </row>
    <row r="205" customFormat="1" ht="60" customHeight="1" spans="1:14">
      <c r="A205" s="4">
        <v>133</v>
      </c>
      <c r="B205" s="4" t="s">
        <v>1324</v>
      </c>
      <c r="C205" s="4" t="s">
        <v>1169</v>
      </c>
      <c r="D205" s="8" t="s">
        <v>1170</v>
      </c>
      <c r="E205" s="4" t="s">
        <v>55</v>
      </c>
      <c r="F205" s="4">
        <v>4</v>
      </c>
      <c r="G205" s="9">
        <v>5152.29</v>
      </c>
      <c r="H205" s="9">
        <v>198.17</v>
      </c>
      <c r="I205" s="9">
        <v>66.06</v>
      </c>
      <c r="J205" s="9">
        <v>264.22</v>
      </c>
      <c r="K205" s="9">
        <v>198.17</v>
      </c>
      <c r="L205" s="9">
        <v>726.61</v>
      </c>
      <c r="M205" s="9">
        <v>594.5</v>
      </c>
      <c r="N205" s="15">
        <f t="shared" si="6"/>
        <v>7200.02</v>
      </c>
    </row>
    <row r="206" customFormat="1" ht="65" customHeight="1" spans="1:14">
      <c r="A206" s="4">
        <v>134</v>
      </c>
      <c r="B206" s="4" t="s">
        <v>1325</v>
      </c>
      <c r="C206" s="4" t="s">
        <v>1172</v>
      </c>
      <c r="D206" s="8" t="s">
        <v>1173</v>
      </c>
      <c r="E206" s="4" t="s">
        <v>55</v>
      </c>
      <c r="F206" s="4">
        <v>4</v>
      </c>
      <c r="G206" s="9">
        <v>1860.55</v>
      </c>
      <c r="H206" s="9">
        <v>71.56</v>
      </c>
      <c r="I206" s="9">
        <v>23.85</v>
      </c>
      <c r="J206" s="9">
        <v>95.41</v>
      </c>
      <c r="K206" s="9">
        <v>71.56</v>
      </c>
      <c r="L206" s="9">
        <v>262.39</v>
      </c>
      <c r="M206" s="9">
        <v>214.68</v>
      </c>
      <c r="N206" s="15">
        <f t="shared" si="6"/>
        <v>2600</v>
      </c>
    </row>
    <row r="207" customFormat="1" ht="25" customHeight="1" spans="1:14">
      <c r="A207" s="11" t="s">
        <v>50</v>
      </c>
      <c r="B207" s="12"/>
      <c r="C207" s="11"/>
      <c r="D207" s="13"/>
      <c r="E207" s="12"/>
      <c r="F207" s="11"/>
      <c r="G207" s="14"/>
      <c r="H207" s="14"/>
      <c r="I207" s="14"/>
      <c r="J207" s="14"/>
      <c r="K207" s="14"/>
      <c r="L207" s="14"/>
      <c r="M207" s="14"/>
      <c r="N207" s="14">
        <f>SUM(N204:N206)</f>
        <v>11720.01</v>
      </c>
    </row>
    <row r="208" customFormat="1" ht="45" customHeight="1" spans="1:14">
      <c r="A208" s="4">
        <v>135</v>
      </c>
      <c r="B208" s="4" t="s">
        <v>1326</v>
      </c>
      <c r="C208" s="4" t="s">
        <v>1175</v>
      </c>
      <c r="D208" s="8" t="s">
        <v>1176</v>
      </c>
      <c r="E208" s="4" t="s">
        <v>93</v>
      </c>
      <c r="F208" s="4">
        <v>9</v>
      </c>
      <c r="G208" s="9">
        <v>1803.3</v>
      </c>
      <c r="H208" s="9">
        <v>69.36</v>
      </c>
      <c r="I208" s="9">
        <v>23.12</v>
      </c>
      <c r="J208" s="9">
        <v>92.48</v>
      </c>
      <c r="K208" s="9">
        <v>69.36</v>
      </c>
      <c r="L208" s="9">
        <v>254.31</v>
      </c>
      <c r="M208" s="9">
        <v>208.07</v>
      </c>
      <c r="N208" s="15">
        <f t="shared" si="6"/>
        <v>2520</v>
      </c>
    </row>
    <row r="209" customFormat="1" ht="83" customHeight="1" spans="1:14">
      <c r="A209" s="4">
        <v>136</v>
      </c>
      <c r="B209" s="4" t="s">
        <v>1327</v>
      </c>
      <c r="C209" s="4" t="s">
        <v>1178</v>
      </c>
      <c r="D209" s="8" t="s">
        <v>1328</v>
      </c>
      <c r="E209" s="4" t="s">
        <v>55</v>
      </c>
      <c r="F209" s="4">
        <v>8</v>
      </c>
      <c r="G209" s="9">
        <v>15677.06</v>
      </c>
      <c r="H209" s="9">
        <v>1306.42</v>
      </c>
      <c r="I209" s="9">
        <v>522.57</v>
      </c>
      <c r="J209" s="9">
        <v>3919.27</v>
      </c>
      <c r="K209" s="9">
        <v>1828.99</v>
      </c>
      <c r="L209" s="9">
        <v>2874.13</v>
      </c>
      <c r="M209" s="9">
        <v>2351.56</v>
      </c>
      <c r="N209" s="15">
        <f t="shared" si="6"/>
        <v>28480</v>
      </c>
    </row>
    <row r="210" customFormat="1" ht="92" customHeight="1" spans="1:14">
      <c r="A210" s="4">
        <v>137</v>
      </c>
      <c r="B210" s="4" t="s">
        <v>1329</v>
      </c>
      <c r="C210" s="4" t="s">
        <v>1043</v>
      </c>
      <c r="D210" s="8" t="s">
        <v>1044</v>
      </c>
      <c r="E210" s="4" t="s">
        <v>55</v>
      </c>
      <c r="F210" s="4">
        <v>16</v>
      </c>
      <c r="G210" s="9">
        <v>5037.8</v>
      </c>
      <c r="H210" s="9">
        <v>419.82</v>
      </c>
      <c r="I210" s="9">
        <v>167.93</v>
      </c>
      <c r="J210" s="9">
        <v>1259.45</v>
      </c>
      <c r="K210" s="9">
        <v>587.74</v>
      </c>
      <c r="L210" s="9">
        <v>923.6</v>
      </c>
      <c r="M210" s="9">
        <v>755.67</v>
      </c>
      <c r="N210" s="15">
        <f t="shared" si="6"/>
        <v>9152.01</v>
      </c>
    </row>
    <row r="211" customFormat="1" ht="25" customHeight="1" spans="1:14">
      <c r="A211" s="11" t="s">
        <v>50</v>
      </c>
      <c r="B211" s="12"/>
      <c r="C211" s="11"/>
      <c r="D211" s="13"/>
      <c r="E211" s="12"/>
      <c r="F211" s="11"/>
      <c r="G211" s="14"/>
      <c r="H211" s="14"/>
      <c r="I211" s="14"/>
      <c r="J211" s="14"/>
      <c r="K211" s="14"/>
      <c r="L211" s="14"/>
      <c r="M211" s="14"/>
      <c r="N211" s="14">
        <f>SUM(N208:N210)</f>
        <v>40152.01</v>
      </c>
    </row>
    <row r="212" customFormat="1" ht="102" customHeight="1" spans="1:14">
      <c r="A212" s="4">
        <v>138</v>
      </c>
      <c r="B212" s="4" t="s">
        <v>1330</v>
      </c>
      <c r="C212" s="4" t="s">
        <v>1181</v>
      </c>
      <c r="D212" s="8" t="s">
        <v>1182</v>
      </c>
      <c r="E212" s="4" t="s">
        <v>55</v>
      </c>
      <c r="F212" s="4">
        <v>4</v>
      </c>
      <c r="G212" s="9">
        <v>11438.09</v>
      </c>
      <c r="H212" s="9">
        <v>439.93</v>
      </c>
      <c r="I212" s="9">
        <v>146.64</v>
      </c>
      <c r="J212" s="9">
        <v>586.57</v>
      </c>
      <c r="K212" s="9">
        <v>439.93</v>
      </c>
      <c r="L212" s="9">
        <v>1613.06</v>
      </c>
      <c r="M212" s="9">
        <v>1319.78</v>
      </c>
      <c r="N212" s="15">
        <f t="shared" si="6"/>
        <v>15984</v>
      </c>
    </row>
    <row r="213" customFormat="1" ht="102" customHeight="1" spans="1:14">
      <c r="A213" s="4">
        <v>139</v>
      </c>
      <c r="B213" s="4" t="s">
        <v>1331</v>
      </c>
      <c r="C213" s="4" t="s">
        <v>1052</v>
      </c>
      <c r="D213" s="8" t="s">
        <v>1332</v>
      </c>
      <c r="E213" s="4" t="s">
        <v>55</v>
      </c>
      <c r="F213" s="4">
        <v>4</v>
      </c>
      <c r="G213" s="9">
        <v>6388.84</v>
      </c>
      <c r="H213" s="9">
        <v>245.72</v>
      </c>
      <c r="I213" s="9">
        <v>81.91</v>
      </c>
      <c r="J213" s="9">
        <v>327.63</v>
      </c>
      <c r="K213" s="9">
        <v>245.72</v>
      </c>
      <c r="L213" s="9">
        <v>900.99</v>
      </c>
      <c r="M213" s="9">
        <v>737.17</v>
      </c>
      <c r="N213" s="15">
        <f t="shared" si="6"/>
        <v>8927.98</v>
      </c>
    </row>
    <row r="214" customFormat="1" ht="25" customHeight="1" spans="1:14">
      <c r="A214" s="11" t="s">
        <v>50</v>
      </c>
      <c r="B214" s="12"/>
      <c r="C214" s="11"/>
      <c r="D214" s="13"/>
      <c r="E214" s="12"/>
      <c r="F214" s="11"/>
      <c r="G214" s="14"/>
      <c r="H214" s="14"/>
      <c r="I214" s="14"/>
      <c r="J214" s="14"/>
      <c r="K214" s="14"/>
      <c r="L214" s="14"/>
      <c r="M214" s="14"/>
      <c r="N214" s="14">
        <f>SUM(N212:N213)</f>
        <v>24911.98</v>
      </c>
    </row>
    <row r="215" customFormat="1" ht="116" customHeight="1" spans="1:14">
      <c r="A215" s="4">
        <v>140</v>
      </c>
      <c r="B215" s="4" t="s">
        <v>1333</v>
      </c>
      <c r="C215" s="4" t="s">
        <v>1055</v>
      </c>
      <c r="D215" s="8" t="s">
        <v>1184</v>
      </c>
      <c r="E215" s="4" t="s">
        <v>55</v>
      </c>
      <c r="F215" s="4">
        <v>4</v>
      </c>
      <c r="G215" s="9">
        <v>12022.02</v>
      </c>
      <c r="H215" s="9">
        <v>462.39</v>
      </c>
      <c r="I215" s="9">
        <v>154.13</v>
      </c>
      <c r="J215" s="9">
        <v>616.51</v>
      </c>
      <c r="K215" s="9">
        <v>462.39</v>
      </c>
      <c r="L215" s="9">
        <v>1695.41</v>
      </c>
      <c r="M215" s="9">
        <v>1387.16</v>
      </c>
      <c r="N215" s="15">
        <f t="shared" si="6"/>
        <v>16800.01</v>
      </c>
    </row>
    <row r="216" customFormat="1" ht="71" customHeight="1" spans="1:14">
      <c r="A216" s="4">
        <v>141</v>
      </c>
      <c r="B216" s="4" t="s">
        <v>1334</v>
      </c>
      <c r="C216" s="4" t="s">
        <v>1085</v>
      </c>
      <c r="D216" s="8" t="s">
        <v>1086</v>
      </c>
      <c r="E216" s="4" t="s">
        <v>55</v>
      </c>
      <c r="F216" s="4">
        <v>2</v>
      </c>
      <c r="G216" s="9">
        <v>12903.63</v>
      </c>
      <c r="H216" s="9">
        <v>496.29</v>
      </c>
      <c r="I216" s="9">
        <v>165.43</v>
      </c>
      <c r="J216" s="9">
        <v>661.72</v>
      </c>
      <c r="K216" s="9">
        <v>496.29</v>
      </c>
      <c r="L216" s="9">
        <v>1819.74</v>
      </c>
      <c r="M216" s="9">
        <v>1488.88</v>
      </c>
      <c r="N216" s="15">
        <f t="shared" si="6"/>
        <v>18031.98</v>
      </c>
    </row>
    <row r="217" customFormat="1" ht="25" customHeight="1" spans="1:14">
      <c r="A217" s="11" t="s">
        <v>50</v>
      </c>
      <c r="B217" s="12"/>
      <c r="C217" s="11"/>
      <c r="D217" s="13"/>
      <c r="E217" s="12"/>
      <c r="F217" s="11"/>
      <c r="G217" s="14"/>
      <c r="H217" s="14"/>
      <c r="I217" s="14"/>
      <c r="J217" s="14"/>
      <c r="K217" s="14"/>
      <c r="L217" s="14"/>
      <c r="M217" s="14"/>
      <c r="N217" s="14">
        <f>SUM(N215:N216)</f>
        <v>34831.99</v>
      </c>
    </row>
    <row r="218" customFormat="1" ht="103" customHeight="1" spans="1:14">
      <c r="A218" s="4">
        <v>142</v>
      </c>
      <c r="B218" s="4" t="s">
        <v>1335</v>
      </c>
      <c r="C218" s="4" t="s">
        <v>1088</v>
      </c>
      <c r="D218" s="8" t="s">
        <v>1089</v>
      </c>
      <c r="E218" s="4" t="s">
        <v>55</v>
      </c>
      <c r="F218" s="4">
        <v>68</v>
      </c>
      <c r="G218" s="9">
        <v>44767.71</v>
      </c>
      <c r="H218" s="9">
        <v>1721.83</v>
      </c>
      <c r="I218" s="9">
        <v>573.94</v>
      </c>
      <c r="J218" s="9">
        <v>2295.78</v>
      </c>
      <c r="K218" s="9">
        <v>1721.83</v>
      </c>
      <c r="L218" s="9">
        <v>6313.39</v>
      </c>
      <c r="M218" s="9">
        <v>5165.5</v>
      </c>
      <c r="N218" s="15">
        <f t="shared" si="6"/>
        <v>62559.98</v>
      </c>
    </row>
    <row r="219" customFormat="1" ht="83" customHeight="1" spans="1:14">
      <c r="A219" s="4">
        <v>143</v>
      </c>
      <c r="B219" s="4" t="s">
        <v>1336</v>
      </c>
      <c r="C219" s="4" t="s">
        <v>1067</v>
      </c>
      <c r="D219" s="8" t="s">
        <v>1068</v>
      </c>
      <c r="E219" s="4" t="s">
        <v>55</v>
      </c>
      <c r="F219" s="4">
        <v>8</v>
      </c>
      <c r="G219" s="9">
        <v>4579.82</v>
      </c>
      <c r="H219" s="9">
        <v>176.15</v>
      </c>
      <c r="I219" s="9">
        <v>58.72</v>
      </c>
      <c r="J219" s="9">
        <v>234.86</v>
      </c>
      <c r="K219" s="9">
        <v>176.15</v>
      </c>
      <c r="L219" s="9">
        <v>645.87</v>
      </c>
      <c r="M219" s="9">
        <v>528.44</v>
      </c>
      <c r="N219" s="15">
        <f t="shared" si="6"/>
        <v>6400.01</v>
      </c>
    </row>
    <row r="220" customFormat="1" ht="25" customHeight="1" spans="1:14">
      <c r="A220" s="11" t="s">
        <v>50</v>
      </c>
      <c r="B220" s="12"/>
      <c r="C220" s="11"/>
      <c r="D220" s="13"/>
      <c r="E220" s="12"/>
      <c r="F220" s="11"/>
      <c r="G220" s="14"/>
      <c r="H220" s="14"/>
      <c r="I220" s="14"/>
      <c r="J220" s="14"/>
      <c r="K220" s="14"/>
      <c r="L220" s="14"/>
      <c r="M220" s="14"/>
      <c r="N220" s="14">
        <f>SUM(N218:N219)</f>
        <v>68959.99</v>
      </c>
    </row>
    <row r="221" customFormat="1" ht="83" customHeight="1" spans="1:14">
      <c r="A221" s="4">
        <v>144</v>
      </c>
      <c r="B221" s="4" t="s">
        <v>1337</v>
      </c>
      <c r="C221" s="4" t="s">
        <v>1070</v>
      </c>
      <c r="D221" s="8" t="s">
        <v>1071</v>
      </c>
      <c r="E221" s="4" t="s">
        <v>55</v>
      </c>
      <c r="F221" s="4">
        <v>4</v>
      </c>
      <c r="G221" s="9">
        <v>2015.12</v>
      </c>
      <c r="H221" s="9">
        <v>77.5</v>
      </c>
      <c r="I221" s="9">
        <v>25.83</v>
      </c>
      <c r="J221" s="9">
        <v>103.34</v>
      </c>
      <c r="K221" s="9">
        <v>77.5</v>
      </c>
      <c r="L221" s="9">
        <v>284.18</v>
      </c>
      <c r="M221" s="9">
        <v>232.51</v>
      </c>
      <c r="N221" s="15">
        <f t="shared" si="6"/>
        <v>2815.98</v>
      </c>
    </row>
    <row r="222" customFormat="1" ht="66" customHeight="1" spans="1:14">
      <c r="A222" s="4">
        <v>145</v>
      </c>
      <c r="B222" s="4" t="s">
        <v>1338</v>
      </c>
      <c r="C222" s="4" t="s">
        <v>1073</v>
      </c>
      <c r="D222" s="8" t="s">
        <v>1074</v>
      </c>
      <c r="E222" s="4" t="s">
        <v>55</v>
      </c>
      <c r="F222" s="4">
        <v>12</v>
      </c>
      <c r="G222" s="9">
        <v>10304.59</v>
      </c>
      <c r="H222" s="9">
        <v>396.33</v>
      </c>
      <c r="I222" s="9">
        <v>132.11</v>
      </c>
      <c r="J222" s="9">
        <v>528.44</v>
      </c>
      <c r="K222" s="9">
        <v>396.33</v>
      </c>
      <c r="L222" s="9">
        <v>1453.21</v>
      </c>
      <c r="M222" s="9">
        <v>1188.99</v>
      </c>
      <c r="N222" s="15">
        <f t="shared" si="6"/>
        <v>14400</v>
      </c>
    </row>
    <row r="223" customFormat="1" ht="60" customHeight="1" spans="1:14">
      <c r="A223" s="4">
        <v>146</v>
      </c>
      <c r="B223" s="4" t="s">
        <v>1339</v>
      </c>
      <c r="C223" s="4" t="s">
        <v>1076</v>
      </c>
      <c r="D223" s="8" t="s">
        <v>1077</v>
      </c>
      <c r="E223" s="4" t="s">
        <v>332</v>
      </c>
      <c r="F223" s="4">
        <v>4</v>
      </c>
      <c r="G223" s="9">
        <v>4785.91</v>
      </c>
      <c r="H223" s="9">
        <v>184.07</v>
      </c>
      <c r="I223" s="9">
        <v>61.36</v>
      </c>
      <c r="J223" s="9">
        <v>245.43</v>
      </c>
      <c r="K223" s="9">
        <v>184.07</v>
      </c>
      <c r="L223" s="9">
        <v>674.94</v>
      </c>
      <c r="M223" s="9">
        <v>552.22</v>
      </c>
      <c r="N223" s="15">
        <f t="shared" si="6"/>
        <v>6688</v>
      </c>
    </row>
    <row r="224" customFormat="1" ht="25" customHeight="1" spans="1:14">
      <c r="A224" s="11" t="s">
        <v>50</v>
      </c>
      <c r="B224" s="12"/>
      <c r="C224" s="11"/>
      <c r="D224" s="13"/>
      <c r="E224" s="12"/>
      <c r="F224" s="11"/>
      <c r="G224" s="14"/>
      <c r="H224" s="14"/>
      <c r="I224" s="14"/>
      <c r="J224" s="14"/>
      <c r="K224" s="14"/>
      <c r="L224" s="14"/>
      <c r="M224" s="14"/>
      <c r="N224" s="14">
        <f>SUM(N221:N223)</f>
        <v>23903.98</v>
      </c>
    </row>
    <row r="225" customFormat="1" ht="60" customHeight="1" spans="1:14">
      <c r="A225" s="4">
        <v>147</v>
      </c>
      <c r="B225" s="4" t="s">
        <v>1340</v>
      </c>
      <c r="C225" s="4" t="s">
        <v>1079</v>
      </c>
      <c r="D225" s="8" t="s">
        <v>1080</v>
      </c>
      <c r="E225" s="4" t="s">
        <v>93</v>
      </c>
      <c r="F225" s="4">
        <v>4</v>
      </c>
      <c r="G225" s="9">
        <v>2422.02</v>
      </c>
      <c r="H225" s="9">
        <v>201.83</v>
      </c>
      <c r="I225" s="9">
        <v>80.73</v>
      </c>
      <c r="J225" s="9">
        <v>605.5</v>
      </c>
      <c r="K225" s="9">
        <v>282.57</v>
      </c>
      <c r="L225" s="9">
        <v>444.04</v>
      </c>
      <c r="M225" s="9">
        <v>363.3</v>
      </c>
      <c r="N225" s="15">
        <f t="shared" si="6"/>
        <v>4399.99</v>
      </c>
    </row>
    <row r="226" customFormat="1" ht="91" customHeight="1" spans="1:14">
      <c r="A226" s="4">
        <v>148</v>
      </c>
      <c r="B226" s="4" t="s">
        <v>1341</v>
      </c>
      <c r="C226" s="4" t="s">
        <v>1188</v>
      </c>
      <c r="D226" s="8" t="s">
        <v>1189</v>
      </c>
      <c r="E226" s="4" t="s">
        <v>55</v>
      </c>
      <c r="F226" s="4">
        <v>68</v>
      </c>
      <c r="G226" s="9">
        <v>58392.66</v>
      </c>
      <c r="H226" s="9">
        <v>2245.87</v>
      </c>
      <c r="I226" s="9">
        <v>748.62</v>
      </c>
      <c r="J226" s="9">
        <v>2994.5</v>
      </c>
      <c r="K226" s="9">
        <v>2245.87</v>
      </c>
      <c r="L226" s="9">
        <v>8234.86</v>
      </c>
      <c r="M226" s="9">
        <v>6737.61</v>
      </c>
      <c r="N226" s="15">
        <f t="shared" si="6"/>
        <v>81599.99</v>
      </c>
    </row>
    <row r="227" customFormat="1" ht="25" customHeight="1" spans="1:14">
      <c r="A227" s="11" t="s">
        <v>50</v>
      </c>
      <c r="B227" s="12"/>
      <c r="C227" s="11"/>
      <c r="D227" s="13"/>
      <c r="E227" s="12"/>
      <c r="F227" s="11"/>
      <c r="G227" s="14"/>
      <c r="H227" s="14"/>
      <c r="I227" s="14"/>
      <c r="J227" s="14"/>
      <c r="K227" s="14"/>
      <c r="L227" s="14"/>
      <c r="M227" s="14"/>
      <c r="N227" s="14">
        <f>SUM(N225:N226)</f>
        <v>85999.98</v>
      </c>
    </row>
    <row r="228" customFormat="1" ht="137" customHeight="1" spans="1:14">
      <c r="A228" s="4">
        <v>149</v>
      </c>
      <c r="B228" s="4" t="s">
        <v>1342</v>
      </c>
      <c r="C228" s="4" t="s">
        <v>1091</v>
      </c>
      <c r="D228" s="8" t="s">
        <v>1343</v>
      </c>
      <c r="E228" s="4" t="s">
        <v>1032</v>
      </c>
      <c r="F228" s="4">
        <v>7.2</v>
      </c>
      <c r="G228" s="9">
        <v>47401.1</v>
      </c>
      <c r="H228" s="9">
        <v>1823.12</v>
      </c>
      <c r="I228" s="9">
        <v>607.71</v>
      </c>
      <c r="J228" s="9">
        <v>2430.83</v>
      </c>
      <c r="K228" s="9">
        <v>1823.12</v>
      </c>
      <c r="L228" s="9">
        <v>6684.77</v>
      </c>
      <c r="M228" s="9">
        <v>5469.36</v>
      </c>
      <c r="N228" s="15">
        <f t="shared" si="6"/>
        <v>66240.01</v>
      </c>
    </row>
    <row r="229" customFormat="1" ht="60" customHeight="1" spans="1:14">
      <c r="A229" s="4">
        <v>150</v>
      </c>
      <c r="B229" s="4" t="s">
        <v>1344</v>
      </c>
      <c r="C229" s="4" t="s">
        <v>1094</v>
      </c>
      <c r="D229" s="8" t="s">
        <v>1095</v>
      </c>
      <c r="E229" s="4" t="s">
        <v>55</v>
      </c>
      <c r="F229" s="4">
        <v>2</v>
      </c>
      <c r="G229" s="9">
        <v>11273.39</v>
      </c>
      <c r="H229" s="9">
        <v>939.45</v>
      </c>
      <c r="I229" s="9">
        <v>375.78</v>
      </c>
      <c r="J229" s="9">
        <v>2818.35</v>
      </c>
      <c r="K229" s="9">
        <v>1315.23</v>
      </c>
      <c r="L229" s="9">
        <v>2066.79</v>
      </c>
      <c r="M229" s="9">
        <v>1691.01</v>
      </c>
      <c r="N229" s="15">
        <f t="shared" si="6"/>
        <v>20480</v>
      </c>
    </row>
    <row r="230" customFormat="1" ht="25" customHeight="1" spans="1:14">
      <c r="A230" s="11" t="s">
        <v>50</v>
      </c>
      <c r="B230" s="12"/>
      <c r="C230" s="11"/>
      <c r="D230" s="13"/>
      <c r="E230" s="12"/>
      <c r="F230" s="11"/>
      <c r="G230" s="14"/>
      <c r="H230" s="14"/>
      <c r="I230" s="14"/>
      <c r="J230" s="14"/>
      <c r="K230" s="14"/>
      <c r="L230" s="14"/>
      <c r="M230" s="14"/>
      <c r="N230" s="14">
        <f>SUM(N228:N229)</f>
        <v>86720.01</v>
      </c>
    </row>
    <row r="231" customFormat="1" ht="60" customHeight="1" spans="1:14">
      <c r="A231" s="4">
        <v>151</v>
      </c>
      <c r="B231" s="4" t="s">
        <v>1345</v>
      </c>
      <c r="C231" s="4" t="s">
        <v>1097</v>
      </c>
      <c r="D231" s="8" t="s">
        <v>1098</v>
      </c>
      <c r="E231" s="4" t="s">
        <v>55</v>
      </c>
      <c r="F231" s="4">
        <v>2</v>
      </c>
      <c r="G231" s="9">
        <v>7442.2</v>
      </c>
      <c r="H231" s="9">
        <v>286.24</v>
      </c>
      <c r="I231" s="9">
        <v>95.41</v>
      </c>
      <c r="J231" s="9">
        <v>381.65</v>
      </c>
      <c r="K231" s="9">
        <v>286.24</v>
      </c>
      <c r="L231" s="9">
        <v>1049.54</v>
      </c>
      <c r="M231" s="9">
        <v>858.72</v>
      </c>
      <c r="N231" s="15">
        <f t="shared" si="6"/>
        <v>10400</v>
      </c>
    </row>
    <row r="232" customFormat="1" ht="109" customHeight="1" spans="1:14">
      <c r="A232" s="4">
        <v>152</v>
      </c>
      <c r="B232" s="4" t="s">
        <v>1346</v>
      </c>
      <c r="C232" s="4" t="s">
        <v>1103</v>
      </c>
      <c r="D232" s="8" t="s">
        <v>1347</v>
      </c>
      <c r="E232" s="4" t="s">
        <v>55</v>
      </c>
      <c r="F232" s="4">
        <v>2</v>
      </c>
      <c r="G232" s="9">
        <v>33776.15</v>
      </c>
      <c r="H232" s="9">
        <v>1299.08</v>
      </c>
      <c r="I232" s="9">
        <v>433.03</v>
      </c>
      <c r="J232" s="9">
        <v>1732.11</v>
      </c>
      <c r="K232" s="9">
        <v>1299.08</v>
      </c>
      <c r="L232" s="9">
        <v>4763.3</v>
      </c>
      <c r="M232" s="9">
        <v>3897.25</v>
      </c>
      <c r="N232" s="15">
        <f t="shared" si="6"/>
        <v>47200</v>
      </c>
    </row>
    <row r="233" customFormat="1" ht="25" customHeight="1" spans="1:14">
      <c r="A233" s="11" t="s">
        <v>50</v>
      </c>
      <c r="B233" s="12"/>
      <c r="C233" s="11"/>
      <c r="D233" s="13"/>
      <c r="E233" s="12"/>
      <c r="F233" s="11"/>
      <c r="G233" s="14"/>
      <c r="H233" s="14"/>
      <c r="I233" s="14"/>
      <c r="J233" s="14"/>
      <c r="K233" s="14"/>
      <c r="L233" s="14"/>
      <c r="M233" s="14"/>
      <c r="N233" s="14">
        <f>SUM(N231:N232)</f>
        <v>57600</v>
      </c>
    </row>
    <row r="234" customFormat="1" ht="74" customHeight="1" spans="1:14">
      <c r="A234" s="4">
        <v>153</v>
      </c>
      <c r="B234" s="4" t="s">
        <v>1348</v>
      </c>
      <c r="C234" s="4" t="s">
        <v>1191</v>
      </c>
      <c r="D234" s="8" t="s">
        <v>1192</v>
      </c>
      <c r="E234" s="4" t="s">
        <v>55</v>
      </c>
      <c r="F234" s="4">
        <v>4</v>
      </c>
      <c r="G234" s="9">
        <v>11853.21</v>
      </c>
      <c r="H234" s="9">
        <v>3119.27</v>
      </c>
      <c r="I234" s="9">
        <v>1559.63</v>
      </c>
      <c r="J234" s="9">
        <v>8733.94</v>
      </c>
      <c r="K234" s="9">
        <v>2495.41</v>
      </c>
      <c r="L234" s="9">
        <v>3431.19</v>
      </c>
      <c r="M234" s="9">
        <v>2807.34</v>
      </c>
      <c r="N234" s="15">
        <f t="shared" si="6"/>
        <v>33999.99</v>
      </c>
    </row>
    <row r="235" customFormat="1" ht="64" customHeight="1" spans="1:14">
      <c r="A235" s="4">
        <v>154</v>
      </c>
      <c r="B235" s="4" t="s">
        <v>1349</v>
      </c>
      <c r="C235" s="4" t="s">
        <v>1109</v>
      </c>
      <c r="D235" s="8" t="s">
        <v>1110</v>
      </c>
      <c r="E235" s="4" t="s">
        <v>55</v>
      </c>
      <c r="F235" s="4">
        <v>5</v>
      </c>
      <c r="G235" s="9">
        <v>4293.58</v>
      </c>
      <c r="H235" s="9">
        <v>165.14</v>
      </c>
      <c r="I235" s="9">
        <v>55.05</v>
      </c>
      <c r="J235" s="9">
        <v>220.18</v>
      </c>
      <c r="K235" s="9">
        <v>165.14</v>
      </c>
      <c r="L235" s="9">
        <v>605.5</v>
      </c>
      <c r="M235" s="9">
        <v>495.41</v>
      </c>
      <c r="N235" s="15">
        <f t="shared" si="6"/>
        <v>6000</v>
      </c>
    </row>
    <row r="236" customFormat="1" ht="25" customHeight="1" spans="1:14">
      <c r="A236" s="11" t="s">
        <v>50</v>
      </c>
      <c r="B236" s="12"/>
      <c r="C236" s="11"/>
      <c r="D236" s="13"/>
      <c r="E236" s="12"/>
      <c r="F236" s="11"/>
      <c r="G236" s="14"/>
      <c r="H236" s="14"/>
      <c r="I236" s="14"/>
      <c r="J236" s="14"/>
      <c r="K236" s="14"/>
      <c r="L236" s="14"/>
      <c r="M236" s="14"/>
      <c r="N236" s="14">
        <f>SUM(N234:N235)</f>
        <v>39999.99</v>
      </c>
    </row>
    <row r="237" s="20" customFormat="1" ht="174" customHeight="1" spans="1:14">
      <c r="A237" s="21">
        <v>155</v>
      </c>
      <c r="B237" s="21" t="s">
        <v>1350</v>
      </c>
      <c r="C237" s="21" t="s">
        <v>1112</v>
      </c>
      <c r="D237" s="22" t="s">
        <v>1113</v>
      </c>
      <c r="E237" s="21" t="s">
        <v>55</v>
      </c>
      <c r="F237" s="21">
        <v>26</v>
      </c>
      <c r="G237" s="23">
        <v>55072.29</v>
      </c>
      <c r="H237" s="23">
        <v>2118.168</v>
      </c>
      <c r="I237" s="23">
        <v>706.056</v>
      </c>
      <c r="J237" s="23">
        <v>2824.224</v>
      </c>
      <c r="K237" s="23">
        <v>2118.168</v>
      </c>
      <c r="L237" s="23">
        <v>7766.603</v>
      </c>
      <c r="M237" s="23">
        <v>6354.491</v>
      </c>
      <c r="N237" s="29">
        <f t="shared" si="6"/>
        <v>76960</v>
      </c>
    </row>
    <row r="238" customFormat="1" ht="25" customHeight="1" spans="1:14">
      <c r="A238" s="11" t="s">
        <v>50</v>
      </c>
      <c r="B238" s="12"/>
      <c r="C238" s="11"/>
      <c r="D238" s="13"/>
      <c r="E238" s="12"/>
      <c r="F238" s="11"/>
      <c r="G238" s="12"/>
      <c r="H238" s="12"/>
      <c r="I238" s="12"/>
      <c r="J238" s="12"/>
      <c r="K238" s="12"/>
      <c r="L238" s="12"/>
      <c r="M238" s="12"/>
      <c r="N238" s="14">
        <f t="shared" ref="N238:N242" si="7">N237</f>
        <v>76960</v>
      </c>
    </row>
    <row r="239" customFormat="1" ht="174" customHeight="1" spans="1:14">
      <c r="A239" s="4">
        <v>156</v>
      </c>
      <c r="B239" s="4" t="s">
        <v>1351</v>
      </c>
      <c r="C239" s="4" t="s">
        <v>1115</v>
      </c>
      <c r="D239" s="8" t="s">
        <v>1116</v>
      </c>
      <c r="E239" s="4" t="s">
        <v>55</v>
      </c>
      <c r="F239" s="4">
        <v>32</v>
      </c>
      <c r="G239" s="23">
        <v>67781.28</v>
      </c>
      <c r="H239" s="23">
        <v>2606.976</v>
      </c>
      <c r="I239" s="23">
        <v>868.992</v>
      </c>
      <c r="J239" s="23">
        <v>3475.968</v>
      </c>
      <c r="K239" s="23">
        <v>2606.976</v>
      </c>
      <c r="L239" s="23">
        <v>9558.896</v>
      </c>
      <c r="M239" s="23">
        <v>7820.912</v>
      </c>
      <c r="N239" s="15">
        <f t="shared" si="6"/>
        <v>94720</v>
      </c>
    </row>
    <row r="240" customFormat="1" ht="25" customHeight="1" spans="1:14">
      <c r="A240" s="11" t="s">
        <v>50</v>
      </c>
      <c r="B240" s="12"/>
      <c r="C240" s="11"/>
      <c r="D240" s="13"/>
      <c r="E240" s="12"/>
      <c r="F240" s="11"/>
      <c r="G240" s="14"/>
      <c r="H240" s="14"/>
      <c r="I240" s="14"/>
      <c r="J240" s="14"/>
      <c r="K240" s="14"/>
      <c r="L240" s="14"/>
      <c r="M240" s="14"/>
      <c r="N240" s="14">
        <f t="shared" si="7"/>
        <v>94720</v>
      </c>
    </row>
    <row r="241" customFormat="1" ht="104" customHeight="1" spans="1:14">
      <c r="A241" s="4">
        <v>157</v>
      </c>
      <c r="B241" s="4" t="s">
        <v>1352</v>
      </c>
      <c r="C241" s="4" t="s">
        <v>1121</v>
      </c>
      <c r="D241" s="8" t="s">
        <v>1122</v>
      </c>
      <c r="E241" s="4" t="s">
        <v>55</v>
      </c>
      <c r="F241" s="4">
        <v>2</v>
      </c>
      <c r="G241" s="9">
        <v>5495.78</v>
      </c>
      <c r="H241" s="9">
        <v>211.38</v>
      </c>
      <c r="I241" s="9">
        <v>70.46</v>
      </c>
      <c r="J241" s="9">
        <v>281.83</v>
      </c>
      <c r="K241" s="9">
        <v>211.38</v>
      </c>
      <c r="L241" s="9">
        <v>775.05</v>
      </c>
      <c r="M241" s="9">
        <v>634.13</v>
      </c>
      <c r="N241" s="15">
        <f t="shared" si="6"/>
        <v>7680.01</v>
      </c>
    </row>
    <row r="242" customFormat="1" ht="25" customHeight="1" spans="1:14">
      <c r="A242" s="11" t="s">
        <v>50</v>
      </c>
      <c r="B242" s="12"/>
      <c r="C242" s="11"/>
      <c r="D242" s="13"/>
      <c r="E242" s="12"/>
      <c r="F242" s="11"/>
      <c r="G242" s="14"/>
      <c r="H242" s="14"/>
      <c r="I242" s="14"/>
      <c r="J242" s="14"/>
      <c r="K242" s="14"/>
      <c r="L242" s="14"/>
      <c r="M242" s="14"/>
      <c r="N242" s="14">
        <f t="shared" si="7"/>
        <v>7680.01</v>
      </c>
    </row>
    <row r="243" customFormat="1" ht="178" customHeight="1" spans="1:14">
      <c r="A243" s="4">
        <v>158</v>
      </c>
      <c r="B243" s="4" t="s">
        <v>1353</v>
      </c>
      <c r="C243" s="4" t="s">
        <v>1127</v>
      </c>
      <c r="D243" s="8" t="s">
        <v>1128</v>
      </c>
      <c r="E243" s="4" t="s">
        <v>55</v>
      </c>
      <c r="F243" s="4">
        <v>2</v>
      </c>
      <c r="G243" s="9">
        <v>15113.39</v>
      </c>
      <c r="H243" s="9">
        <v>581.28</v>
      </c>
      <c r="I243" s="9">
        <v>193.76</v>
      </c>
      <c r="J243" s="9">
        <v>775.05</v>
      </c>
      <c r="K243" s="9">
        <v>581.28</v>
      </c>
      <c r="L243" s="9">
        <v>2131.38</v>
      </c>
      <c r="M243" s="9">
        <v>1743.85</v>
      </c>
      <c r="N243" s="15">
        <f t="shared" si="6"/>
        <v>21119.99</v>
      </c>
    </row>
    <row r="244" customFormat="1" ht="25" customHeight="1" spans="1:14">
      <c r="A244" s="11" t="s">
        <v>50</v>
      </c>
      <c r="B244" s="12"/>
      <c r="C244" s="11"/>
      <c r="D244" s="13"/>
      <c r="E244" s="12"/>
      <c r="F244" s="11"/>
      <c r="G244" s="14"/>
      <c r="H244" s="14"/>
      <c r="I244" s="14"/>
      <c r="J244" s="14"/>
      <c r="K244" s="14"/>
      <c r="L244" s="14"/>
      <c r="M244" s="14"/>
      <c r="N244" s="14">
        <f>N243</f>
        <v>21119.99</v>
      </c>
    </row>
    <row r="245" customFormat="1" ht="124" customHeight="1" spans="1:14">
      <c r="A245" s="4">
        <v>159</v>
      </c>
      <c r="B245" s="4" t="s">
        <v>1354</v>
      </c>
      <c r="C245" s="4" t="s">
        <v>1205</v>
      </c>
      <c r="D245" s="8" t="s">
        <v>1355</v>
      </c>
      <c r="E245" s="4" t="s">
        <v>55</v>
      </c>
      <c r="F245" s="4">
        <v>8</v>
      </c>
      <c r="G245" s="9">
        <v>25188.99</v>
      </c>
      <c r="H245" s="9">
        <v>968.81</v>
      </c>
      <c r="I245" s="9">
        <v>322.94</v>
      </c>
      <c r="J245" s="9">
        <v>1291.74</v>
      </c>
      <c r="K245" s="9">
        <v>968.81</v>
      </c>
      <c r="L245" s="9">
        <v>3552.29</v>
      </c>
      <c r="M245" s="9">
        <v>2906.42</v>
      </c>
      <c r="N245" s="15">
        <f t="shared" si="6"/>
        <v>35200</v>
      </c>
    </row>
    <row r="246" customFormat="1" ht="45" customHeight="1" spans="1:14">
      <c r="A246" s="4">
        <v>160</v>
      </c>
      <c r="B246" s="4" t="s">
        <v>1356</v>
      </c>
      <c r="C246" s="4" t="s">
        <v>1136</v>
      </c>
      <c r="D246" s="8" t="s">
        <v>1137</v>
      </c>
      <c r="E246" s="4" t="s">
        <v>55</v>
      </c>
      <c r="F246" s="4">
        <v>8</v>
      </c>
      <c r="G246" s="9">
        <v>251.01</v>
      </c>
      <c r="H246" s="9">
        <v>66.06</v>
      </c>
      <c r="I246" s="9">
        <v>33.03</v>
      </c>
      <c r="J246" s="9">
        <v>184.95</v>
      </c>
      <c r="K246" s="9">
        <v>52.84</v>
      </c>
      <c r="L246" s="9">
        <v>72.66</v>
      </c>
      <c r="M246" s="9">
        <v>59.45</v>
      </c>
      <c r="N246" s="15">
        <f t="shared" si="6"/>
        <v>720</v>
      </c>
    </row>
    <row r="247" customFormat="1" ht="25" customHeight="1" spans="1:14">
      <c r="A247" s="11" t="s">
        <v>50</v>
      </c>
      <c r="B247" s="12"/>
      <c r="C247" s="11"/>
      <c r="D247" s="13"/>
      <c r="E247" s="12"/>
      <c r="F247" s="11"/>
      <c r="G247" s="14"/>
      <c r="H247" s="14"/>
      <c r="I247" s="14"/>
      <c r="J247" s="14"/>
      <c r="K247" s="14"/>
      <c r="L247" s="14"/>
      <c r="M247" s="14"/>
      <c r="N247" s="14">
        <f>SUM(N245:N246)</f>
        <v>35920</v>
      </c>
    </row>
    <row r="248" customFormat="1" ht="172" customHeight="1" spans="1:14">
      <c r="A248" s="4">
        <v>161</v>
      </c>
      <c r="B248" s="4" t="s">
        <v>1357</v>
      </c>
      <c r="C248" s="4" t="s">
        <v>1142</v>
      </c>
      <c r="D248" s="8" t="s">
        <v>1143</v>
      </c>
      <c r="E248" s="4" t="s">
        <v>55</v>
      </c>
      <c r="F248" s="4">
        <v>2</v>
      </c>
      <c r="G248" s="9">
        <v>16372.84</v>
      </c>
      <c r="H248" s="9">
        <v>629.72</v>
      </c>
      <c r="I248" s="9">
        <v>209.91</v>
      </c>
      <c r="J248" s="9">
        <v>839.63</v>
      </c>
      <c r="K248" s="9">
        <v>629.72</v>
      </c>
      <c r="L248" s="9">
        <v>2308.99</v>
      </c>
      <c r="M248" s="9">
        <v>1889.17</v>
      </c>
      <c r="N248" s="15">
        <f t="shared" si="6"/>
        <v>22879.98</v>
      </c>
    </row>
    <row r="249" customFormat="1" ht="25" customHeight="1" spans="1:14">
      <c r="A249" s="11" t="s">
        <v>50</v>
      </c>
      <c r="B249" s="12"/>
      <c r="C249" s="11"/>
      <c r="D249" s="13"/>
      <c r="E249" s="12"/>
      <c r="F249" s="11"/>
      <c r="G249" s="14"/>
      <c r="H249" s="14"/>
      <c r="I249" s="14"/>
      <c r="J249" s="14"/>
      <c r="K249" s="14"/>
      <c r="L249" s="14"/>
      <c r="M249" s="14"/>
      <c r="N249" s="14">
        <f>N248</f>
        <v>22879.98</v>
      </c>
    </row>
    <row r="250" customFormat="1" ht="91" customHeight="1" spans="1:14">
      <c r="A250" s="4">
        <v>162</v>
      </c>
      <c r="B250" s="4" t="s">
        <v>1358</v>
      </c>
      <c r="C250" s="4" t="s">
        <v>1145</v>
      </c>
      <c r="D250" s="8" t="s">
        <v>1146</v>
      </c>
      <c r="E250" s="4" t="s">
        <v>55</v>
      </c>
      <c r="F250" s="4">
        <v>2</v>
      </c>
      <c r="G250" s="9">
        <v>11277.8</v>
      </c>
      <c r="H250" s="9">
        <v>433.76</v>
      </c>
      <c r="I250" s="9">
        <v>144.59</v>
      </c>
      <c r="J250" s="9">
        <v>578.35</v>
      </c>
      <c r="K250" s="9">
        <v>433.76</v>
      </c>
      <c r="L250" s="9">
        <v>1590.46</v>
      </c>
      <c r="M250" s="9">
        <v>1301.28</v>
      </c>
      <c r="N250" s="15">
        <f t="shared" si="6"/>
        <v>15760</v>
      </c>
    </row>
    <row r="251" customFormat="1" ht="45" customHeight="1" spans="1:14">
      <c r="A251" s="4">
        <v>163</v>
      </c>
      <c r="B251" s="4" t="s">
        <v>1359</v>
      </c>
      <c r="C251" s="4" t="s">
        <v>1148</v>
      </c>
      <c r="D251" s="8" t="s">
        <v>1149</v>
      </c>
      <c r="E251" s="4" t="s">
        <v>248</v>
      </c>
      <c r="F251" s="4">
        <v>2</v>
      </c>
      <c r="G251" s="9">
        <v>613.58</v>
      </c>
      <c r="H251" s="9">
        <v>161.47</v>
      </c>
      <c r="I251" s="9">
        <v>80.73</v>
      </c>
      <c r="J251" s="9">
        <v>452.11</v>
      </c>
      <c r="K251" s="9">
        <v>129.17</v>
      </c>
      <c r="L251" s="9">
        <v>177.61</v>
      </c>
      <c r="M251" s="9">
        <v>145.32</v>
      </c>
      <c r="N251" s="15">
        <f t="shared" si="6"/>
        <v>1759.99</v>
      </c>
    </row>
    <row r="252" customFormat="1" ht="69" customHeight="1" spans="1:14">
      <c r="A252" s="4">
        <v>164</v>
      </c>
      <c r="B252" s="4" t="s">
        <v>1360</v>
      </c>
      <c r="C252" s="4" t="s">
        <v>1151</v>
      </c>
      <c r="D252" s="8" t="s">
        <v>1152</v>
      </c>
      <c r="E252" s="4" t="s">
        <v>55</v>
      </c>
      <c r="F252" s="4">
        <v>2</v>
      </c>
      <c r="G252" s="9">
        <v>5438.53</v>
      </c>
      <c r="H252" s="9">
        <v>209.17</v>
      </c>
      <c r="I252" s="9">
        <v>69.72</v>
      </c>
      <c r="J252" s="9">
        <v>278.9</v>
      </c>
      <c r="K252" s="9">
        <v>209.17</v>
      </c>
      <c r="L252" s="9">
        <v>766.97</v>
      </c>
      <c r="M252" s="9">
        <v>627.52</v>
      </c>
      <c r="N252" s="15">
        <f t="shared" si="6"/>
        <v>7599.98</v>
      </c>
    </row>
    <row r="253" customFormat="1" ht="25" customHeight="1" spans="1:14">
      <c r="A253" s="11" t="s">
        <v>50</v>
      </c>
      <c r="B253" s="12"/>
      <c r="C253" s="11"/>
      <c r="D253" s="13"/>
      <c r="E253" s="12"/>
      <c r="F253" s="11"/>
      <c r="G253" s="14"/>
      <c r="H253" s="14"/>
      <c r="I253" s="14"/>
      <c r="J253" s="14"/>
      <c r="K253" s="14"/>
      <c r="L253" s="14"/>
      <c r="M253" s="14"/>
      <c r="N253" s="14">
        <f>SUM(N250:N252)</f>
        <v>25119.97</v>
      </c>
    </row>
    <row r="254" customFormat="1" ht="45" customHeight="1" spans="1:14">
      <c r="A254" s="4">
        <v>165</v>
      </c>
      <c r="B254" s="4" t="s">
        <v>1361</v>
      </c>
      <c r="C254" s="4" t="s">
        <v>1154</v>
      </c>
      <c r="D254" s="8" t="s">
        <v>1155</v>
      </c>
      <c r="E254" s="4" t="s">
        <v>55</v>
      </c>
      <c r="F254" s="4">
        <v>2</v>
      </c>
      <c r="G254" s="9">
        <v>3963.3</v>
      </c>
      <c r="H254" s="9">
        <v>330.28</v>
      </c>
      <c r="I254" s="9">
        <v>132.11</v>
      </c>
      <c r="J254" s="9">
        <v>990.83</v>
      </c>
      <c r="K254" s="9">
        <v>462.39</v>
      </c>
      <c r="L254" s="9">
        <v>726.61</v>
      </c>
      <c r="M254" s="9">
        <v>594.5</v>
      </c>
      <c r="N254" s="15">
        <f t="shared" si="6"/>
        <v>7200.02</v>
      </c>
    </row>
    <row r="255" customFormat="1" ht="74" customHeight="1" spans="1:14">
      <c r="A255" s="4">
        <v>166</v>
      </c>
      <c r="B255" s="4" t="s">
        <v>1362</v>
      </c>
      <c r="C255" s="4" t="s">
        <v>1157</v>
      </c>
      <c r="D255" s="8" t="s">
        <v>1158</v>
      </c>
      <c r="E255" s="4" t="s">
        <v>55</v>
      </c>
      <c r="F255" s="4">
        <v>2</v>
      </c>
      <c r="G255" s="9">
        <v>757.43</v>
      </c>
      <c r="H255" s="9">
        <v>63.12</v>
      </c>
      <c r="I255" s="9">
        <v>25.25</v>
      </c>
      <c r="J255" s="9">
        <v>189.36</v>
      </c>
      <c r="K255" s="9">
        <v>88.37</v>
      </c>
      <c r="L255" s="9">
        <v>138.86</v>
      </c>
      <c r="M255" s="9">
        <v>113.61</v>
      </c>
      <c r="N255" s="15">
        <f t="shared" si="6"/>
        <v>1376</v>
      </c>
    </row>
    <row r="256" customFormat="1" ht="45" customHeight="1" spans="1:14">
      <c r="A256" s="4">
        <v>167</v>
      </c>
      <c r="B256" s="4" t="s">
        <v>1363</v>
      </c>
      <c r="C256" s="4" t="s">
        <v>1163</v>
      </c>
      <c r="D256" s="8" t="s">
        <v>1213</v>
      </c>
      <c r="E256" s="4" t="s">
        <v>55</v>
      </c>
      <c r="F256" s="4">
        <v>2</v>
      </c>
      <c r="G256" s="9">
        <v>2518.9</v>
      </c>
      <c r="H256" s="9">
        <v>96.88</v>
      </c>
      <c r="I256" s="9">
        <v>32.29</v>
      </c>
      <c r="J256" s="9">
        <v>129.17</v>
      </c>
      <c r="K256" s="9">
        <v>96.88</v>
      </c>
      <c r="L256" s="9">
        <v>355.23</v>
      </c>
      <c r="M256" s="9">
        <v>290.64</v>
      </c>
      <c r="N256" s="15">
        <f t="shared" si="6"/>
        <v>3519.99</v>
      </c>
    </row>
    <row r="257" customFormat="1" ht="25" customHeight="1" spans="1:14">
      <c r="A257" s="11" t="s">
        <v>50</v>
      </c>
      <c r="B257" s="12"/>
      <c r="C257" s="11"/>
      <c r="D257" s="13"/>
      <c r="E257" s="12"/>
      <c r="F257" s="11"/>
      <c r="G257" s="14"/>
      <c r="H257" s="14"/>
      <c r="I257" s="14"/>
      <c r="J257" s="14"/>
      <c r="K257" s="14"/>
      <c r="L257" s="14"/>
      <c r="M257" s="14"/>
      <c r="N257" s="14">
        <f>SUM(N254:N256)</f>
        <v>12096.01</v>
      </c>
    </row>
    <row r="258" customFormat="1" ht="64" customHeight="1" spans="1:14">
      <c r="A258" s="4">
        <v>168</v>
      </c>
      <c r="B258" s="4" t="s">
        <v>1364</v>
      </c>
      <c r="C258" s="4" t="s">
        <v>1166</v>
      </c>
      <c r="D258" s="8" t="s">
        <v>1167</v>
      </c>
      <c r="E258" s="4" t="s">
        <v>55</v>
      </c>
      <c r="F258" s="4">
        <v>2</v>
      </c>
      <c r="G258" s="9">
        <v>2109.36</v>
      </c>
      <c r="H258" s="9">
        <v>175.78</v>
      </c>
      <c r="I258" s="9">
        <v>70.31</v>
      </c>
      <c r="J258" s="9">
        <v>527.34</v>
      </c>
      <c r="K258" s="9">
        <v>246.09</v>
      </c>
      <c r="L258" s="9">
        <v>386.72</v>
      </c>
      <c r="M258" s="9">
        <v>316.4</v>
      </c>
      <c r="N258" s="15">
        <f t="shared" si="6"/>
        <v>3832</v>
      </c>
    </row>
    <row r="259" customFormat="1" ht="60" customHeight="1" spans="1:14">
      <c r="A259" s="4">
        <v>169</v>
      </c>
      <c r="B259" s="4" t="s">
        <v>1365</v>
      </c>
      <c r="C259" s="4" t="s">
        <v>1169</v>
      </c>
      <c r="D259" s="8" t="s">
        <v>1170</v>
      </c>
      <c r="E259" s="4" t="s">
        <v>55</v>
      </c>
      <c r="F259" s="4">
        <v>2</v>
      </c>
      <c r="G259" s="9">
        <v>2576.15</v>
      </c>
      <c r="H259" s="9">
        <v>99.08</v>
      </c>
      <c r="I259" s="9">
        <v>33.03</v>
      </c>
      <c r="J259" s="9">
        <v>132.11</v>
      </c>
      <c r="K259" s="9">
        <v>99.08</v>
      </c>
      <c r="L259" s="9">
        <v>363.3</v>
      </c>
      <c r="M259" s="9">
        <v>297.25</v>
      </c>
      <c r="N259" s="15">
        <f t="shared" si="6"/>
        <v>3600</v>
      </c>
    </row>
    <row r="260" customFormat="1" ht="65" customHeight="1" spans="1:14">
      <c r="A260" s="4">
        <v>170</v>
      </c>
      <c r="B260" s="4" t="s">
        <v>1366</v>
      </c>
      <c r="C260" s="4" t="s">
        <v>1172</v>
      </c>
      <c r="D260" s="8" t="s">
        <v>1173</v>
      </c>
      <c r="E260" s="4" t="s">
        <v>55</v>
      </c>
      <c r="F260" s="4">
        <v>2</v>
      </c>
      <c r="G260" s="9">
        <v>930.28</v>
      </c>
      <c r="H260" s="9">
        <v>35.78</v>
      </c>
      <c r="I260" s="9">
        <v>11.93</v>
      </c>
      <c r="J260" s="9">
        <v>47.71</v>
      </c>
      <c r="K260" s="9">
        <v>35.78</v>
      </c>
      <c r="L260" s="9">
        <v>131.19</v>
      </c>
      <c r="M260" s="9">
        <v>107.34</v>
      </c>
      <c r="N260" s="15">
        <f t="shared" si="6"/>
        <v>1300.01</v>
      </c>
    </row>
    <row r="261" customFormat="1" ht="25" customHeight="1" spans="1:14">
      <c r="A261" s="11" t="s">
        <v>50</v>
      </c>
      <c r="B261" s="12"/>
      <c r="C261" s="11"/>
      <c r="D261" s="13"/>
      <c r="E261" s="12"/>
      <c r="F261" s="11"/>
      <c r="G261" s="14"/>
      <c r="H261" s="14"/>
      <c r="I261" s="14"/>
      <c r="J261" s="14"/>
      <c r="K261" s="14"/>
      <c r="L261" s="14"/>
      <c r="M261" s="14"/>
      <c r="N261" s="14">
        <f>SUM(N258:N260)</f>
        <v>8732.01</v>
      </c>
    </row>
    <row r="262" customFormat="1" ht="45" customHeight="1" spans="1:14">
      <c r="A262" s="4">
        <v>171</v>
      </c>
      <c r="B262" s="4" t="s">
        <v>1367</v>
      </c>
      <c r="C262" s="4" t="s">
        <v>1175</v>
      </c>
      <c r="D262" s="8" t="s">
        <v>1176</v>
      </c>
      <c r="E262" s="4" t="s">
        <v>93</v>
      </c>
      <c r="F262" s="4">
        <v>10</v>
      </c>
      <c r="G262" s="9">
        <v>2003.67</v>
      </c>
      <c r="H262" s="9">
        <v>77.06</v>
      </c>
      <c r="I262" s="9">
        <v>25.69</v>
      </c>
      <c r="J262" s="9">
        <v>102.75</v>
      </c>
      <c r="K262" s="9">
        <v>77.06</v>
      </c>
      <c r="L262" s="9">
        <v>282.57</v>
      </c>
      <c r="M262" s="9">
        <v>231.19</v>
      </c>
      <c r="N262" s="15">
        <f t="shared" ref="N261:N324" si="8">SUM(G262:M262)</f>
        <v>2799.99</v>
      </c>
    </row>
    <row r="263" customFormat="1" ht="83" customHeight="1" spans="1:14">
      <c r="A263" s="4">
        <v>172</v>
      </c>
      <c r="B263" s="4" t="s">
        <v>1368</v>
      </c>
      <c r="C263" s="4" t="s">
        <v>1178</v>
      </c>
      <c r="D263" s="8" t="s">
        <v>1328</v>
      </c>
      <c r="E263" s="4" t="s">
        <v>55</v>
      </c>
      <c r="F263" s="4">
        <v>4</v>
      </c>
      <c r="G263" s="9">
        <v>7838.53</v>
      </c>
      <c r="H263" s="9">
        <v>653.21</v>
      </c>
      <c r="I263" s="9">
        <v>261.28</v>
      </c>
      <c r="J263" s="9">
        <v>1959.63</v>
      </c>
      <c r="K263" s="9">
        <v>914.5</v>
      </c>
      <c r="L263" s="9">
        <v>1437.06</v>
      </c>
      <c r="M263" s="9">
        <v>1175.78</v>
      </c>
      <c r="N263" s="15">
        <f t="shared" si="8"/>
        <v>14239.99</v>
      </c>
    </row>
    <row r="264" customFormat="1" ht="92" customHeight="1" spans="1:14">
      <c r="A264" s="4">
        <v>173</v>
      </c>
      <c r="B264" s="4" t="s">
        <v>1369</v>
      </c>
      <c r="C264" s="4" t="s">
        <v>1043</v>
      </c>
      <c r="D264" s="8" t="s">
        <v>1044</v>
      </c>
      <c r="E264" s="4" t="s">
        <v>55</v>
      </c>
      <c r="F264" s="4">
        <v>8</v>
      </c>
      <c r="G264" s="9">
        <v>2518.9</v>
      </c>
      <c r="H264" s="9">
        <v>209.91</v>
      </c>
      <c r="I264" s="9">
        <v>83.96</v>
      </c>
      <c r="J264" s="9">
        <v>629.72</v>
      </c>
      <c r="K264" s="9">
        <v>293.87</v>
      </c>
      <c r="L264" s="9">
        <v>461.8</v>
      </c>
      <c r="M264" s="9">
        <v>377.83</v>
      </c>
      <c r="N264" s="15">
        <f t="shared" si="8"/>
        <v>4575.99</v>
      </c>
    </row>
    <row r="265" customFormat="1" ht="25" customHeight="1" spans="1:14">
      <c r="A265" s="11" t="s">
        <v>50</v>
      </c>
      <c r="B265" s="12"/>
      <c r="C265" s="11"/>
      <c r="D265" s="13"/>
      <c r="E265" s="12"/>
      <c r="F265" s="11"/>
      <c r="G265" s="14"/>
      <c r="H265" s="14"/>
      <c r="I265" s="14"/>
      <c r="J265" s="14"/>
      <c r="K265" s="14"/>
      <c r="L265" s="14"/>
      <c r="M265" s="14"/>
      <c r="N265" s="14">
        <f>SUM(N262:N264)</f>
        <v>21615.97</v>
      </c>
    </row>
    <row r="266" customFormat="1" ht="102" customHeight="1" spans="1:14">
      <c r="A266" s="4">
        <v>174</v>
      </c>
      <c r="B266" s="4" t="s">
        <v>1370</v>
      </c>
      <c r="C266" s="4" t="s">
        <v>1181</v>
      </c>
      <c r="D266" s="8" t="s">
        <v>1182</v>
      </c>
      <c r="E266" s="4" t="s">
        <v>55</v>
      </c>
      <c r="F266" s="4">
        <v>2</v>
      </c>
      <c r="G266" s="9">
        <v>5719.05</v>
      </c>
      <c r="H266" s="9">
        <v>219.96</v>
      </c>
      <c r="I266" s="9">
        <v>73.32</v>
      </c>
      <c r="J266" s="9">
        <v>293.28</v>
      </c>
      <c r="K266" s="9">
        <v>219.96</v>
      </c>
      <c r="L266" s="9">
        <v>806.53</v>
      </c>
      <c r="M266" s="9">
        <v>659.89</v>
      </c>
      <c r="N266" s="15">
        <f t="shared" si="8"/>
        <v>7991.99</v>
      </c>
    </row>
    <row r="267" customFormat="1" ht="102" customHeight="1" spans="1:14">
      <c r="A267" s="4">
        <v>175</v>
      </c>
      <c r="B267" s="4" t="s">
        <v>1371</v>
      </c>
      <c r="C267" s="4" t="s">
        <v>1052</v>
      </c>
      <c r="D267" s="8" t="s">
        <v>1332</v>
      </c>
      <c r="E267" s="4" t="s">
        <v>55</v>
      </c>
      <c r="F267" s="4">
        <v>2</v>
      </c>
      <c r="G267" s="9">
        <v>3194.42</v>
      </c>
      <c r="H267" s="9">
        <v>122.86</v>
      </c>
      <c r="I267" s="9">
        <v>40.95</v>
      </c>
      <c r="J267" s="9">
        <v>163.82</v>
      </c>
      <c r="K267" s="9">
        <v>122.86</v>
      </c>
      <c r="L267" s="9">
        <v>450.5</v>
      </c>
      <c r="M267" s="9">
        <v>368.59</v>
      </c>
      <c r="N267" s="15">
        <f t="shared" si="8"/>
        <v>4464</v>
      </c>
    </row>
    <row r="268" customFormat="1" ht="25" customHeight="1" spans="1:14">
      <c r="A268" s="11" t="s">
        <v>50</v>
      </c>
      <c r="B268" s="12"/>
      <c r="C268" s="11"/>
      <c r="D268" s="13"/>
      <c r="E268" s="12"/>
      <c r="F268" s="11"/>
      <c r="G268" s="14"/>
      <c r="H268" s="14"/>
      <c r="I268" s="14"/>
      <c r="J268" s="14"/>
      <c r="K268" s="14"/>
      <c r="L268" s="14"/>
      <c r="M268" s="14"/>
      <c r="N268" s="14">
        <f>SUM(N266:N267)</f>
        <v>12455.99</v>
      </c>
    </row>
    <row r="269" customFormat="1" ht="116" customHeight="1" spans="1:14">
      <c r="A269" s="4">
        <v>176</v>
      </c>
      <c r="B269" s="4" t="s">
        <v>1372</v>
      </c>
      <c r="C269" s="4" t="s">
        <v>1055</v>
      </c>
      <c r="D269" s="8" t="s">
        <v>1184</v>
      </c>
      <c r="E269" s="4" t="s">
        <v>55</v>
      </c>
      <c r="F269" s="4">
        <v>2</v>
      </c>
      <c r="G269" s="9">
        <v>6011.01</v>
      </c>
      <c r="H269" s="9">
        <v>231.19</v>
      </c>
      <c r="I269" s="9">
        <v>77.06</v>
      </c>
      <c r="J269" s="9">
        <v>308.26</v>
      </c>
      <c r="K269" s="9">
        <v>231.19</v>
      </c>
      <c r="L269" s="9">
        <v>847.71</v>
      </c>
      <c r="M269" s="9">
        <v>693.58</v>
      </c>
      <c r="N269" s="15">
        <f t="shared" si="8"/>
        <v>8400</v>
      </c>
    </row>
    <row r="270" customFormat="1" ht="71" customHeight="1" spans="1:14">
      <c r="A270" s="4">
        <v>177</v>
      </c>
      <c r="B270" s="4" t="s">
        <v>1373</v>
      </c>
      <c r="C270" s="4" t="s">
        <v>1374</v>
      </c>
      <c r="D270" s="8" t="s">
        <v>1375</v>
      </c>
      <c r="E270" s="4" t="s">
        <v>55</v>
      </c>
      <c r="F270" s="4">
        <v>1</v>
      </c>
      <c r="G270" s="9">
        <v>5014.9</v>
      </c>
      <c r="H270" s="9">
        <v>192.88</v>
      </c>
      <c r="I270" s="9">
        <v>64.29</v>
      </c>
      <c r="J270" s="9">
        <v>257.17</v>
      </c>
      <c r="K270" s="9">
        <v>192.88</v>
      </c>
      <c r="L270" s="9">
        <v>707.23</v>
      </c>
      <c r="M270" s="9">
        <v>578.64</v>
      </c>
      <c r="N270" s="15">
        <f t="shared" si="8"/>
        <v>7007.99</v>
      </c>
    </row>
    <row r="271" customFormat="1" ht="25" customHeight="1" spans="1:14">
      <c r="A271" s="11" t="s">
        <v>50</v>
      </c>
      <c r="B271" s="12"/>
      <c r="C271" s="11"/>
      <c r="D271" s="13"/>
      <c r="E271" s="12"/>
      <c r="F271" s="11"/>
      <c r="G271" s="14"/>
      <c r="H271" s="14"/>
      <c r="I271" s="14"/>
      <c r="J271" s="14"/>
      <c r="K271" s="14"/>
      <c r="L271" s="14"/>
      <c r="M271" s="14"/>
      <c r="N271" s="14">
        <f>SUM(N269:N270)</f>
        <v>15407.99</v>
      </c>
    </row>
    <row r="272" customFormat="1" ht="103" customHeight="1" spans="1:14">
      <c r="A272" s="4">
        <v>178</v>
      </c>
      <c r="B272" s="4" t="s">
        <v>1376</v>
      </c>
      <c r="C272" s="4" t="s">
        <v>1377</v>
      </c>
      <c r="D272" s="8" t="s">
        <v>1378</v>
      </c>
      <c r="E272" s="4" t="s">
        <v>55</v>
      </c>
      <c r="F272" s="4">
        <v>16</v>
      </c>
      <c r="G272" s="9">
        <v>10533.58</v>
      </c>
      <c r="H272" s="9">
        <v>405.14</v>
      </c>
      <c r="I272" s="9">
        <v>135.05</v>
      </c>
      <c r="J272" s="9">
        <v>540.18</v>
      </c>
      <c r="K272" s="9">
        <v>405.14</v>
      </c>
      <c r="L272" s="9">
        <v>1485.5</v>
      </c>
      <c r="M272" s="9">
        <v>1215.41</v>
      </c>
      <c r="N272" s="15">
        <f t="shared" si="8"/>
        <v>14720</v>
      </c>
    </row>
    <row r="273" customFormat="1" ht="71" customHeight="1" spans="1:14">
      <c r="A273" s="4">
        <v>179</v>
      </c>
      <c r="B273" s="4" t="s">
        <v>1379</v>
      </c>
      <c r="C273" s="4" t="s">
        <v>1380</v>
      </c>
      <c r="D273" s="8" t="s">
        <v>1381</v>
      </c>
      <c r="E273" s="4" t="s">
        <v>55</v>
      </c>
      <c r="F273" s="4">
        <v>1</v>
      </c>
      <c r="G273" s="9">
        <v>5014.9</v>
      </c>
      <c r="H273" s="9">
        <v>192.88</v>
      </c>
      <c r="I273" s="9">
        <v>64.29</v>
      </c>
      <c r="J273" s="9">
        <v>257.17</v>
      </c>
      <c r="K273" s="9">
        <v>192.88</v>
      </c>
      <c r="L273" s="9">
        <v>707.23</v>
      </c>
      <c r="M273" s="9">
        <v>578.64</v>
      </c>
      <c r="N273" s="15">
        <f t="shared" si="8"/>
        <v>7007.99</v>
      </c>
    </row>
    <row r="274" customFormat="1" ht="25" customHeight="1" spans="1:14">
      <c r="A274" s="11" t="s">
        <v>50</v>
      </c>
      <c r="B274" s="12"/>
      <c r="C274" s="11"/>
      <c r="D274" s="13"/>
      <c r="E274" s="12"/>
      <c r="F274" s="11"/>
      <c r="G274" s="14"/>
      <c r="H274" s="14"/>
      <c r="I274" s="14"/>
      <c r="J274" s="14"/>
      <c r="K274" s="14"/>
      <c r="L274" s="14"/>
      <c r="M274" s="14"/>
      <c r="N274" s="14">
        <f>SUM(N272:N273)</f>
        <v>21727.99</v>
      </c>
    </row>
    <row r="275" customFormat="1" ht="103" customHeight="1" spans="1:14">
      <c r="A275" s="4">
        <v>180</v>
      </c>
      <c r="B275" s="4" t="s">
        <v>1382</v>
      </c>
      <c r="C275" s="4" t="s">
        <v>1383</v>
      </c>
      <c r="D275" s="8" t="s">
        <v>1384</v>
      </c>
      <c r="E275" s="4" t="s">
        <v>55</v>
      </c>
      <c r="F275" s="4">
        <v>20</v>
      </c>
      <c r="G275" s="9">
        <v>13166.97</v>
      </c>
      <c r="H275" s="9">
        <v>506.42</v>
      </c>
      <c r="I275" s="9">
        <v>168.81</v>
      </c>
      <c r="J275" s="9">
        <v>675.23</v>
      </c>
      <c r="K275" s="9">
        <v>506.42</v>
      </c>
      <c r="L275" s="9">
        <v>1856.88</v>
      </c>
      <c r="M275" s="9">
        <v>1519.27</v>
      </c>
      <c r="N275" s="15">
        <f t="shared" si="8"/>
        <v>18400</v>
      </c>
    </row>
    <row r="276" customFormat="1" ht="83" customHeight="1" spans="1:14">
      <c r="A276" s="4">
        <v>181</v>
      </c>
      <c r="B276" s="4" t="s">
        <v>1385</v>
      </c>
      <c r="C276" s="4" t="s">
        <v>1067</v>
      </c>
      <c r="D276" s="8" t="s">
        <v>1068</v>
      </c>
      <c r="E276" s="4" t="s">
        <v>55</v>
      </c>
      <c r="F276" s="4">
        <v>4</v>
      </c>
      <c r="G276" s="9">
        <v>2289.91</v>
      </c>
      <c r="H276" s="9">
        <v>88.07</v>
      </c>
      <c r="I276" s="9">
        <v>29.36</v>
      </c>
      <c r="J276" s="9">
        <v>117.43</v>
      </c>
      <c r="K276" s="9">
        <v>88.07</v>
      </c>
      <c r="L276" s="9">
        <v>322.94</v>
      </c>
      <c r="M276" s="9">
        <v>264.22</v>
      </c>
      <c r="N276" s="15">
        <f t="shared" si="8"/>
        <v>3200</v>
      </c>
    </row>
    <row r="277" customFormat="1" ht="25" customHeight="1" spans="1:14">
      <c r="A277" s="11" t="s">
        <v>50</v>
      </c>
      <c r="B277" s="12"/>
      <c r="C277" s="11"/>
      <c r="D277" s="13"/>
      <c r="E277" s="12"/>
      <c r="F277" s="11"/>
      <c r="G277" s="14"/>
      <c r="H277" s="14"/>
      <c r="I277" s="14"/>
      <c r="J277" s="14"/>
      <c r="K277" s="14"/>
      <c r="L277" s="14"/>
      <c r="M277" s="14"/>
      <c r="N277" s="14">
        <f>SUM(N275:N276)</f>
        <v>21600</v>
      </c>
    </row>
    <row r="278" customFormat="1" ht="83" customHeight="1" spans="1:14">
      <c r="A278" s="4">
        <v>182</v>
      </c>
      <c r="B278" s="4" t="s">
        <v>1386</v>
      </c>
      <c r="C278" s="4" t="s">
        <v>1070</v>
      </c>
      <c r="D278" s="8" t="s">
        <v>1071</v>
      </c>
      <c r="E278" s="4" t="s">
        <v>55</v>
      </c>
      <c r="F278" s="4">
        <v>2</v>
      </c>
      <c r="G278" s="9">
        <v>1007.56</v>
      </c>
      <c r="H278" s="9">
        <v>38.75</v>
      </c>
      <c r="I278" s="9">
        <v>12.92</v>
      </c>
      <c r="J278" s="9">
        <v>51.67</v>
      </c>
      <c r="K278" s="9">
        <v>38.75</v>
      </c>
      <c r="L278" s="9">
        <v>142.09</v>
      </c>
      <c r="M278" s="9">
        <v>116.26</v>
      </c>
      <c r="N278" s="15">
        <f t="shared" si="8"/>
        <v>1408</v>
      </c>
    </row>
    <row r="279" customFormat="1" ht="66" customHeight="1" spans="1:14">
      <c r="A279" s="4">
        <v>183</v>
      </c>
      <c r="B279" s="4" t="s">
        <v>1387</v>
      </c>
      <c r="C279" s="4" t="s">
        <v>1073</v>
      </c>
      <c r="D279" s="8" t="s">
        <v>1074</v>
      </c>
      <c r="E279" s="4" t="s">
        <v>55</v>
      </c>
      <c r="F279" s="4">
        <v>6</v>
      </c>
      <c r="G279" s="9">
        <v>5152.29</v>
      </c>
      <c r="H279" s="9">
        <v>198.17</v>
      </c>
      <c r="I279" s="9">
        <v>66.06</v>
      </c>
      <c r="J279" s="9">
        <v>264.22</v>
      </c>
      <c r="K279" s="9">
        <v>198.17</v>
      </c>
      <c r="L279" s="9">
        <v>726.61</v>
      </c>
      <c r="M279" s="9">
        <v>594.5</v>
      </c>
      <c r="N279" s="15">
        <f t="shared" si="8"/>
        <v>7200.02</v>
      </c>
    </row>
    <row r="280" customFormat="1" ht="60" customHeight="1" spans="1:14">
      <c r="A280" s="4">
        <v>184</v>
      </c>
      <c r="B280" s="4" t="s">
        <v>1388</v>
      </c>
      <c r="C280" s="4" t="s">
        <v>1076</v>
      </c>
      <c r="D280" s="8" t="s">
        <v>1077</v>
      </c>
      <c r="E280" s="4" t="s">
        <v>332</v>
      </c>
      <c r="F280" s="4">
        <v>2</v>
      </c>
      <c r="G280" s="9">
        <v>2392.95</v>
      </c>
      <c r="H280" s="9">
        <v>92.04</v>
      </c>
      <c r="I280" s="9">
        <v>30.68</v>
      </c>
      <c r="J280" s="9">
        <v>122.72</v>
      </c>
      <c r="K280" s="9">
        <v>92.04</v>
      </c>
      <c r="L280" s="9">
        <v>337.47</v>
      </c>
      <c r="M280" s="9">
        <v>276.11</v>
      </c>
      <c r="N280" s="15">
        <f t="shared" si="8"/>
        <v>3344.01</v>
      </c>
    </row>
    <row r="281" customFormat="1" ht="25" customHeight="1" spans="1:14">
      <c r="A281" s="11" t="s">
        <v>50</v>
      </c>
      <c r="B281" s="12"/>
      <c r="C281" s="11"/>
      <c r="D281" s="13"/>
      <c r="E281" s="12"/>
      <c r="F281" s="11"/>
      <c r="G281" s="14"/>
      <c r="H281" s="14"/>
      <c r="I281" s="14"/>
      <c r="J281" s="14"/>
      <c r="K281" s="14"/>
      <c r="L281" s="14"/>
      <c r="M281" s="14"/>
      <c r="N281" s="14">
        <f>SUM(N278:N280)</f>
        <v>11952.03</v>
      </c>
    </row>
    <row r="282" customFormat="1" ht="60" customHeight="1" spans="1:14">
      <c r="A282" s="4">
        <v>185</v>
      </c>
      <c r="B282" s="4" t="s">
        <v>1389</v>
      </c>
      <c r="C282" s="4" t="s">
        <v>1079</v>
      </c>
      <c r="D282" s="8" t="s">
        <v>1080</v>
      </c>
      <c r="E282" s="4" t="s">
        <v>93</v>
      </c>
      <c r="F282" s="4">
        <v>2</v>
      </c>
      <c r="G282" s="9">
        <v>1211.01</v>
      </c>
      <c r="H282" s="9">
        <v>100.92</v>
      </c>
      <c r="I282" s="9">
        <v>40.37</v>
      </c>
      <c r="J282" s="9">
        <v>302.75</v>
      </c>
      <c r="K282" s="9">
        <v>141.28</v>
      </c>
      <c r="L282" s="9">
        <v>222.02</v>
      </c>
      <c r="M282" s="9">
        <v>181.65</v>
      </c>
      <c r="N282" s="15">
        <f t="shared" si="8"/>
        <v>2200</v>
      </c>
    </row>
    <row r="283" customFormat="1" ht="91" customHeight="1" spans="1:14">
      <c r="A283" s="4">
        <v>186</v>
      </c>
      <c r="B283" s="4" t="s">
        <v>1390</v>
      </c>
      <c r="C283" s="4" t="s">
        <v>1188</v>
      </c>
      <c r="D283" s="8" t="s">
        <v>1189</v>
      </c>
      <c r="E283" s="4" t="s">
        <v>55</v>
      </c>
      <c r="F283" s="4">
        <v>36</v>
      </c>
      <c r="G283" s="9">
        <v>30913.76</v>
      </c>
      <c r="H283" s="9">
        <v>1188.99</v>
      </c>
      <c r="I283" s="9">
        <v>396.33</v>
      </c>
      <c r="J283" s="9">
        <v>1585.32</v>
      </c>
      <c r="K283" s="9">
        <v>1188.99</v>
      </c>
      <c r="L283" s="9">
        <v>4359.63</v>
      </c>
      <c r="M283" s="9">
        <v>3566.97</v>
      </c>
      <c r="N283" s="15">
        <f t="shared" si="8"/>
        <v>43199.99</v>
      </c>
    </row>
    <row r="284" customFormat="1" ht="74" customHeight="1" spans="1:14">
      <c r="A284" s="4">
        <v>187</v>
      </c>
      <c r="B284" s="4" t="s">
        <v>1391</v>
      </c>
      <c r="C284" s="4" t="s">
        <v>1191</v>
      </c>
      <c r="D284" s="8" t="s">
        <v>1192</v>
      </c>
      <c r="E284" s="4" t="s">
        <v>55</v>
      </c>
      <c r="F284" s="4">
        <v>1</v>
      </c>
      <c r="G284" s="9">
        <v>2963.3</v>
      </c>
      <c r="H284" s="9">
        <v>779.82</v>
      </c>
      <c r="I284" s="9">
        <v>389.91</v>
      </c>
      <c r="J284" s="9">
        <v>2183.49</v>
      </c>
      <c r="K284" s="9">
        <v>623.85</v>
      </c>
      <c r="L284" s="9">
        <v>857.8</v>
      </c>
      <c r="M284" s="9">
        <v>701.83</v>
      </c>
      <c r="N284" s="15">
        <f t="shared" si="8"/>
        <v>8500</v>
      </c>
    </row>
    <row r="285" customFormat="1" ht="25" customHeight="1" spans="1:14">
      <c r="A285" s="11" t="s">
        <v>50</v>
      </c>
      <c r="B285" s="12"/>
      <c r="C285" s="11"/>
      <c r="D285" s="13"/>
      <c r="E285" s="12"/>
      <c r="F285" s="11"/>
      <c r="G285" s="14"/>
      <c r="H285" s="14"/>
      <c r="I285" s="14"/>
      <c r="J285" s="14"/>
      <c r="K285" s="14"/>
      <c r="L285" s="14"/>
      <c r="M285" s="14"/>
      <c r="N285" s="14">
        <f>SUM(N282:N284)</f>
        <v>53899.99</v>
      </c>
    </row>
    <row r="286" customFormat="1" ht="76" customHeight="1" spans="1:14">
      <c r="A286" s="4">
        <v>188</v>
      </c>
      <c r="B286" s="4" t="s">
        <v>1392</v>
      </c>
      <c r="C286" s="4" t="s">
        <v>1194</v>
      </c>
      <c r="D286" s="8" t="s">
        <v>1195</v>
      </c>
      <c r="E286" s="4" t="s">
        <v>55</v>
      </c>
      <c r="F286" s="4">
        <v>2</v>
      </c>
      <c r="G286" s="9">
        <v>4532.11</v>
      </c>
      <c r="H286" s="9">
        <v>1192.66</v>
      </c>
      <c r="I286" s="9">
        <v>596.33</v>
      </c>
      <c r="J286" s="9">
        <v>3339.45</v>
      </c>
      <c r="K286" s="9">
        <v>954.13</v>
      </c>
      <c r="L286" s="9">
        <v>1311.93</v>
      </c>
      <c r="M286" s="9">
        <v>1073.39</v>
      </c>
      <c r="N286" s="15">
        <f t="shared" si="8"/>
        <v>13000</v>
      </c>
    </row>
    <row r="287" customFormat="1" ht="109" customHeight="1" spans="1:14">
      <c r="A287" s="4">
        <v>189</v>
      </c>
      <c r="B287" s="4" t="s">
        <v>1393</v>
      </c>
      <c r="C287" s="4" t="s">
        <v>1197</v>
      </c>
      <c r="D287" s="8" t="s">
        <v>1198</v>
      </c>
      <c r="E287" s="4" t="s">
        <v>55</v>
      </c>
      <c r="F287" s="4">
        <v>1</v>
      </c>
      <c r="G287" s="9">
        <v>6583.49</v>
      </c>
      <c r="H287" s="9">
        <v>253.21</v>
      </c>
      <c r="I287" s="9">
        <v>84.4</v>
      </c>
      <c r="J287" s="9">
        <v>337.61</v>
      </c>
      <c r="K287" s="9">
        <v>253.21</v>
      </c>
      <c r="L287" s="9">
        <v>928.44</v>
      </c>
      <c r="M287" s="9">
        <v>759.63</v>
      </c>
      <c r="N287" s="15">
        <f t="shared" si="8"/>
        <v>9199.99</v>
      </c>
    </row>
    <row r="288" customFormat="1" ht="25" customHeight="1" spans="1:14">
      <c r="A288" s="11" t="s">
        <v>50</v>
      </c>
      <c r="B288" s="12"/>
      <c r="C288" s="11"/>
      <c r="D288" s="13"/>
      <c r="E288" s="12"/>
      <c r="F288" s="11"/>
      <c r="G288" s="14"/>
      <c r="H288" s="14"/>
      <c r="I288" s="14"/>
      <c r="J288" s="14"/>
      <c r="K288" s="14"/>
      <c r="L288" s="14"/>
      <c r="M288" s="14"/>
      <c r="N288" s="14">
        <f>SUM(N286:N287)</f>
        <v>22199.99</v>
      </c>
    </row>
    <row r="289" customFormat="1" ht="64" customHeight="1" spans="1:14">
      <c r="A289" s="4">
        <v>190</v>
      </c>
      <c r="B289" s="4" t="s">
        <v>1394</v>
      </c>
      <c r="C289" s="4" t="s">
        <v>1109</v>
      </c>
      <c r="D289" s="8" t="s">
        <v>1110</v>
      </c>
      <c r="E289" s="4" t="s">
        <v>55</v>
      </c>
      <c r="F289" s="4">
        <v>2</v>
      </c>
      <c r="G289" s="9">
        <v>1717.43</v>
      </c>
      <c r="H289" s="9">
        <v>66.06</v>
      </c>
      <c r="I289" s="9">
        <v>22.02</v>
      </c>
      <c r="J289" s="9">
        <v>88.07</v>
      </c>
      <c r="K289" s="9">
        <v>66.06</v>
      </c>
      <c r="L289" s="9">
        <v>242.2</v>
      </c>
      <c r="M289" s="9">
        <v>198.17</v>
      </c>
      <c r="N289" s="15">
        <f t="shared" si="8"/>
        <v>2400.01</v>
      </c>
    </row>
    <row r="290" customFormat="1" ht="25" customHeight="1" spans="1:14">
      <c r="A290" s="11" t="s">
        <v>50</v>
      </c>
      <c r="B290" s="12"/>
      <c r="C290" s="11"/>
      <c r="D290" s="13"/>
      <c r="E290" s="12"/>
      <c r="F290" s="11"/>
      <c r="G290" s="14"/>
      <c r="H290" s="14"/>
      <c r="I290" s="14"/>
      <c r="J290" s="14"/>
      <c r="K290" s="14"/>
      <c r="L290" s="14"/>
      <c r="M290" s="14"/>
      <c r="N290" s="14">
        <f t="shared" ref="N290:N294" si="9">N289</f>
        <v>2400.01</v>
      </c>
    </row>
    <row r="291" customFormat="1" ht="174" customHeight="1" spans="1:14">
      <c r="A291" s="4">
        <v>191</v>
      </c>
      <c r="B291" s="4" t="s">
        <v>1395</v>
      </c>
      <c r="C291" s="4" t="s">
        <v>1112</v>
      </c>
      <c r="D291" s="8" t="s">
        <v>1113</v>
      </c>
      <c r="E291" s="4" t="s">
        <v>55</v>
      </c>
      <c r="F291" s="4">
        <v>15</v>
      </c>
      <c r="G291" s="23">
        <v>31772.475</v>
      </c>
      <c r="H291" s="23">
        <v>1222.02</v>
      </c>
      <c r="I291" s="23">
        <v>407.34</v>
      </c>
      <c r="J291" s="23">
        <v>1629.36</v>
      </c>
      <c r="K291" s="23">
        <v>1222.02</v>
      </c>
      <c r="L291" s="23">
        <v>4480.7325</v>
      </c>
      <c r="M291" s="23">
        <v>3666.0525</v>
      </c>
      <c r="N291" s="15">
        <f>SUM(G291:M291)</f>
        <v>44400</v>
      </c>
    </row>
    <row r="292" customFormat="1" ht="25" customHeight="1" spans="1:14">
      <c r="A292" s="11" t="s">
        <v>50</v>
      </c>
      <c r="B292" s="12"/>
      <c r="C292" s="11"/>
      <c r="D292" s="13"/>
      <c r="E292" s="12"/>
      <c r="F292" s="11"/>
      <c r="G292" s="12"/>
      <c r="H292" s="12"/>
      <c r="I292" s="12"/>
      <c r="J292" s="12"/>
      <c r="K292" s="12"/>
      <c r="L292" s="12"/>
      <c r="M292" s="12"/>
      <c r="N292" s="14">
        <f t="shared" si="9"/>
        <v>44400</v>
      </c>
    </row>
    <row r="293" customFormat="1" ht="174" customHeight="1" spans="1:14">
      <c r="A293" s="4">
        <v>192</v>
      </c>
      <c r="B293" s="4" t="s">
        <v>1396</v>
      </c>
      <c r="C293" s="4" t="s">
        <v>1115</v>
      </c>
      <c r="D293" s="8" t="s">
        <v>1116</v>
      </c>
      <c r="E293" s="4" t="s">
        <v>55</v>
      </c>
      <c r="F293" s="21">
        <v>11</v>
      </c>
      <c r="G293" s="23">
        <v>23299.815</v>
      </c>
      <c r="H293" s="23">
        <v>896.148</v>
      </c>
      <c r="I293" s="23">
        <v>298.716</v>
      </c>
      <c r="J293" s="23">
        <v>1194.864</v>
      </c>
      <c r="K293" s="23">
        <v>896.148</v>
      </c>
      <c r="L293" s="23">
        <v>3285.8705</v>
      </c>
      <c r="M293" s="23">
        <v>2688.4385</v>
      </c>
      <c r="N293" s="15">
        <f t="shared" si="8"/>
        <v>32560</v>
      </c>
    </row>
    <row r="294" customFormat="1" ht="25" customHeight="1" spans="1:14">
      <c r="A294" s="11" t="s">
        <v>50</v>
      </c>
      <c r="B294" s="12"/>
      <c r="C294" s="11"/>
      <c r="D294" s="13"/>
      <c r="E294" s="12"/>
      <c r="F294" s="11"/>
      <c r="G294" s="14"/>
      <c r="H294" s="14"/>
      <c r="I294" s="14"/>
      <c r="J294" s="14"/>
      <c r="K294" s="14"/>
      <c r="L294" s="14"/>
      <c r="M294" s="14"/>
      <c r="N294" s="14">
        <f t="shared" si="9"/>
        <v>32560</v>
      </c>
    </row>
    <row r="295" customFormat="1" ht="104" customHeight="1" spans="1:14">
      <c r="A295" s="4">
        <v>193</v>
      </c>
      <c r="B295" s="4" t="s">
        <v>1397</v>
      </c>
      <c r="C295" s="4" t="s">
        <v>1121</v>
      </c>
      <c r="D295" s="8" t="s">
        <v>1122</v>
      </c>
      <c r="E295" s="4" t="s">
        <v>55</v>
      </c>
      <c r="F295" s="4">
        <v>1</v>
      </c>
      <c r="G295" s="9">
        <v>2747.89</v>
      </c>
      <c r="H295" s="9">
        <v>105.69</v>
      </c>
      <c r="I295" s="9">
        <v>35.23</v>
      </c>
      <c r="J295" s="9">
        <v>140.92</v>
      </c>
      <c r="K295" s="9">
        <v>105.69</v>
      </c>
      <c r="L295" s="9">
        <v>387.52</v>
      </c>
      <c r="M295" s="9">
        <v>317.06</v>
      </c>
      <c r="N295" s="15">
        <f t="shared" si="8"/>
        <v>3840</v>
      </c>
    </row>
    <row r="296" customFormat="1" ht="25" customHeight="1" spans="1:14">
      <c r="A296" s="11" t="s">
        <v>50</v>
      </c>
      <c r="B296" s="12"/>
      <c r="C296" s="11"/>
      <c r="D296" s="13"/>
      <c r="E296" s="12"/>
      <c r="F296" s="11"/>
      <c r="G296" s="14"/>
      <c r="H296" s="14"/>
      <c r="I296" s="14"/>
      <c r="J296" s="14"/>
      <c r="K296" s="14"/>
      <c r="L296" s="14"/>
      <c r="M296" s="14"/>
      <c r="N296" s="14">
        <f>N295</f>
        <v>3840</v>
      </c>
    </row>
    <row r="297" customFormat="1" ht="178" customHeight="1" spans="1:14">
      <c r="A297" s="4">
        <v>194</v>
      </c>
      <c r="B297" s="4" t="s">
        <v>1398</v>
      </c>
      <c r="C297" s="4" t="s">
        <v>1127</v>
      </c>
      <c r="D297" s="8" t="s">
        <v>1128</v>
      </c>
      <c r="E297" s="4" t="s">
        <v>55</v>
      </c>
      <c r="F297" s="4">
        <v>2</v>
      </c>
      <c r="G297" s="9">
        <v>15113.39</v>
      </c>
      <c r="H297" s="9">
        <v>581.28</v>
      </c>
      <c r="I297" s="9">
        <v>193.76</v>
      </c>
      <c r="J297" s="9">
        <v>775.05</v>
      </c>
      <c r="K297" s="9">
        <v>581.28</v>
      </c>
      <c r="L297" s="9">
        <v>2131.38</v>
      </c>
      <c r="M297" s="9">
        <v>1743.85</v>
      </c>
      <c r="N297" s="15">
        <f t="shared" si="8"/>
        <v>21119.99</v>
      </c>
    </row>
    <row r="298" customFormat="1" ht="25" customHeight="1" spans="1:14">
      <c r="A298" s="11" t="s">
        <v>50</v>
      </c>
      <c r="B298" s="12"/>
      <c r="C298" s="11"/>
      <c r="D298" s="13"/>
      <c r="E298" s="12"/>
      <c r="F298" s="11"/>
      <c r="G298" s="14"/>
      <c r="H298" s="14"/>
      <c r="I298" s="14"/>
      <c r="J298" s="14"/>
      <c r="K298" s="14"/>
      <c r="L298" s="14"/>
      <c r="M298" s="14"/>
      <c r="N298" s="14">
        <f>N297</f>
        <v>21119.99</v>
      </c>
    </row>
    <row r="299" customFormat="1" ht="124" customHeight="1" spans="1:14">
      <c r="A299" s="4">
        <v>195</v>
      </c>
      <c r="B299" s="4" t="s">
        <v>1399</v>
      </c>
      <c r="C299" s="4" t="s">
        <v>1205</v>
      </c>
      <c r="D299" s="8" t="s">
        <v>1355</v>
      </c>
      <c r="E299" s="4" t="s">
        <v>55</v>
      </c>
      <c r="F299" s="4">
        <v>3</v>
      </c>
      <c r="G299" s="9">
        <v>9445.87</v>
      </c>
      <c r="H299" s="9">
        <v>363.3</v>
      </c>
      <c r="I299" s="9">
        <v>121.1</v>
      </c>
      <c r="J299" s="9">
        <v>484.4</v>
      </c>
      <c r="K299" s="9">
        <v>363.3</v>
      </c>
      <c r="L299" s="9">
        <v>1332.11</v>
      </c>
      <c r="M299" s="9">
        <v>1089.91</v>
      </c>
      <c r="N299" s="15">
        <f t="shared" si="8"/>
        <v>13199.99</v>
      </c>
    </row>
    <row r="300" customFormat="1" ht="45" customHeight="1" spans="1:14">
      <c r="A300" s="4">
        <v>196</v>
      </c>
      <c r="B300" s="4" t="s">
        <v>1400</v>
      </c>
      <c r="C300" s="4" t="s">
        <v>1136</v>
      </c>
      <c r="D300" s="8" t="s">
        <v>1137</v>
      </c>
      <c r="E300" s="4" t="s">
        <v>55</v>
      </c>
      <c r="F300" s="4">
        <v>3</v>
      </c>
      <c r="G300" s="9">
        <v>94.13</v>
      </c>
      <c r="H300" s="9">
        <v>24.77</v>
      </c>
      <c r="I300" s="9">
        <v>12.39</v>
      </c>
      <c r="J300" s="9">
        <v>69.36</v>
      </c>
      <c r="K300" s="9">
        <v>19.82</v>
      </c>
      <c r="L300" s="9">
        <v>27.25</v>
      </c>
      <c r="M300" s="9">
        <v>22.29</v>
      </c>
      <c r="N300" s="15">
        <f t="shared" si="8"/>
        <v>270.01</v>
      </c>
    </row>
    <row r="301" customFormat="1" ht="25" customHeight="1" spans="1:14">
      <c r="A301" s="11" t="s">
        <v>50</v>
      </c>
      <c r="B301" s="12"/>
      <c r="C301" s="11"/>
      <c r="D301" s="13"/>
      <c r="E301" s="12"/>
      <c r="F301" s="11"/>
      <c r="G301" s="14"/>
      <c r="H301" s="14"/>
      <c r="I301" s="14"/>
      <c r="J301" s="14"/>
      <c r="K301" s="14"/>
      <c r="L301" s="14"/>
      <c r="M301" s="14"/>
      <c r="N301" s="14">
        <f>SUM(N299:N300)</f>
        <v>13470</v>
      </c>
    </row>
    <row r="302" customFormat="1" ht="91" customHeight="1" spans="1:14">
      <c r="A302" s="4">
        <v>197</v>
      </c>
      <c r="B302" s="4" t="s">
        <v>1401</v>
      </c>
      <c r="C302" s="4" t="s">
        <v>1145</v>
      </c>
      <c r="D302" s="8" t="s">
        <v>1146</v>
      </c>
      <c r="E302" s="4" t="s">
        <v>55</v>
      </c>
      <c r="F302" s="4">
        <v>1</v>
      </c>
      <c r="G302" s="9">
        <v>5638.9</v>
      </c>
      <c r="H302" s="9">
        <v>216.88</v>
      </c>
      <c r="I302" s="9">
        <v>72.29</v>
      </c>
      <c r="J302" s="9">
        <v>289.17</v>
      </c>
      <c r="K302" s="9">
        <v>216.88</v>
      </c>
      <c r="L302" s="9">
        <v>795.23</v>
      </c>
      <c r="M302" s="9">
        <v>650.64</v>
      </c>
      <c r="N302" s="15">
        <f t="shared" si="8"/>
        <v>7879.99</v>
      </c>
    </row>
    <row r="303" customFormat="1" ht="45" customHeight="1" spans="1:14">
      <c r="A303" s="4">
        <v>198</v>
      </c>
      <c r="B303" s="4" t="s">
        <v>1402</v>
      </c>
      <c r="C303" s="4" t="s">
        <v>1148</v>
      </c>
      <c r="D303" s="8" t="s">
        <v>1149</v>
      </c>
      <c r="E303" s="4" t="s">
        <v>248</v>
      </c>
      <c r="F303" s="4">
        <v>1</v>
      </c>
      <c r="G303" s="9">
        <v>306.79</v>
      </c>
      <c r="H303" s="9">
        <v>80.73</v>
      </c>
      <c r="I303" s="9">
        <v>40.37</v>
      </c>
      <c r="J303" s="9">
        <v>226.06</v>
      </c>
      <c r="K303" s="9">
        <v>64.59</v>
      </c>
      <c r="L303" s="9">
        <v>88.81</v>
      </c>
      <c r="M303" s="9">
        <v>72.66</v>
      </c>
      <c r="N303" s="15">
        <f t="shared" si="8"/>
        <v>880.01</v>
      </c>
    </row>
    <row r="304" customFormat="1" ht="69" customHeight="1" spans="1:14">
      <c r="A304" s="4">
        <v>199</v>
      </c>
      <c r="B304" s="4" t="s">
        <v>1403</v>
      </c>
      <c r="C304" s="4" t="s">
        <v>1151</v>
      </c>
      <c r="D304" s="8" t="s">
        <v>1152</v>
      </c>
      <c r="E304" s="4" t="s">
        <v>55</v>
      </c>
      <c r="F304" s="4">
        <v>2</v>
      </c>
      <c r="G304" s="9">
        <v>5438.53</v>
      </c>
      <c r="H304" s="9">
        <v>209.17</v>
      </c>
      <c r="I304" s="9">
        <v>69.72</v>
      </c>
      <c r="J304" s="9">
        <v>278.9</v>
      </c>
      <c r="K304" s="9">
        <v>209.17</v>
      </c>
      <c r="L304" s="9">
        <v>766.97</v>
      </c>
      <c r="M304" s="9">
        <v>627.52</v>
      </c>
      <c r="N304" s="15">
        <f t="shared" si="8"/>
        <v>7599.98</v>
      </c>
    </row>
    <row r="305" customFormat="1" ht="25" customHeight="1" spans="1:14">
      <c r="A305" s="11" t="s">
        <v>50</v>
      </c>
      <c r="B305" s="12"/>
      <c r="C305" s="11"/>
      <c r="D305" s="13"/>
      <c r="E305" s="12"/>
      <c r="F305" s="11"/>
      <c r="G305" s="14"/>
      <c r="H305" s="14"/>
      <c r="I305" s="14"/>
      <c r="J305" s="14"/>
      <c r="K305" s="14"/>
      <c r="L305" s="14"/>
      <c r="M305" s="14"/>
      <c r="N305" s="14">
        <f>SUM(N302:N304)</f>
        <v>16359.98</v>
      </c>
    </row>
    <row r="306" customFormat="1" ht="45" customHeight="1" spans="1:14">
      <c r="A306" s="4">
        <v>200</v>
      </c>
      <c r="B306" s="4" t="s">
        <v>1404</v>
      </c>
      <c r="C306" s="4" t="s">
        <v>1154</v>
      </c>
      <c r="D306" s="8" t="s">
        <v>1155</v>
      </c>
      <c r="E306" s="4" t="s">
        <v>55</v>
      </c>
      <c r="F306" s="4">
        <v>1</v>
      </c>
      <c r="G306" s="9">
        <v>1981.65</v>
      </c>
      <c r="H306" s="9">
        <v>165.14</v>
      </c>
      <c r="I306" s="9">
        <v>66.06</v>
      </c>
      <c r="J306" s="9">
        <v>495.41</v>
      </c>
      <c r="K306" s="9">
        <v>231.19</v>
      </c>
      <c r="L306" s="9">
        <v>363.3</v>
      </c>
      <c r="M306" s="9">
        <v>297.25</v>
      </c>
      <c r="N306" s="15">
        <f t="shared" si="8"/>
        <v>3600</v>
      </c>
    </row>
    <row r="307" customFormat="1" ht="74" customHeight="1" spans="1:14">
      <c r="A307" s="4">
        <v>201</v>
      </c>
      <c r="B307" s="4" t="s">
        <v>1405</v>
      </c>
      <c r="C307" s="4" t="s">
        <v>1157</v>
      </c>
      <c r="D307" s="8" t="s">
        <v>1158</v>
      </c>
      <c r="E307" s="4" t="s">
        <v>55</v>
      </c>
      <c r="F307" s="4">
        <v>1</v>
      </c>
      <c r="G307" s="9">
        <v>378.72</v>
      </c>
      <c r="H307" s="9">
        <v>31.56</v>
      </c>
      <c r="I307" s="9">
        <v>12.62</v>
      </c>
      <c r="J307" s="9">
        <v>94.68</v>
      </c>
      <c r="K307" s="9">
        <v>44.18</v>
      </c>
      <c r="L307" s="9">
        <v>69.43</v>
      </c>
      <c r="M307" s="9">
        <v>56.81</v>
      </c>
      <c r="N307" s="15">
        <f t="shared" si="8"/>
        <v>688</v>
      </c>
    </row>
    <row r="308" customFormat="1" ht="45" customHeight="1" spans="1:14">
      <c r="A308" s="4">
        <v>202</v>
      </c>
      <c r="B308" s="4" t="s">
        <v>1406</v>
      </c>
      <c r="C308" s="4" t="s">
        <v>1163</v>
      </c>
      <c r="D308" s="8" t="s">
        <v>1213</v>
      </c>
      <c r="E308" s="4" t="s">
        <v>55</v>
      </c>
      <c r="F308" s="4">
        <v>1</v>
      </c>
      <c r="G308" s="9">
        <v>1259.45</v>
      </c>
      <c r="H308" s="9">
        <v>48.44</v>
      </c>
      <c r="I308" s="9">
        <v>16.15</v>
      </c>
      <c r="J308" s="9">
        <v>64.59</v>
      </c>
      <c r="K308" s="9">
        <v>48.44</v>
      </c>
      <c r="L308" s="9">
        <v>177.61</v>
      </c>
      <c r="M308" s="9">
        <v>145.32</v>
      </c>
      <c r="N308" s="15">
        <f t="shared" si="8"/>
        <v>1760</v>
      </c>
    </row>
    <row r="309" customFormat="1" ht="25" customHeight="1" spans="1:14">
      <c r="A309" s="11" t="s">
        <v>50</v>
      </c>
      <c r="B309" s="12"/>
      <c r="C309" s="11"/>
      <c r="D309" s="13"/>
      <c r="E309" s="12"/>
      <c r="F309" s="11"/>
      <c r="G309" s="14"/>
      <c r="H309" s="14"/>
      <c r="I309" s="14"/>
      <c r="J309" s="14"/>
      <c r="K309" s="14"/>
      <c r="L309" s="14"/>
      <c r="M309" s="14"/>
      <c r="N309" s="14">
        <f>SUM(N306:N308)</f>
        <v>6048</v>
      </c>
    </row>
    <row r="310" customFormat="1" ht="64" customHeight="1" spans="1:14">
      <c r="A310" s="4">
        <v>203</v>
      </c>
      <c r="B310" s="4" t="s">
        <v>1407</v>
      </c>
      <c r="C310" s="4" t="s">
        <v>1166</v>
      </c>
      <c r="D310" s="8" t="s">
        <v>1167</v>
      </c>
      <c r="E310" s="4" t="s">
        <v>55</v>
      </c>
      <c r="F310" s="4">
        <v>1</v>
      </c>
      <c r="G310" s="9">
        <v>1054.68</v>
      </c>
      <c r="H310" s="9">
        <v>87.89</v>
      </c>
      <c r="I310" s="9">
        <v>35.16</v>
      </c>
      <c r="J310" s="9">
        <v>263.67</v>
      </c>
      <c r="K310" s="9">
        <v>123.05</v>
      </c>
      <c r="L310" s="9">
        <v>193.36</v>
      </c>
      <c r="M310" s="9">
        <v>158.2</v>
      </c>
      <c r="N310" s="15">
        <f t="shared" si="8"/>
        <v>1916.01</v>
      </c>
    </row>
    <row r="311" customFormat="1" ht="60" customHeight="1" spans="1:14">
      <c r="A311" s="4">
        <v>204</v>
      </c>
      <c r="B311" s="4" t="s">
        <v>1408</v>
      </c>
      <c r="C311" s="4" t="s">
        <v>1169</v>
      </c>
      <c r="D311" s="8" t="s">
        <v>1170</v>
      </c>
      <c r="E311" s="4" t="s">
        <v>55</v>
      </c>
      <c r="F311" s="4">
        <v>1</v>
      </c>
      <c r="G311" s="9">
        <v>1030.46</v>
      </c>
      <c r="H311" s="9">
        <v>39.63</v>
      </c>
      <c r="I311" s="9">
        <v>13.21</v>
      </c>
      <c r="J311" s="9">
        <v>52.84</v>
      </c>
      <c r="K311" s="9">
        <v>39.63</v>
      </c>
      <c r="L311" s="9">
        <v>145.32</v>
      </c>
      <c r="M311" s="9">
        <v>118.9</v>
      </c>
      <c r="N311" s="15">
        <f t="shared" si="8"/>
        <v>1439.99</v>
      </c>
    </row>
    <row r="312" customFormat="1" ht="65" customHeight="1" spans="1:14">
      <c r="A312" s="4">
        <v>205</v>
      </c>
      <c r="B312" s="4" t="s">
        <v>1409</v>
      </c>
      <c r="C312" s="4" t="s">
        <v>1172</v>
      </c>
      <c r="D312" s="8" t="s">
        <v>1173</v>
      </c>
      <c r="E312" s="4" t="s">
        <v>55</v>
      </c>
      <c r="F312" s="4">
        <v>1</v>
      </c>
      <c r="G312" s="9">
        <v>465.14</v>
      </c>
      <c r="H312" s="9">
        <v>17.89</v>
      </c>
      <c r="I312" s="9">
        <v>5.96</v>
      </c>
      <c r="J312" s="9">
        <v>23.85</v>
      </c>
      <c r="K312" s="9">
        <v>17.89</v>
      </c>
      <c r="L312" s="9">
        <v>65.6</v>
      </c>
      <c r="M312" s="9">
        <v>53.67</v>
      </c>
      <c r="N312" s="15">
        <f t="shared" si="8"/>
        <v>650</v>
      </c>
    </row>
    <row r="313" customFormat="1" ht="25" customHeight="1" spans="1:14">
      <c r="A313" s="11" t="s">
        <v>50</v>
      </c>
      <c r="B313" s="12"/>
      <c r="C313" s="11"/>
      <c r="D313" s="13"/>
      <c r="E313" s="12"/>
      <c r="F313" s="11"/>
      <c r="G313" s="14"/>
      <c r="H313" s="14"/>
      <c r="I313" s="14"/>
      <c r="J313" s="14"/>
      <c r="K313" s="14"/>
      <c r="L313" s="14"/>
      <c r="M313" s="14"/>
      <c r="N313" s="14">
        <f>SUM(N310:N312)</f>
        <v>4006</v>
      </c>
    </row>
    <row r="314" customFormat="1" ht="45" customHeight="1" spans="1:14">
      <c r="A314" s="4">
        <v>206</v>
      </c>
      <c r="B314" s="4" t="s">
        <v>1410</v>
      </c>
      <c r="C314" s="4" t="s">
        <v>1175</v>
      </c>
      <c r="D314" s="8" t="s">
        <v>1176</v>
      </c>
      <c r="E314" s="4" t="s">
        <v>93</v>
      </c>
      <c r="F314" s="4">
        <v>6</v>
      </c>
      <c r="G314" s="9">
        <v>1202.2</v>
      </c>
      <c r="H314" s="9">
        <v>46.24</v>
      </c>
      <c r="I314" s="9">
        <v>15.41</v>
      </c>
      <c r="J314" s="9">
        <v>61.65</v>
      </c>
      <c r="K314" s="9">
        <v>46.24</v>
      </c>
      <c r="L314" s="9">
        <v>169.54</v>
      </c>
      <c r="M314" s="9">
        <v>138.72</v>
      </c>
      <c r="N314" s="15">
        <f t="shared" si="8"/>
        <v>1680</v>
      </c>
    </row>
    <row r="315" customFormat="1" ht="83" customHeight="1" spans="1:14">
      <c r="A315" s="4">
        <v>207</v>
      </c>
      <c r="B315" s="4" t="s">
        <v>1411</v>
      </c>
      <c r="C315" s="4" t="s">
        <v>1178</v>
      </c>
      <c r="D315" s="8" t="s">
        <v>1328</v>
      </c>
      <c r="E315" s="4" t="s">
        <v>55</v>
      </c>
      <c r="F315" s="4">
        <v>2</v>
      </c>
      <c r="G315" s="9">
        <v>2818.35</v>
      </c>
      <c r="H315" s="9">
        <v>234.86</v>
      </c>
      <c r="I315" s="9">
        <v>93.94</v>
      </c>
      <c r="J315" s="9">
        <v>704.59</v>
      </c>
      <c r="K315" s="9">
        <v>328.81</v>
      </c>
      <c r="L315" s="9">
        <v>516.7</v>
      </c>
      <c r="M315" s="9">
        <v>422.75</v>
      </c>
      <c r="N315" s="15">
        <f t="shared" si="8"/>
        <v>5120</v>
      </c>
    </row>
    <row r="316" customFormat="1" ht="92" customHeight="1" spans="1:14">
      <c r="A316" s="4">
        <v>208</v>
      </c>
      <c r="B316" s="4" t="s">
        <v>1412</v>
      </c>
      <c r="C316" s="4" t="s">
        <v>1043</v>
      </c>
      <c r="D316" s="8" t="s">
        <v>1044</v>
      </c>
      <c r="E316" s="4" t="s">
        <v>55</v>
      </c>
      <c r="F316" s="4">
        <v>6</v>
      </c>
      <c r="G316" s="9">
        <v>1889.17</v>
      </c>
      <c r="H316" s="9">
        <v>157.43</v>
      </c>
      <c r="I316" s="9">
        <v>62.97</v>
      </c>
      <c r="J316" s="9">
        <v>472.29</v>
      </c>
      <c r="K316" s="9">
        <v>220.4</v>
      </c>
      <c r="L316" s="9">
        <v>346.35</v>
      </c>
      <c r="M316" s="9">
        <v>283.38</v>
      </c>
      <c r="N316" s="15">
        <f t="shared" si="8"/>
        <v>3431.99</v>
      </c>
    </row>
    <row r="317" customFormat="1" ht="25" customHeight="1" spans="1:14">
      <c r="A317" s="11" t="s">
        <v>50</v>
      </c>
      <c r="B317" s="12"/>
      <c r="C317" s="11"/>
      <c r="D317" s="13"/>
      <c r="E317" s="12"/>
      <c r="F317" s="11"/>
      <c r="G317" s="14"/>
      <c r="H317" s="14"/>
      <c r="I317" s="14"/>
      <c r="J317" s="14"/>
      <c r="K317" s="14"/>
      <c r="L317" s="14"/>
      <c r="M317" s="14"/>
      <c r="N317" s="14">
        <f>SUM(N314:N316)</f>
        <v>10231.99</v>
      </c>
    </row>
    <row r="318" customFormat="1" ht="102" customHeight="1" spans="1:14">
      <c r="A318" s="4">
        <v>209</v>
      </c>
      <c r="B318" s="4" t="s">
        <v>1413</v>
      </c>
      <c r="C318" s="4" t="s">
        <v>1181</v>
      </c>
      <c r="D318" s="8" t="s">
        <v>1182</v>
      </c>
      <c r="E318" s="4" t="s">
        <v>55</v>
      </c>
      <c r="F318" s="4">
        <v>1</v>
      </c>
      <c r="G318" s="9">
        <v>2859.52</v>
      </c>
      <c r="H318" s="9">
        <v>109.98</v>
      </c>
      <c r="I318" s="9">
        <v>36.66</v>
      </c>
      <c r="J318" s="9">
        <v>146.64</v>
      </c>
      <c r="K318" s="9">
        <v>109.98</v>
      </c>
      <c r="L318" s="9">
        <v>403.27</v>
      </c>
      <c r="M318" s="9">
        <v>329.94</v>
      </c>
      <c r="N318" s="15">
        <f t="shared" si="8"/>
        <v>3995.99</v>
      </c>
    </row>
    <row r="319" customFormat="1" ht="102" customHeight="1" spans="1:14">
      <c r="A319" s="4">
        <v>210</v>
      </c>
      <c r="B319" s="4" t="s">
        <v>1414</v>
      </c>
      <c r="C319" s="4" t="s">
        <v>1052</v>
      </c>
      <c r="D319" s="8" t="s">
        <v>1332</v>
      </c>
      <c r="E319" s="4" t="s">
        <v>55</v>
      </c>
      <c r="F319" s="4">
        <v>2</v>
      </c>
      <c r="G319" s="9">
        <v>3194.42</v>
      </c>
      <c r="H319" s="9">
        <v>122.86</v>
      </c>
      <c r="I319" s="9">
        <v>40.95</v>
      </c>
      <c r="J319" s="9">
        <v>163.82</v>
      </c>
      <c r="K319" s="9">
        <v>122.86</v>
      </c>
      <c r="L319" s="9">
        <v>450.5</v>
      </c>
      <c r="M319" s="9">
        <v>368.59</v>
      </c>
      <c r="N319" s="15">
        <f t="shared" si="8"/>
        <v>4464</v>
      </c>
    </row>
    <row r="320" customFormat="1" ht="25" customHeight="1" spans="1:14">
      <c r="A320" s="11" t="s">
        <v>50</v>
      </c>
      <c r="B320" s="12"/>
      <c r="C320" s="11"/>
      <c r="D320" s="13"/>
      <c r="E320" s="12"/>
      <c r="F320" s="11"/>
      <c r="G320" s="14"/>
      <c r="H320" s="14"/>
      <c r="I320" s="14"/>
      <c r="J320" s="14"/>
      <c r="K320" s="14"/>
      <c r="L320" s="14"/>
      <c r="M320" s="14"/>
      <c r="N320" s="14">
        <f>SUM(N318:N319)</f>
        <v>8459.99</v>
      </c>
    </row>
    <row r="321" customFormat="1" ht="116" customHeight="1" spans="1:14">
      <c r="A321" s="4">
        <v>211</v>
      </c>
      <c r="B321" s="4" t="s">
        <v>1415</v>
      </c>
      <c r="C321" s="4" t="s">
        <v>1055</v>
      </c>
      <c r="D321" s="8" t="s">
        <v>1184</v>
      </c>
      <c r="E321" s="4" t="s">
        <v>55</v>
      </c>
      <c r="F321" s="4">
        <v>1</v>
      </c>
      <c r="G321" s="9">
        <v>3005.5</v>
      </c>
      <c r="H321" s="9">
        <v>115.6</v>
      </c>
      <c r="I321" s="9">
        <v>38.53</v>
      </c>
      <c r="J321" s="9">
        <v>154.13</v>
      </c>
      <c r="K321" s="9">
        <v>115.6</v>
      </c>
      <c r="L321" s="9">
        <v>423.85</v>
      </c>
      <c r="M321" s="9">
        <v>346.79</v>
      </c>
      <c r="N321" s="15">
        <f t="shared" si="8"/>
        <v>4200</v>
      </c>
    </row>
    <row r="322" customFormat="1" ht="71" customHeight="1" spans="1:14">
      <c r="A322" s="4">
        <v>212</v>
      </c>
      <c r="B322" s="4" t="s">
        <v>1416</v>
      </c>
      <c r="C322" s="4" t="s">
        <v>1085</v>
      </c>
      <c r="D322" s="8" t="s">
        <v>1086</v>
      </c>
      <c r="E322" s="4" t="s">
        <v>55</v>
      </c>
      <c r="F322" s="4">
        <v>1</v>
      </c>
      <c r="G322" s="9">
        <v>5014.9</v>
      </c>
      <c r="H322" s="9">
        <v>192.88</v>
      </c>
      <c r="I322" s="9">
        <v>64.29</v>
      </c>
      <c r="J322" s="9">
        <v>257.17</v>
      </c>
      <c r="K322" s="9">
        <v>192.88</v>
      </c>
      <c r="L322" s="9">
        <v>707.23</v>
      </c>
      <c r="M322" s="9">
        <v>578.64</v>
      </c>
      <c r="N322" s="15">
        <f t="shared" si="8"/>
        <v>7007.99</v>
      </c>
    </row>
    <row r="323" customFormat="1" ht="25" customHeight="1" spans="1:14">
      <c r="A323" s="11" t="s">
        <v>50</v>
      </c>
      <c r="B323" s="12"/>
      <c r="C323" s="11"/>
      <c r="D323" s="13"/>
      <c r="E323" s="12"/>
      <c r="F323" s="11"/>
      <c r="G323" s="14"/>
      <c r="H323" s="14"/>
      <c r="I323" s="14"/>
      <c r="J323" s="14"/>
      <c r="K323" s="14"/>
      <c r="L323" s="14"/>
      <c r="M323" s="14"/>
      <c r="N323" s="14">
        <f>SUM(N321:N322)</f>
        <v>11207.99</v>
      </c>
    </row>
    <row r="324" customFormat="1" ht="103" customHeight="1" spans="1:14">
      <c r="A324" s="4">
        <v>213</v>
      </c>
      <c r="B324" s="4" t="s">
        <v>1417</v>
      </c>
      <c r="C324" s="4" t="s">
        <v>1088</v>
      </c>
      <c r="D324" s="8" t="s">
        <v>1089</v>
      </c>
      <c r="E324" s="4" t="s">
        <v>55</v>
      </c>
      <c r="F324" s="4">
        <v>28</v>
      </c>
      <c r="G324" s="9">
        <v>18433.76</v>
      </c>
      <c r="H324" s="9">
        <v>708.99</v>
      </c>
      <c r="I324" s="9">
        <v>236.33</v>
      </c>
      <c r="J324" s="9">
        <v>945.32</v>
      </c>
      <c r="K324" s="9">
        <v>708.99</v>
      </c>
      <c r="L324" s="9">
        <v>2599.63</v>
      </c>
      <c r="M324" s="9">
        <v>2126.97</v>
      </c>
      <c r="N324" s="15">
        <f t="shared" si="8"/>
        <v>25759.99</v>
      </c>
    </row>
    <row r="325" customFormat="1" ht="83" customHeight="1" spans="1:14">
      <c r="A325" s="4">
        <v>214</v>
      </c>
      <c r="B325" s="4" t="s">
        <v>1418</v>
      </c>
      <c r="C325" s="4" t="s">
        <v>1067</v>
      </c>
      <c r="D325" s="8" t="s">
        <v>1068</v>
      </c>
      <c r="E325" s="4" t="s">
        <v>55</v>
      </c>
      <c r="F325" s="4">
        <v>4</v>
      </c>
      <c r="G325" s="9">
        <v>2289.91</v>
      </c>
      <c r="H325" s="9">
        <v>88.07</v>
      </c>
      <c r="I325" s="9">
        <v>29.36</v>
      </c>
      <c r="J325" s="9">
        <v>117.43</v>
      </c>
      <c r="K325" s="9">
        <v>88.07</v>
      </c>
      <c r="L325" s="9">
        <v>322.94</v>
      </c>
      <c r="M325" s="9">
        <v>264.22</v>
      </c>
      <c r="N325" s="15">
        <f t="shared" ref="N325:N388" si="10">SUM(G325:M325)</f>
        <v>3200</v>
      </c>
    </row>
    <row r="326" customFormat="1" ht="25" customHeight="1" spans="1:14">
      <c r="A326" s="11" t="s">
        <v>50</v>
      </c>
      <c r="B326" s="12"/>
      <c r="C326" s="11"/>
      <c r="D326" s="13"/>
      <c r="E326" s="12"/>
      <c r="F326" s="11"/>
      <c r="G326" s="14"/>
      <c r="H326" s="14"/>
      <c r="I326" s="14"/>
      <c r="J326" s="14"/>
      <c r="K326" s="14"/>
      <c r="L326" s="14"/>
      <c r="M326" s="14"/>
      <c r="N326" s="14">
        <f>SUM(N324:N325)</f>
        <v>28959.99</v>
      </c>
    </row>
    <row r="327" customFormat="1" ht="83" customHeight="1" spans="1:14">
      <c r="A327" s="4">
        <v>215</v>
      </c>
      <c r="B327" s="4" t="s">
        <v>1419</v>
      </c>
      <c r="C327" s="4" t="s">
        <v>1070</v>
      </c>
      <c r="D327" s="8" t="s">
        <v>1071</v>
      </c>
      <c r="E327" s="4" t="s">
        <v>55</v>
      </c>
      <c r="F327" s="4">
        <v>2</v>
      </c>
      <c r="G327" s="9">
        <v>1007.56</v>
      </c>
      <c r="H327" s="9">
        <v>38.75</v>
      </c>
      <c r="I327" s="9">
        <v>12.92</v>
      </c>
      <c r="J327" s="9">
        <v>51.67</v>
      </c>
      <c r="K327" s="9">
        <v>38.75</v>
      </c>
      <c r="L327" s="9">
        <v>142.09</v>
      </c>
      <c r="M327" s="9">
        <v>116.26</v>
      </c>
      <c r="N327" s="15">
        <f t="shared" si="10"/>
        <v>1408</v>
      </c>
    </row>
    <row r="328" customFormat="1" ht="66" customHeight="1" spans="1:14">
      <c r="A328" s="4">
        <v>216</v>
      </c>
      <c r="B328" s="4" t="s">
        <v>1420</v>
      </c>
      <c r="C328" s="4" t="s">
        <v>1073</v>
      </c>
      <c r="D328" s="8" t="s">
        <v>1074</v>
      </c>
      <c r="E328" s="4" t="s">
        <v>55</v>
      </c>
      <c r="F328" s="4">
        <v>6</v>
      </c>
      <c r="G328" s="9">
        <v>5152.29</v>
      </c>
      <c r="H328" s="9">
        <v>198.17</v>
      </c>
      <c r="I328" s="9">
        <v>66.06</v>
      </c>
      <c r="J328" s="9">
        <v>264.22</v>
      </c>
      <c r="K328" s="9">
        <v>198.17</v>
      </c>
      <c r="L328" s="9">
        <v>726.61</v>
      </c>
      <c r="M328" s="9">
        <v>594.5</v>
      </c>
      <c r="N328" s="15">
        <f t="shared" si="10"/>
        <v>7200.02</v>
      </c>
    </row>
    <row r="329" customFormat="1" ht="60" customHeight="1" spans="1:14">
      <c r="A329" s="4">
        <v>217</v>
      </c>
      <c r="B329" s="4" t="s">
        <v>1421</v>
      </c>
      <c r="C329" s="4" t="s">
        <v>1076</v>
      </c>
      <c r="D329" s="8" t="s">
        <v>1077</v>
      </c>
      <c r="E329" s="4" t="s">
        <v>332</v>
      </c>
      <c r="F329" s="4">
        <v>2</v>
      </c>
      <c r="G329" s="9">
        <v>2392.95</v>
      </c>
      <c r="H329" s="9">
        <v>92.04</v>
      </c>
      <c r="I329" s="9">
        <v>30.68</v>
      </c>
      <c r="J329" s="9">
        <v>122.72</v>
      </c>
      <c r="K329" s="9">
        <v>92.04</v>
      </c>
      <c r="L329" s="9">
        <v>337.47</v>
      </c>
      <c r="M329" s="9">
        <v>276.11</v>
      </c>
      <c r="N329" s="15">
        <f t="shared" si="10"/>
        <v>3344.01</v>
      </c>
    </row>
    <row r="330" customFormat="1" ht="25" customHeight="1" spans="1:14">
      <c r="A330" s="11" t="s">
        <v>50</v>
      </c>
      <c r="B330" s="12"/>
      <c r="C330" s="11"/>
      <c r="D330" s="13"/>
      <c r="E330" s="12"/>
      <c r="F330" s="11"/>
      <c r="G330" s="14"/>
      <c r="H330" s="14"/>
      <c r="I330" s="14"/>
      <c r="J330" s="14"/>
      <c r="K330" s="14"/>
      <c r="L330" s="14"/>
      <c r="M330" s="14"/>
      <c r="N330" s="14">
        <f>SUM(N327:N329)</f>
        <v>11952.03</v>
      </c>
    </row>
    <row r="331" customFormat="1" ht="60" customHeight="1" spans="1:14">
      <c r="A331" s="4">
        <v>218</v>
      </c>
      <c r="B331" s="4" t="s">
        <v>1422</v>
      </c>
      <c r="C331" s="4" t="s">
        <v>1079</v>
      </c>
      <c r="D331" s="8" t="s">
        <v>1080</v>
      </c>
      <c r="E331" s="4" t="s">
        <v>93</v>
      </c>
      <c r="F331" s="4">
        <v>2</v>
      </c>
      <c r="G331" s="9">
        <v>1211.01</v>
      </c>
      <c r="H331" s="9">
        <v>100.92</v>
      </c>
      <c r="I331" s="9">
        <v>40.37</v>
      </c>
      <c r="J331" s="9">
        <v>302.75</v>
      </c>
      <c r="K331" s="9">
        <v>141.28</v>
      </c>
      <c r="L331" s="9">
        <v>222.02</v>
      </c>
      <c r="M331" s="9">
        <v>181.65</v>
      </c>
      <c r="N331" s="15">
        <f t="shared" si="10"/>
        <v>2200</v>
      </c>
    </row>
    <row r="332" customFormat="1" ht="91" customHeight="1" spans="1:14">
      <c r="A332" s="4">
        <v>219</v>
      </c>
      <c r="B332" s="4" t="s">
        <v>1423</v>
      </c>
      <c r="C332" s="4" t="s">
        <v>1188</v>
      </c>
      <c r="D332" s="8" t="s">
        <v>1189</v>
      </c>
      <c r="E332" s="4" t="s">
        <v>55</v>
      </c>
      <c r="F332" s="4">
        <v>28</v>
      </c>
      <c r="G332" s="9">
        <v>24044.04</v>
      </c>
      <c r="H332" s="9">
        <v>924.77</v>
      </c>
      <c r="I332" s="9">
        <v>308.26</v>
      </c>
      <c r="J332" s="9">
        <v>1233.03</v>
      </c>
      <c r="K332" s="9">
        <v>924.77</v>
      </c>
      <c r="L332" s="9">
        <v>3390.83</v>
      </c>
      <c r="M332" s="9">
        <v>2774.31</v>
      </c>
      <c r="N332" s="15">
        <f t="shared" si="10"/>
        <v>33600.01</v>
      </c>
    </row>
    <row r="333" customFormat="1" ht="74" customHeight="1" spans="1:14">
      <c r="A333" s="4">
        <v>220</v>
      </c>
      <c r="B333" s="4" t="s">
        <v>1424</v>
      </c>
      <c r="C333" s="4" t="s">
        <v>1191</v>
      </c>
      <c r="D333" s="8" t="s">
        <v>1192</v>
      </c>
      <c r="E333" s="4" t="s">
        <v>55</v>
      </c>
      <c r="F333" s="4">
        <v>1</v>
      </c>
      <c r="G333" s="9">
        <v>2963.3</v>
      </c>
      <c r="H333" s="9">
        <v>779.82</v>
      </c>
      <c r="I333" s="9">
        <v>389.91</v>
      </c>
      <c r="J333" s="9">
        <v>2183.49</v>
      </c>
      <c r="K333" s="9">
        <v>623.85</v>
      </c>
      <c r="L333" s="9">
        <v>857.8</v>
      </c>
      <c r="M333" s="9">
        <v>701.83</v>
      </c>
      <c r="N333" s="15">
        <f t="shared" si="10"/>
        <v>8500</v>
      </c>
    </row>
    <row r="334" customFormat="1" ht="25" customHeight="1" spans="1:14">
      <c r="A334" s="11" t="s">
        <v>50</v>
      </c>
      <c r="B334" s="12"/>
      <c r="C334" s="11"/>
      <c r="D334" s="13"/>
      <c r="E334" s="12"/>
      <c r="F334" s="11"/>
      <c r="G334" s="14"/>
      <c r="H334" s="14"/>
      <c r="I334" s="14"/>
      <c r="J334" s="14"/>
      <c r="K334" s="14"/>
      <c r="L334" s="14"/>
      <c r="M334" s="14"/>
      <c r="N334" s="14">
        <f>SUM(N331:N333)</f>
        <v>44300.01</v>
      </c>
    </row>
    <row r="335" customFormat="1" ht="76" customHeight="1" spans="1:14">
      <c r="A335" s="4">
        <v>221</v>
      </c>
      <c r="B335" s="4" t="s">
        <v>1425</v>
      </c>
      <c r="C335" s="4" t="s">
        <v>1194</v>
      </c>
      <c r="D335" s="8" t="s">
        <v>1195</v>
      </c>
      <c r="E335" s="4" t="s">
        <v>55</v>
      </c>
      <c r="F335" s="4">
        <v>2</v>
      </c>
      <c r="G335" s="9">
        <v>4532.11</v>
      </c>
      <c r="H335" s="9">
        <v>1192.66</v>
      </c>
      <c r="I335" s="9">
        <v>596.33</v>
      </c>
      <c r="J335" s="9">
        <v>3339.45</v>
      </c>
      <c r="K335" s="9">
        <v>954.13</v>
      </c>
      <c r="L335" s="9">
        <v>1311.93</v>
      </c>
      <c r="M335" s="9">
        <v>1073.39</v>
      </c>
      <c r="N335" s="15">
        <f t="shared" si="10"/>
        <v>13000</v>
      </c>
    </row>
    <row r="336" customFormat="1" ht="109" customHeight="1" spans="1:14">
      <c r="A336" s="4">
        <v>222</v>
      </c>
      <c r="B336" s="4" t="s">
        <v>1426</v>
      </c>
      <c r="C336" s="4" t="s">
        <v>1197</v>
      </c>
      <c r="D336" s="8" t="s">
        <v>1198</v>
      </c>
      <c r="E336" s="4" t="s">
        <v>55</v>
      </c>
      <c r="F336" s="4">
        <v>1</v>
      </c>
      <c r="G336" s="9">
        <v>6583.49</v>
      </c>
      <c r="H336" s="9">
        <v>253.21</v>
      </c>
      <c r="I336" s="9">
        <v>84.4</v>
      </c>
      <c r="J336" s="9">
        <v>337.61</v>
      </c>
      <c r="K336" s="9">
        <v>253.21</v>
      </c>
      <c r="L336" s="9">
        <v>928.44</v>
      </c>
      <c r="M336" s="9">
        <v>759.63</v>
      </c>
      <c r="N336" s="15">
        <f t="shared" si="10"/>
        <v>9199.99</v>
      </c>
    </row>
    <row r="337" customFormat="1" ht="25" customHeight="1" spans="1:14">
      <c r="A337" s="11" t="s">
        <v>50</v>
      </c>
      <c r="B337" s="12"/>
      <c r="C337" s="11"/>
      <c r="D337" s="13"/>
      <c r="E337" s="12"/>
      <c r="F337" s="11"/>
      <c r="G337" s="14"/>
      <c r="H337" s="14"/>
      <c r="I337" s="14"/>
      <c r="J337" s="14"/>
      <c r="K337" s="14"/>
      <c r="L337" s="14"/>
      <c r="M337" s="14"/>
      <c r="N337" s="14">
        <f>SUM(N335:N336)</f>
        <v>22199.99</v>
      </c>
    </row>
    <row r="338" customFormat="1" ht="64" customHeight="1" spans="1:14">
      <c r="A338" s="4">
        <v>223</v>
      </c>
      <c r="B338" s="4" t="s">
        <v>1427</v>
      </c>
      <c r="C338" s="4" t="s">
        <v>1109</v>
      </c>
      <c r="D338" s="8" t="s">
        <v>1110</v>
      </c>
      <c r="E338" s="4" t="s">
        <v>55</v>
      </c>
      <c r="F338" s="4">
        <v>1</v>
      </c>
      <c r="G338" s="9">
        <v>858.72</v>
      </c>
      <c r="H338" s="9">
        <v>33.03</v>
      </c>
      <c r="I338" s="9">
        <v>11.01</v>
      </c>
      <c r="J338" s="9">
        <v>44.04</v>
      </c>
      <c r="K338" s="9">
        <v>33.03</v>
      </c>
      <c r="L338" s="9">
        <v>121.1</v>
      </c>
      <c r="M338" s="9">
        <v>99.08</v>
      </c>
      <c r="N338" s="15">
        <f t="shared" si="10"/>
        <v>1200.01</v>
      </c>
    </row>
    <row r="339" customFormat="1" ht="25" customHeight="1" spans="1:14">
      <c r="A339" s="11" t="s">
        <v>50</v>
      </c>
      <c r="B339" s="12"/>
      <c r="C339" s="11"/>
      <c r="D339" s="13"/>
      <c r="E339" s="12"/>
      <c r="F339" s="11"/>
      <c r="G339" s="14"/>
      <c r="H339" s="14"/>
      <c r="I339" s="14"/>
      <c r="J339" s="14"/>
      <c r="K339" s="14"/>
      <c r="L339" s="14"/>
      <c r="M339" s="14"/>
      <c r="N339" s="14">
        <f t="shared" ref="N339:N343" si="11">N338</f>
        <v>1200.01</v>
      </c>
    </row>
    <row r="340" customFormat="1" ht="174" customHeight="1" spans="1:14">
      <c r="A340" s="4">
        <v>224</v>
      </c>
      <c r="B340" s="4" t="s">
        <v>1428</v>
      </c>
      <c r="C340" s="4" t="s">
        <v>1112</v>
      </c>
      <c r="D340" s="8" t="s">
        <v>1113</v>
      </c>
      <c r="E340" s="4" t="s">
        <v>55</v>
      </c>
      <c r="F340" s="4">
        <v>8</v>
      </c>
      <c r="G340" s="9">
        <v>16945.32</v>
      </c>
      <c r="H340" s="9">
        <v>651.74</v>
      </c>
      <c r="I340" s="9">
        <v>217.25</v>
      </c>
      <c r="J340" s="9">
        <v>868.99</v>
      </c>
      <c r="K340" s="9">
        <v>651.74</v>
      </c>
      <c r="L340" s="9">
        <v>2389.72</v>
      </c>
      <c r="M340" s="9">
        <v>1955.23</v>
      </c>
      <c r="N340" s="15">
        <f t="shared" si="10"/>
        <v>23679.99</v>
      </c>
    </row>
    <row r="341" customFormat="1" ht="25" customHeight="1" spans="1:14">
      <c r="A341" s="11" t="s">
        <v>50</v>
      </c>
      <c r="B341" s="12"/>
      <c r="C341" s="11"/>
      <c r="D341" s="13"/>
      <c r="E341" s="12"/>
      <c r="F341" s="11"/>
      <c r="G341" s="14"/>
      <c r="H341" s="14"/>
      <c r="I341" s="14"/>
      <c r="J341" s="14"/>
      <c r="K341" s="14"/>
      <c r="L341" s="14"/>
      <c r="M341" s="14"/>
      <c r="N341" s="14">
        <f t="shared" si="11"/>
        <v>23679.99</v>
      </c>
    </row>
    <row r="342" customFormat="1" ht="174" customHeight="1" spans="1:14">
      <c r="A342" s="4">
        <v>225</v>
      </c>
      <c r="B342" s="4" t="s">
        <v>1429</v>
      </c>
      <c r="C342" s="4" t="s">
        <v>1115</v>
      </c>
      <c r="D342" s="8" t="s">
        <v>1116</v>
      </c>
      <c r="E342" s="4" t="s">
        <v>55</v>
      </c>
      <c r="F342" s="4">
        <v>9</v>
      </c>
      <c r="G342" s="9">
        <v>19063.49</v>
      </c>
      <c r="H342" s="9">
        <v>733.21</v>
      </c>
      <c r="I342" s="9">
        <v>244.4</v>
      </c>
      <c r="J342" s="9">
        <v>977.61</v>
      </c>
      <c r="K342" s="9">
        <v>733.21</v>
      </c>
      <c r="L342" s="9">
        <v>2688.44</v>
      </c>
      <c r="M342" s="9">
        <v>2199.63</v>
      </c>
      <c r="N342" s="15">
        <f t="shared" si="10"/>
        <v>26639.99</v>
      </c>
    </row>
    <row r="343" customFormat="1" ht="25" customHeight="1" spans="1:14">
      <c r="A343" s="11" t="s">
        <v>50</v>
      </c>
      <c r="B343" s="12"/>
      <c r="C343" s="11"/>
      <c r="D343" s="13"/>
      <c r="E343" s="12"/>
      <c r="F343" s="11"/>
      <c r="G343" s="14"/>
      <c r="H343" s="14"/>
      <c r="I343" s="14"/>
      <c r="J343" s="14"/>
      <c r="K343" s="14"/>
      <c r="L343" s="14"/>
      <c r="M343" s="14"/>
      <c r="N343" s="14">
        <f t="shared" si="11"/>
        <v>26639.99</v>
      </c>
    </row>
    <row r="344" customFormat="1" ht="104" customHeight="1" spans="1:14">
      <c r="A344" s="4">
        <v>226</v>
      </c>
      <c r="B344" s="4" t="s">
        <v>1430</v>
      </c>
      <c r="C344" s="4" t="s">
        <v>1121</v>
      </c>
      <c r="D344" s="8" t="s">
        <v>1122</v>
      </c>
      <c r="E344" s="4" t="s">
        <v>55</v>
      </c>
      <c r="F344" s="4">
        <v>1</v>
      </c>
      <c r="G344" s="9">
        <v>2747.89</v>
      </c>
      <c r="H344" s="9">
        <v>105.69</v>
      </c>
      <c r="I344" s="9">
        <v>35.23</v>
      </c>
      <c r="J344" s="9">
        <v>140.92</v>
      </c>
      <c r="K344" s="9">
        <v>105.69</v>
      </c>
      <c r="L344" s="9">
        <v>387.52</v>
      </c>
      <c r="M344" s="9">
        <v>317.06</v>
      </c>
      <c r="N344" s="15">
        <f t="shared" si="10"/>
        <v>3840</v>
      </c>
    </row>
    <row r="345" customFormat="1" ht="25" customHeight="1" spans="1:14">
      <c r="A345" s="11" t="s">
        <v>50</v>
      </c>
      <c r="B345" s="12"/>
      <c r="C345" s="11"/>
      <c r="D345" s="13"/>
      <c r="E345" s="12"/>
      <c r="F345" s="11"/>
      <c r="G345" s="14"/>
      <c r="H345" s="14"/>
      <c r="I345" s="14"/>
      <c r="J345" s="14"/>
      <c r="K345" s="14"/>
      <c r="L345" s="14"/>
      <c r="M345" s="14"/>
      <c r="N345" s="14">
        <f>N344</f>
        <v>3840</v>
      </c>
    </row>
    <row r="346" customFormat="1" ht="178" customHeight="1" spans="1:14">
      <c r="A346" s="4">
        <v>227</v>
      </c>
      <c r="B346" s="4" t="s">
        <v>1431</v>
      </c>
      <c r="C346" s="4" t="s">
        <v>1127</v>
      </c>
      <c r="D346" s="8" t="s">
        <v>1128</v>
      </c>
      <c r="E346" s="4" t="s">
        <v>55</v>
      </c>
      <c r="F346" s="4">
        <v>1</v>
      </c>
      <c r="G346" s="9">
        <v>7556.7</v>
      </c>
      <c r="H346" s="9">
        <v>290.64</v>
      </c>
      <c r="I346" s="9">
        <v>96.88</v>
      </c>
      <c r="J346" s="9">
        <v>387.52</v>
      </c>
      <c r="K346" s="9">
        <v>290.64</v>
      </c>
      <c r="L346" s="9">
        <v>1065.69</v>
      </c>
      <c r="M346" s="9">
        <v>871.93</v>
      </c>
      <c r="N346" s="15">
        <f t="shared" si="10"/>
        <v>10560</v>
      </c>
    </row>
    <row r="347" customFormat="1" ht="25" customHeight="1" spans="1:14">
      <c r="A347" s="11" t="s">
        <v>50</v>
      </c>
      <c r="B347" s="12"/>
      <c r="C347" s="11"/>
      <c r="D347" s="13"/>
      <c r="E347" s="12"/>
      <c r="F347" s="11"/>
      <c r="G347" s="14"/>
      <c r="H347" s="14"/>
      <c r="I347" s="14"/>
      <c r="J347" s="14"/>
      <c r="K347" s="14"/>
      <c r="L347" s="14"/>
      <c r="M347" s="14"/>
      <c r="N347" s="14">
        <f>N346</f>
        <v>10560</v>
      </c>
    </row>
    <row r="348" customFormat="1" ht="124" customHeight="1" spans="1:14">
      <c r="A348" s="4">
        <v>228</v>
      </c>
      <c r="B348" s="4" t="s">
        <v>1432</v>
      </c>
      <c r="C348" s="4" t="s">
        <v>1205</v>
      </c>
      <c r="D348" s="8" t="s">
        <v>1355</v>
      </c>
      <c r="E348" s="4" t="s">
        <v>55</v>
      </c>
      <c r="F348" s="4">
        <v>2</v>
      </c>
      <c r="G348" s="9">
        <v>6297.25</v>
      </c>
      <c r="H348" s="9">
        <v>242.2</v>
      </c>
      <c r="I348" s="9">
        <v>80.73</v>
      </c>
      <c r="J348" s="9">
        <v>322.94</v>
      </c>
      <c r="K348" s="9">
        <v>242.2</v>
      </c>
      <c r="L348" s="9">
        <v>888.07</v>
      </c>
      <c r="M348" s="9">
        <v>726.61</v>
      </c>
      <c r="N348" s="15">
        <f t="shared" si="10"/>
        <v>8800</v>
      </c>
    </row>
    <row r="349" customFormat="1" ht="45" customHeight="1" spans="1:14">
      <c r="A349" s="4">
        <v>229</v>
      </c>
      <c r="B349" s="4" t="s">
        <v>1433</v>
      </c>
      <c r="C349" s="4" t="s">
        <v>1136</v>
      </c>
      <c r="D349" s="8" t="s">
        <v>1137</v>
      </c>
      <c r="E349" s="4" t="s">
        <v>55</v>
      </c>
      <c r="F349" s="4">
        <v>2</v>
      </c>
      <c r="G349" s="9">
        <v>62.75</v>
      </c>
      <c r="H349" s="9">
        <v>16.51</v>
      </c>
      <c r="I349" s="9">
        <v>8.26</v>
      </c>
      <c r="J349" s="9">
        <v>46.24</v>
      </c>
      <c r="K349" s="9">
        <v>13.21</v>
      </c>
      <c r="L349" s="9">
        <v>18.17</v>
      </c>
      <c r="M349" s="9">
        <v>14.86</v>
      </c>
      <c r="N349" s="15">
        <f t="shared" si="10"/>
        <v>180</v>
      </c>
    </row>
    <row r="350" customFormat="1" ht="25" customHeight="1" spans="1:14">
      <c r="A350" s="11" t="s">
        <v>50</v>
      </c>
      <c r="B350" s="12"/>
      <c r="C350" s="11"/>
      <c r="D350" s="13"/>
      <c r="E350" s="12"/>
      <c r="F350" s="11"/>
      <c r="G350" s="14"/>
      <c r="H350" s="14"/>
      <c r="I350" s="14"/>
      <c r="J350" s="14"/>
      <c r="K350" s="14"/>
      <c r="L350" s="14"/>
      <c r="M350" s="14"/>
      <c r="N350" s="14">
        <f>SUM(N348:N349)</f>
        <v>8980</v>
      </c>
    </row>
    <row r="351" customFormat="1" ht="91" customHeight="1" spans="1:14">
      <c r="A351" s="4">
        <v>230</v>
      </c>
      <c r="B351" s="4" t="s">
        <v>1434</v>
      </c>
      <c r="C351" s="4" t="s">
        <v>1145</v>
      </c>
      <c r="D351" s="8" t="s">
        <v>1146</v>
      </c>
      <c r="E351" s="4" t="s">
        <v>55</v>
      </c>
      <c r="F351" s="4">
        <v>1</v>
      </c>
      <c r="G351" s="9">
        <v>5638.9</v>
      </c>
      <c r="H351" s="9">
        <v>216.88</v>
      </c>
      <c r="I351" s="9">
        <v>72.29</v>
      </c>
      <c r="J351" s="9">
        <v>289.17</v>
      </c>
      <c r="K351" s="9">
        <v>216.88</v>
      </c>
      <c r="L351" s="9">
        <v>795.23</v>
      </c>
      <c r="M351" s="9">
        <v>650.64</v>
      </c>
      <c r="N351" s="15">
        <f t="shared" si="10"/>
        <v>7879.99</v>
      </c>
    </row>
    <row r="352" customFormat="1" ht="45" customHeight="1" spans="1:14">
      <c r="A352" s="4">
        <v>231</v>
      </c>
      <c r="B352" s="4" t="s">
        <v>1435</v>
      </c>
      <c r="C352" s="4" t="s">
        <v>1148</v>
      </c>
      <c r="D352" s="8" t="s">
        <v>1149</v>
      </c>
      <c r="E352" s="4" t="s">
        <v>248</v>
      </c>
      <c r="F352" s="4">
        <v>1</v>
      </c>
      <c r="G352" s="9">
        <v>306.79</v>
      </c>
      <c r="H352" s="9">
        <v>80.73</v>
      </c>
      <c r="I352" s="9">
        <v>40.37</v>
      </c>
      <c r="J352" s="9">
        <v>226.06</v>
      </c>
      <c r="K352" s="9">
        <v>64.59</v>
      </c>
      <c r="L352" s="9">
        <v>88.81</v>
      </c>
      <c r="M352" s="9">
        <v>72.66</v>
      </c>
      <c r="N352" s="15">
        <f t="shared" si="10"/>
        <v>880.01</v>
      </c>
    </row>
    <row r="353" customFormat="1" ht="69" customHeight="1" spans="1:14">
      <c r="A353" s="4">
        <v>232</v>
      </c>
      <c r="B353" s="4" t="s">
        <v>1436</v>
      </c>
      <c r="C353" s="4" t="s">
        <v>1151</v>
      </c>
      <c r="D353" s="8" t="s">
        <v>1152</v>
      </c>
      <c r="E353" s="4" t="s">
        <v>55</v>
      </c>
      <c r="F353" s="4">
        <v>1</v>
      </c>
      <c r="G353" s="9">
        <v>2719.27</v>
      </c>
      <c r="H353" s="9">
        <v>104.59</v>
      </c>
      <c r="I353" s="9">
        <v>34.86</v>
      </c>
      <c r="J353" s="9">
        <v>139.45</v>
      </c>
      <c r="K353" s="9">
        <v>104.59</v>
      </c>
      <c r="L353" s="9">
        <v>383.49</v>
      </c>
      <c r="M353" s="9">
        <v>313.76</v>
      </c>
      <c r="N353" s="15">
        <f t="shared" si="10"/>
        <v>3800.01</v>
      </c>
    </row>
    <row r="354" customFormat="1" ht="25" customHeight="1" spans="1:14">
      <c r="A354" s="11" t="s">
        <v>50</v>
      </c>
      <c r="B354" s="12"/>
      <c r="C354" s="11"/>
      <c r="D354" s="13"/>
      <c r="E354" s="12"/>
      <c r="F354" s="11"/>
      <c r="G354" s="14"/>
      <c r="H354" s="14"/>
      <c r="I354" s="14"/>
      <c r="J354" s="14"/>
      <c r="K354" s="14"/>
      <c r="L354" s="14"/>
      <c r="M354" s="14"/>
      <c r="N354" s="14">
        <f>SUM(N351:N353)</f>
        <v>12560.01</v>
      </c>
    </row>
    <row r="355" customFormat="1" ht="45" customHeight="1" spans="1:14">
      <c r="A355" s="4">
        <v>233</v>
      </c>
      <c r="B355" s="4" t="s">
        <v>1437</v>
      </c>
      <c r="C355" s="4" t="s">
        <v>1154</v>
      </c>
      <c r="D355" s="8" t="s">
        <v>1155</v>
      </c>
      <c r="E355" s="4" t="s">
        <v>55</v>
      </c>
      <c r="F355" s="4">
        <v>1</v>
      </c>
      <c r="G355" s="9">
        <v>1981.65</v>
      </c>
      <c r="H355" s="9">
        <v>165.14</v>
      </c>
      <c r="I355" s="9">
        <v>66.06</v>
      </c>
      <c r="J355" s="9">
        <v>495.41</v>
      </c>
      <c r="K355" s="9">
        <v>231.19</v>
      </c>
      <c r="L355" s="9">
        <v>363.3</v>
      </c>
      <c r="M355" s="9">
        <v>297.25</v>
      </c>
      <c r="N355" s="15">
        <f t="shared" si="10"/>
        <v>3600</v>
      </c>
    </row>
    <row r="356" customFormat="1" ht="74" customHeight="1" spans="1:14">
      <c r="A356" s="4">
        <v>234</v>
      </c>
      <c r="B356" s="4" t="s">
        <v>1438</v>
      </c>
      <c r="C356" s="4" t="s">
        <v>1157</v>
      </c>
      <c r="D356" s="8" t="s">
        <v>1158</v>
      </c>
      <c r="E356" s="4" t="s">
        <v>55</v>
      </c>
      <c r="F356" s="4">
        <v>1</v>
      </c>
      <c r="G356" s="9">
        <v>378.72</v>
      </c>
      <c r="H356" s="9">
        <v>31.56</v>
      </c>
      <c r="I356" s="9">
        <v>12.62</v>
      </c>
      <c r="J356" s="9">
        <v>94.68</v>
      </c>
      <c r="K356" s="9">
        <v>44.18</v>
      </c>
      <c r="L356" s="9">
        <v>69.43</v>
      </c>
      <c r="M356" s="9">
        <v>56.81</v>
      </c>
      <c r="N356" s="15">
        <f t="shared" si="10"/>
        <v>688</v>
      </c>
    </row>
    <row r="357" customFormat="1" ht="45" customHeight="1" spans="1:14">
      <c r="A357" s="4">
        <v>235</v>
      </c>
      <c r="B357" s="4" t="s">
        <v>1439</v>
      </c>
      <c r="C357" s="4" t="s">
        <v>1163</v>
      </c>
      <c r="D357" s="8" t="s">
        <v>1213</v>
      </c>
      <c r="E357" s="4" t="s">
        <v>55</v>
      </c>
      <c r="F357" s="4">
        <v>1</v>
      </c>
      <c r="G357" s="9">
        <v>1259.45</v>
      </c>
      <c r="H357" s="9">
        <v>48.44</v>
      </c>
      <c r="I357" s="9">
        <v>16.15</v>
      </c>
      <c r="J357" s="9">
        <v>64.59</v>
      </c>
      <c r="K357" s="9">
        <v>48.44</v>
      </c>
      <c r="L357" s="9">
        <v>177.61</v>
      </c>
      <c r="M357" s="9">
        <v>145.32</v>
      </c>
      <c r="N357" s="15">
        <f t="shared" si="10"/>
        <v>1760</v>
      </c>
    </row>
    <row r="358" customFormat="1" ht="25" customHeight="1" spans="1:14">
      <c r="A358" s="11" t="s">
        <v>50</v>
      </c>
      <c r="B358" s="12"/>
      <c r="C358" s="11"/>
      <c r="D358" s="13"/>
      <c r="E358" s="12"/>
      <c r="F358" s="11"/>
      <c r="G358" s="14"/>
      <c r="H358" s="14"/>
      <c r="I358" s="14"/>
      <c r="J358" s="14"/>
      <c r="K358" s="14"/>
      <c r="L358" s="14"/>
      <c r="M358" s="14"/>
      <c r="N358" s="14">
        <f>SUM(N355:N357)</f>
        <v>6048</v>
      </c>
    </row>
    <row r="359" customFormat="1" ht="64" customHeight="1" spans="1:14">
      <c r="A359" s="4">
        <v>236</v>
      </c>
      <c r="B359" s="4" t="s">
        <v>1440</v>
      </c>
      <c r="C359" s="4" t="s">
        <v>1166</v>
      </c>
      <c r="D359" s="8" t="s">
        <v>1167</v>
      </c>
      <c r="E359" s="4" t="s">
        <v>55</v>
      </c>
      <c r="F359" s="4">
        <v>1</v>
      </c>
      <c r="G359" s="9">
        <v>1054.68</v>
      </c>
      <c r="H359" s="9">
        <v>87.89</v>
      </c>
      <c r="I359" s="9">
        <v>35.16</v>
      </c>
      <c r="J359" s="9">
        <v>263.67</v>
      </c>
      <c r="K359" s="9">
        <v>123.05</v>
      </c>
      <c r="L359" s="9">
        <v>193.36</v>
      </c>
      <c r="M359" s="9">
        <v>158.2</v>
      </c>
      <c r="N359" s="15">
        <f t="shared" si="10"/>
        <v>1916.01</v>
      </c>
    </row>
    <row r="360" customFormat="1" ht="60" customHeight="1" spans="1:14">
      <c r="A360" s="4">
        <v>237</v>
      </c>
      <c r="B360" s="4" t="s">
        <v>1441</v>
      </c>
      <c r="C360" s="4" t="s">
        <v>1169</v>
      </c>
      <c r="D360" s="8" t="s">
        <v>1170</v>
      </c>
      <c r="E360" s="4" t="s">
        <v>55</v>
      </c>
      <c r="F360" s="4">
        <v>1</v>
      </c>
      <c r="G360" s="9">
        <v>1030.46</v>
      </c>
      <c r="H360" s="9">
        <v>39.63</v>
      </c>
      <c r="I360" s="9">
        <v>13.21</v>
      </c>
      <c r="J360" s="9">
        <v>52.84</v>
      </c>
      <c r="K360" s="9">
        <v>39.63</v>
      </c>
      <c r="L360" s="9">
        <v>145.32</v>
      </c>
      <c r="M360" s="9">
        <v>118.9</v>
      </c>
      <c r="N360" s="15">
        <f t="shared" si="10"/>
        <v>1439.99</v>
      </c>
    </row>
    <row r="361" customFormat="1" ht="65" customHeight="1" spans="1:14">
      <c r="A361" s="4">
        <v>238</v>
      </c>
      <c r="B361" s="4" t="s">
        <v>1442</v>
      </c>
      <c r="C361" s="4" t="s">
        <v>1172</v>
      </c>
      <c r="D361" s="8" t="s">
        <v>1173</v>
      </c>
      <c r="E361" s="4" t="s">
        <v>55</v>
      </c>
      <c r="F361" s="4">
        <v>1</v>
      </c>
      <c r="G361" s="9">
        <v>465.14</v>
      </c>
      <c r="H361" s="9">
        <v>17.89</v>
      </c>
      <c r="I361" s="9">
        <v>5.96</v>
      </c>
      <c r="J361" s="9">
        <v>23.85</v>
      </c>
      <c r="K361" s="9">
        <v>17.89</v>
      </c>
      <c r="L361" s="9">
        <v>65.6</v>
      </c>
      <c r="M361" s="9">
        <v>53.67</v>
      </c>
      <c r="N361" s="15">
        <f t="shared" si="10"/>
        <v>650</v>
      </c>
    </row>
    <row r="362" customFormat="1" ht="25" customHeight="1" spans="1:14">
      <c r="A362" s="11" t="s">
        <v>50</v>
      </c>
      <c r="B362" s="12"/>
      <c r="C362" s="11"/>
      <c r="D362" s="13"/>
      <c r="E362" s="12"/>
      <c r="F362" s="11"/>
      <c r="G362" s="14"/>
      <c r="H362" s="14"/>
      <c r="I362" s="14"/>
      <c r="J362" s="14"/>
      <c r="K362" s="14"/>
      <c r="L362" s="14"/>
      <c r="M362" s="14"/>
      <c r="N362" s="14">
        <f>SUM(N359:N361)</f>
        <v>4006</v>
      </c>
    </row>
    <row r="363" customFormat="1" ht="45" customHeight="1" spans="1:14">
      <c r="A363" s="4">
        <v>239</v>
      </c>
      <c r="B363" s="4" t="s">
        <v>1443</v>
      </c>
      <c r="C363" s="4" t="s">
        <v>1175</v>
      </c>
      <c r="D363" s="8" t="s">
        <v>1176</v>
      </c>
      <c r="E363" s="4" t="s">
        <v>93</v>
      </c>
      <c r="F363" s="4">
        <v>4</v>
      </c>
      <c r="G363" s="9">
        <v>801.47</v>
      </c>
      <c r="H363" s="9">
        <v>30.83</v>
      </c>
      <c r="I363" s="9">
        <v>10.28</v>
      </c>
      <c r="J363" s="9">
        <v>41.1</v>
      </c>
      <c r="K363" s="9">
        <v>30.83</v>
      </c>
      <c r="L363" s="9">
        <v>113.03</v>
      </c>
      <c r="M363" s="9">
        <v>92.48</v>
      </c>
      <c r="N363" s="15">
        <f t="shared" si="10"/>
        <v>1120.02</v>
      </c>
    </row>
    <row r="364" customFormat="1" ht="83" customHeight="1" spans="1:14">
      <c r="A364" s="4">
        <v>240</v>
      </c>
      <c r="B364" s="4" t="s">
        <v>1444</v>
      </c>
      <c r="C364" s="4" t="s">
        <v>1178</v>
      </c>
      <c r="D364" s="8" t="s">
        <v>1328</v>
      </c>
      <c r="E364" s="4" t="s">
        <v>55</v>
      </c>
      <c r="F364" s="4">
        <v>4</v>
      </c>
      <c r="G364" s="9">
        <v>7838.53</v>
      </c>
      <c r="H364" s="9">
        <v>653.21</v>
      </c>
      <c r="I364" s="9">
        <v>261.28</v>
      </c>
      <c r="J364" s="9">
        <v>1959.63</v>
      </c>
      <c r="K364" s="9">
        <v>914.5</v>
      </c>
      <c r="L364" s="9">
        <v>1437.06</v>
      </c>
      <c r="M364" s="9">
        <v>1175.78</v>
      </c>
      <c r="N364" s="15">
        <f t="shared" si="10"/>
        <v>14239.99</v>
      </c>
    </row>
    <row r="365" customFormat="1" ht="25" customHeight="1" spans="1:14">
      <c r="A365" s="11" t="s">
        <v>50</v>
      </c>
      <c r="B365" s="12"/>
      <c r="C365" s="11"/>
      <c r="D365" s="13"/>
      <c r="E365" s="12"/>
      <c r="F365" s="11"/>
      <c r="G365" s="14"/>
      <c r="H365" s="14"/>
      <c r="I365" s="14"/>
      <c r="J365" s="14"/>
      <c r="K365" s="14"/>
      <c r="L365" s="14"/>
      <c r="M365" s="14"/>
      <c r="N365" s="14">
        <f>SUM(N363:N364)</f>
        <v>15360.01</v>
      </c>
    </row>
    <row r="366" customFormat="1" ht="102" customHeight="1" spans="1:14">
      <c r="A366" s="4">
        <v>241</v>
      </c>
      <c r="B366" s="4" t="s">
        <v>1445</v>
      </c>
      <c r="C366" s="4" t="s">
        <v>1181</v>
      </c>
      <c r="D366" s="8" t="s">
        <v>1182</v>
      </c>
      <c r="E366" s="4" t="s">
        <v>55</v>
      </c>
      <c r="F366" s="4">
        <v>2</v>
      </c>
      <c r="G366" s="9">
        <v>5719.05</v>
      </c>
      <c r="H366" s="9">
        <v>219.96</v>
      </c>
      <c r="I366" s="9">
        <v>73.32</v>
      </c>
      <c r="J366" s="9">
        <v>293.28</v>
      </c>
      <c r="K366" s="9">
        <v>219.96</v>
      </c>
      <c r="L366" s="9">
        <v>806.53</v>
      </c>
      <c r="M366" s="9">
        <v>659.89</v>
      </c>
      <c r="N366" s="15">
        <f t="shared" si="10"/>
        <v>7991.99</v>
      </c>
    </row>
    <row r="367" customFormat="1" ht="116" customHeight="1" spans="1:14">
      <c r="A367" s="4">
        <v>242</v>
      </c>
      <c r="B367" s="4" t="s">
        <v>1446</v>
      </c>
      <c r="C367" s="4" t="s">
        <v>1055</v>
      </c>
      <c r="D367" s="8" t="s">
        <v>1184</v>
      </c>
      <c r="E367" s="4" t="s">
        <v>55</v>
      </c>
      <c r="F367" s="4">
        <v>1</v>
      </c>
      <c r="G367" s="9">
        <v>3005.5</v>
      </c>
      <c r="H367" s="9">
        <v>115.6</v>
      </c>
      <c r="I367" s="9">
        <v>38.53</v>
      </c>
      <c r="J367" s="9">
        <v>154.13</v>
      </c>
      <c r="K367" s="9">
        <v>115.6</v>
      </c>
      <c r="L367" s="9">
        <v>423.85</v>
      </c>
      <c r="M367" s="9">
        <v>346.79</v>
      </c>
      <c r="N367" s="15">
        <f t="shared" si="10"/>
        <v>4200</v>
      </c>
    </row>
    <row r="368" customFormat="1" ht="25" customHeight="1" spans="1:14">
      <c r="A368" s="11" t="s">
        <v>50</v>
      </c>
      <c r="B368" s="12"/>
      <c r="C368" s="11"/>
      <c r="D368" s="13"/>
      <c r="E368" s="12"/>
      <c r="F368" s="11"/>
      <c r="G368" s="14"/>
      <c r="H368" s="14"/>
      <c r="I368" s="14"/>
      <c r="J368" s="14"/>
      <c r="K368" s="14"/>
      <c r="L368" s="14"/>
      <c r="M368" s="14"/>
      <c r="N368" s="14">
        <f>SUM(N366:N367)</f>
        <v>12191.99</v>
      </c>
    </row>
    <row r="369" customFormat="1" ht="71" customHeight="1" spans="1:14">
      <c r="A369" s="4">
        <v>243</v>
      </c>
      <c r="B369" s="4" t="s">
        <v>1447</v>
      </c>
      <c r="C369" s="4" t="s">
        <v>1085</v>
      </c>
      <c r="D369" s="8" t="s">
        <v>1086</v>
      </c>
      <c r="E369" s="4" t="s">
        <v>55</v>
      </c>
      <c r="F369" s="4">
        <v>1</v>
      </c>
      <c r="G369" s="9">
        <v>5014.9</v>
      </c>
      <c r="H369" s="9">
        <v>192.88</v>
      </c>
      <c r="I369" s="9">
        <v>64.29</v>
      </c>
      <c r="J369" s="9">
        <v>257.17</v>
      </c>
      <c r="K369" s="9">
        <v>192.88</v>
      </c>
      <c r="L369" s="9">
        <v>707.23</v>
      </c>
      <c r="M369" s="9">
        <v>578.64</v>
      </c>
      <c r="N369" s="15">
        <f t="shared" si="10"/>
        <v>7007.99</v>
      </c>
    </row>
    <row r="370" customFormat="1" ht="103" customHeight="1" spans="1:14">
      <c r="A370" s="4">
        <v>244</v>
      </c>
      <c r="B370" s="4" t="s">
        <v>1448</v>
      </c>
      <c r="C370" s="4" t="s">
        <v>1088</v>
      </c>
      <c r="D370" s="8" t="s">
        <v>1089</v>
      </c>
      <c r="E370" s="4" t="s">
        <v>55</v>
      </c>
      <c r="F370" s="4">
        <v>20</v>
      </c>
      <c r="G370" s="9">
        <v>13166.97</v>
      </c>
      <c r="H370" s="9">
        <v>506.42</v>
      </c>
      <c r="I370" s="9">
        <v>168.81</v>
      </c>
      <c r="J370" s="9">
        <v>675.23</v>
      </c>
      <c r="K370" s="9">
        <v>506.42</v>
      </c>
      <c r="L370" s="9">
        <v>1856.88</v>
      </c>
      <c r="M370" s="9">
        <v>1519.27</v>
      </c>
      <c r="N370" s="15">
        <f t="shared" si="10"/>
        <v>18400</v>
      </c>
    </row>
    <row r="371" customFormat="1" ht="25" customHeight="1" spans="1:14">
      <c r="A371" s="11" t="s">
        <v>50</v>
      </c>
      <c r="B371" s="12"/>
      <c r="C371" s="11"/>
      <c r="D371" s="13"/>
      <c r="E371" s="12"/>
      <c r="F371" s="11"/>
      <c r="G371" s="14"/>
      <c r="H371" s="14"/>
      <c r="I371" s="14"/>
      <c r="J371" s="14"/>
      <c r="K371" s="14"/>
      <c r="L371" s="14"/>
      <c r="M371" s="14"/>
      <c r="N371" s="14">
        <f>SUM(N369:N370)</f>
        <v>25407.99</v>
      </c>
    </row>
    <row r="372" customFormat="1" ht="91" customHeight="1" spans="1:14">
      <c r="A372" s="4">
        <v>245</v>
      </c>
      <c r="B372" s="4" t="s">
        <v>1449</v>
      </c>
      <c r="C372" s="4" t="s">
        <v>1188</v>
      </c>
      <c r="D372" s="8" t="s">
        <v>1189</v>
      </c>
      <c r="E372" s="4" t="s">
        <v>55</v>
      </c>
      <c r="F372" s="4">
        <v>20</v>
      </c>
      <c r="G372" s="9">
        <v>17174.31</v>
      </c>
      <c r="H372" s="9">
        <v>660.55</v>
      </c>
      <c r="I372" s="9">
        <v>220.18</v>
      </c>
      <c r="J372" s="9">
        <v>880.73</v>
      </c>
      <c r="K372" s="9">
        <v>660.55</v>
      </c>
      <c r="L372" s="9">
        <v>2422.02</v>
      </c>
      <c r="M372" s="9">
        <v>1981.65</v>
      </c>
      <c r="N372" s="15">
        <f t="shared" si="10"/>
        <v>23999.99</v>
      </c>
    </row>
    <row r="373" customFormat="1" ht="76" customHeight="1" spans="1:14">
      <c r="A373" s="4">
        <v>246</v>
      </c>
      <c r="B373" s="4" t="s">
        <v>1450</v>
      </c>
      <c r="C373" s="4" t="s">
        <v>1194</v>
      </c>
      <c r="D373" s="8" t="s">
        <v>1195</v>
      </c>
      <c r="E373" s="4" t="s">
        <v>55</v>
      </c>
      <c r="F373" s="4">
        <v>1</v>
      </c>
      <c r="G373" s="9">
        <v>1812.84</v>
      </c>
      <c r="H373" s="9">
        <v>477.06</v>
      </c>
      <c r="I373" s="9">
        <v>238.53</v>
      </c>
      <c r="J373" s="9">
        <v>1335.78</v>
      </c>
      <c r="K373" s="9">
        <v>381.65</v>
      </c>
      <c r="L373" s="9">
        <v>524.77</v>
      </c>
      <c r="M373" s="9">
        <v>429.36</v>
      </c>
      <c r="N373" s="15">
        <f t="shared" si="10"/>
        <v>5199.99</v>
      </c>
    </row>
    <row r="374" customFormat="1" ht="25" customHeight="1" spans="1:14">
      <c r="A374" s="11" t="s">
        <v>50</v>
      </c>
      <c r="B374" s="12"/>
      <c r="C374" s="11"/>
      <c r="D374" s="13"/>
      <c r="E374" s="12"/>
      <c r="F374" s="11"/>
      <c r="G374" s="14"/>
      <c r="H374" s="14"/>
      <c r="I374" s="14"/>
      <c r="J374" s="14"/>
      <c r="K374" s="14"/>
      <c r="L374" s="14"/>
      <c r="M374" s="14"/>
      <c r="N374" s="14">
        <f>SUM(N372:N373)</f>
        <v>29199.98</v>
      </c>
    </row>
    <row r="375" customFormat="1" ht="74" customHeight="1" spans="1:14">
      <c r="A375" s="4">
        <v>247</v>
      </c>
      <c r="B375" s="4" t="s">
        <v>1451</v>
      </c>
      <c r="C375" s="4" t="s">
        <v>1452</v>
      </c>
      <c r="D375" s="8" t="s">
        <v>1453</v>
      </c>
      <c r="E375" s="4" t="s">
        <v>55</v>
      </c>
      <c r="F375" s="4">
        <v>2</v>
      </c>
      <c r="G375" s="9">
        <v>3137.61</v>
      </c>
      <c r="H375" s="9">
        <v>825.69</v>
      </c>
      <c r="I375" s="9">
        <v>412.84</v>
      </c>
      <c r="J375" s="9">
        <v>2311.93</v>
      </c>
      <c r="K375" s="9">
        <v>660.55</v>
      </c>
      <c r="L375" s="9">
        <v>908.26</v>
      </c>
      <c r="M375" s="9">
        <v>743.12</v>
      </c>
      <c r="N375" s="15">
        <f t="shared" si="10"/>
        <v>9000</v>
      </c>
    </row>
    <row r="376" customFormat="1" ht="109" customHeight="1" spans="1:14">
      <c r="A376" s="4">
        <v>248</v>
      </c>
      <c r="B376" s="4" t="s">
        <v>1454</v>
      </c>
      <c r="C376" s="4" t="s">
        <v>1197</v>
      </c>
      <c r="D376" s="8" t="s">
        <v>1198</v>
      </c>
      <c r="E376" s="4" t="s">
        <v>55</v>
      </c>
      <c r="F376" s="4">
        <v>1</v>
      </c>
      <c r="G376" s="9">
        <v>6583.49</v>
      </c>
      <c r="H376" s="9">
        <v>253.21</v>
      </c>
      <c r="I376" s="9">
        <v>84.4</v>
      </c>
      <c r="J376" s="9">
        <v>337.61</v>
      </c>
      <c r="K376" s="9">
        <v>253.21</v>
      </c>
      <c r="L376" s="9">
        <v>928.44</v>
      </c>
      <c r="M376" s="9">
        <v>759.63</v>
      </c>
      <c r="N376" s="15">
        <f t="shared" si="10"/>
        <v>9199.99</v>
      </c>
    </row>
    <row r="377" customFormat="1" ht="25" customHeight="1" spans="1:14">
      <c r="A377" s="11" t="s">
        <v>50</v>
      </c>
      <c r="B377" s="12"/>
      <c r="C377" s="11"/>
      <c r="D377" s="13"/>
      <c r="E377" s="12"/>
      <c r="F377" s="11"/>
      <c r="G377" s="14"/>
      <c r="H377" s="14"/>
      <c r="I377" s="14"/>
      <c r="J377" s="14"/>
      <c r="K377" s="14"/>
      <c r="L377" s="14"/>
      <c r="M377" s="14"/>
      <c r="N377" s="14">
        <f>SUM(N375:N376)</f>
        <v>18199.99</v>
      </c>
    </row>
    <row r="378" customFormat="1" ht="64" customHeight="1" spans="1:14">
      <c r="A378" s="4">
        <v>249</v>
      </c>
      <c r="B378" s="4" t="s">
        <v>1455</v>
      </c>
      <c r="C378" s="4" t="s">
        <v>1109</v>
      </c>
      <c r="D378" s="8" t="s">
        <v>1110</v>
      </c>
      <c r="E378" s="4" t="s">
        <v>55</v>
      </c>
      <c r="F378" s="4">
        <v>1</v>
      </c>
      <c r="G378" s="9">
        <v>858.72</v>
      </c>
      <c r="H378" s="9">
        <v>33.03</v>
      </c>
      <c r="I378" s="9">
        <v>11.01</v>
      </c>
      <c r="J378" s="9">
        <v>44.04</v>
      </c>
      <c r="K378" s="9">
        <v>33.03</v>
      </c>
      <c r="L378" s="9">
        <v>121.1</v>
      </c>
      <c r="M378" s="9">
        <v>99.08</v>
      </c>
      <c r="N378" s="15">
        <f t="shared" si="10"/>
        <v>1200.01</v>
      </c>
    </row>
    <row r="379" customFormat="1" ht="25" customHeight="1" spans="1:14">
      <c r="A379" s="11" t="s">
        <v>50</v>
      </c>
      <c r="B379" s="12"/>
      <c r="C379" s="11"/>
      <c r="D379" s="13"/>
      <c r="E379" s="12"/>
      <c r="F379" s="11"/>
      <c r="G379" s="14"/>
      <c r="H379" s="14"/>
      <c r="I379" s="14"/>
      <c r="J379" s="14"/>
      <c r="K379" s="14"/>
      <c r="L379" s="14"/>
      <c r="M379" s="14"/>
      <c r="N379" s="14">
        <f t="shared" ref="N379:N383" si="12">N378</f>
        <v>1200.01</v>
      </c>
    </row>
    <row r="380" customFormat="1" ht="174" customHeight="1" spans="1:14">
      <c r="A380" s="4">
        <v>250</v>
      </c>
      <c r="B380" s="4" t="s">
        <v>1456</v>
      </c>
      <c r="C380" s="4" t="s">
        <v>1112</v>
      </c>
      <c r="D380" s="8" t="s">
        <v>1113</v>
      </c>
      <c r="E380" s="4" t="s">
        <v>55</v>
      </c>
      <c r="F380" s="4">
        <v>8</v>
      </c>
      <c r="G380" s="9">
        <v>16945.32</v>
      </c>
      <c r="H380" s="9">
        <v>651.74</v>
      </c>
      <c r="I380" s="9">
        <v>217.25</v>
      </c>
      <c r="J380" s="9">
        <v>868.99</v>
      </c>
      <c r="K380" s="9">
        <v>651.74</v>
      </c>
      <c r="L380" s="9">
        <v>2389.72</v>
      </c>
      <c r="M380" s="9">
        <v>1955.23</v>
      </c>
      <c r="N380" s="15">
        <f t="shared" si="10"/>
        <v>23679.99</v>
      </c>
    </row>
    <row r="381" customFormat="1" ht="25" customHeight="1" spans="1:14">
      <c r="A381" s="11" t="s">
        <v>50</v>
      </c>
      <c r="B381" s="12"/>
      <c r="C381" s="11"/>
      <c r="D381" s="13"/>
      <c r="E381" s="12"/>
      <c r="F381" s="11"/>
      <c r="G381" s="14"/>
      <c r="H381" s="14"/>
      <c r="I381" s="14"/>
      <c r="J381" s="14"/>
      <c r="K381" s="14"/>
      <c r="L381" s="14"/>
      <c r="M381" s="14"/>
      <c r="N381" s="14">
        <f t="shared" si="12"/>
        <v>23679.99</v>
      </c>
    </row>
    <row r="382" customFormat="1" ht="174" customHeight="1" spans="1:14">
      <c r="A382" s="4">
        <v>251</v>
      </c>
      <c r="B382" s="4" t="s">
        <v>1457</v>
      </c>
      <c r="C382" s="4" t="s">
        <v>1115</v>
      </c>
      <c r="D382" s="8" t="s">
        <v>1116</v>
      </c>
      <c r="E382" s="4" t="s">
        <v>55</v>
      </c>
      <c r="F382" s="4">
        <v>10</v>
      </c>
      <c r="G382" s="9">
        <v>21181.65</v>
      </c>
      <c r="H382" s="9">
        <v>814.68</v>
      </c>
      <c r="I382" s="9">
        <v>271.56</v>
      </c>
      <c r="J382" s="9">
        <v>1086.24</v>
      </c>
      <c r="K382" s="9">
        <v>814.68</v>
      </c>
      <c r="L382" s="9">
        <v>2987.16</v>
      </c>
      <c r="M382" s="9">
        <v>2444.04</v>
      </c>
      <c r="N382" s="15">
        <f t="shared" si="10"/>
        <v>29600.01</v>
      </c>
    </row>
    <row r="383" customFormat="1" ht="25" customHeight="1" spans="1:14">
      <c r="A383" s="11" t="s">
        <v>50</v>
      </c>
      <c r="B383" s="12"/>
      <c r="C383" s="11"/>
      <c r="D383" s="13"/>
      <c r="E383" s="12"/>
      <c r="F383" s="11"/>
      <c r="G383" s="14"/>
      <c r="H383" s="14"/>
      <c r="I383" s="14"/>
      <c r="J383" s="14"/>
      <c r="K383" s="14"/>
      <c r="L383" s="14"/>
      <c r="M383" s="14"/>
      <c r="N383" s="14">
        <f t="shared" si="12"/>
        <v>29600.01</v>
      </c>
    </row>
    <row r="384" customFormat="1" ht="104" customHeight="1" spans="1:14">
      <c r="A384" s="4">
        <v>252</v>
      </c>
      <c r="B384" s="4" t="s">
        <v>1458</v>
      </c>
      <c r="C384" s="4" t="s">
        <v>1121</v>
      </c>
      <c r="D384" s="8" t="s">
        <v>1122</v>
      </c>
      <c r="E384" s="4" t="s">
        <v>55</v>
      </c>
      <c r="F384" s="4">
        <v>1</v>
      </c>
      <c r="G384" s="9">
        <v>2747.89</v>
      </c>
      <c r="H384" s="9">
        <v>105.69</v>
      </c>
      <c r="I384" s="9">
        <v>35.23</v>
      </c>
      <c r="J384" s="9">
        <v>140.92</v>
      </c>
      <c r="K384" s="9">
        <v>105.69</v>
      </c>
      <c r="L384" s="9">
        <v>387.52</v>
      </c>
      <c r="M384" s="9">
        <v>317.06</v>
      </c>
      <c r="N384" s="15">
        <f t="shared" si="10"/>
        <v>3840</v>
      </c>
    </row>
    <row r="385" customFormat="1" ht="25" customHeight="1" spans="1:14">
      <c r="A385" s="11" t="s">
        <v>50</v>
      </c>
      <c r="B385" s="12"/>
      <c r="C385" s="11"/>
      <c r="D385" s="13"/>
      <c r="E385" s="12"/>
      <c r="F385" s="11"/>
      <c r="G385" s="14"/>
      <c r="H385" s="14"/>
      <c r="I385" s="14"/>
      <c r="J385" s="14"/>
      <c r="K385" s="14"/>
      <c r="L385" s="14"/>
      <c r="M385" s="14"/>
      <c r="N385" s="14">
        <f>N384</f>
        <v>3840</v>
      </c>
    </row>
    <row r="386" customFormat="1" ht="178" customHeight="1" spans="1:14">
      <c r="A386" s="4">
        <v>253</v>
      </c>
      <c r="B386" s="4" t="s">
        <v>1459</v>
      </c>
      <c r="C386" s="4" t="s">
        <v>1127</v>
      </c>
      <c r="D386" s="8" t="s">
        <v>1128</v>
      </c>
      <c r="E386" s="4" t="s">
        <v>55</v>
      </c>
      <c r="F386" s="4">
        <v>1</v>
      </c>
      <c r="G386" s="9">
        <v>7556.7</v>
      </c>
      <c r="H386" s="9">
        <v>290.64</v>
      </c>
      <c r="I386" s="9">
        <v>96.88</v>
      </c>
      <c r="J386" s="9">
        <v>387.52</v>
      </c>
      <c r="K386" s="9">
        <v>290.64</v>
      </c>
      <c r="L386" s="9">
        <v>1065.69</v>
      </c>
      <c r="M386" s="9">
        <v>871.93</v>
      </c>
      <c r="N386" s="15">
        <f t="shared" si="10"/>
        <v>10560</v>
      </c>
    </row>
    <row r="387" customFormat="1" ht="25" customHeight="1" spans="1:14">
      <c r="A387" s="11" t="s">
        <v>50</v>
      </c>
      <c r="B387" s="12"/>
      <c r="C387" s="11"/>
      <c r="D387" s="13"/>
      <c r="E387" s="12"/>
      <c r="F387" s="11"/>
      <c r="G387" s="14"/>
      <c r="H387" s="14"/>
      <c r="I387" s="14"/>
      <c r="J387" s="14"/>
      <c r="K387" s="14"/>
      <c r="L387" s="14"/>
      <c r="M387" s="14"/>
      <c r="N387" s="14">
        <f>N386</f>
        <v>10560</v>
      </c>
    </row>
    <row r="388" customFormat="1" ht="124" customHeight="1" spans="1:14">
      <c r="A388" s="4">
        <v>254</v>
      </c>
      <c r="B388" s="4" t="s">
        <v>1460</v>
      </c>
      <c r="C388" s="4" t="s">
        <v>1205</v>
      </c>
      <c r="D388" s="8" t="s">
        <v>1355</v>
      </c>
      <c r="E388" s="4" t="s">
        <v>55</v>
      </c>
      <c r="F388" s="4">
        <v>3</v>
      </c>
      <c r="G388" s="9">
        <v>9445.87</v>
      </c>
      <c r="H388" s="9">
        <v>363.3</v>
      </c>
      <c r="I388" s="9">
        <v>121.1</v>
      </c>
      <c r="J388" s="9">
        <v>484.4</v>
      </c>
      <c r="K388" s="9">
        <v>363.3</v>
      </c>
      <c r="L388" s="9">
        <v>1332.11</v>
      </c>
      <c r="M388" s="9">
        <v>1089.91</v>
      </c>
      <c r="N388" s="15">
        <f t="shared" si="10"/>
        <v>13199.99</v>
      </c>
    </row>
    <row r="389" customFormat="1" ht="45" customHeight="1" spans="1:14">
      <c r="A389" s="4">
        <v>255</v>
      </c>
      <c r="B389" s="4" t="s">
        <v>1461</v>
      </c>
      <c r="C389" s="4" t="s">
        <v>1136</v>
      </c>
      <c r="D389" s="8" t="s">
        <v>1137</v>
      </c>
      <c r="E389" s="4" t="s">
        <v>55</v>
      </c>
      <c r="F389" s="4">
        <v>3</v>
      </c>
      <c r="G389" s="9">
        <v>94.13</v>
      </c>
      <c r="H389" s="9">
        <v>24.77</v>
      </c>
      <c r="I389" s="9">
        <v>12.39</v>
      </c>
      <c r="J389" s="9">
        <v>69.36</v>
      </c>
      <c r="K389" s="9">
        <v>19.82</v>
      </c>
      <c r="L389" s="9">
        <v>27.25</v>
      </c>
      <c r="M389" s="9">
        <v>22.29</v>
      </c>
      <c r="N389" s="15">
        <f t="shared" ref="N389:N452" si="13">SUM(G389:M389)</f>
        <v>270.01</v>
      </c>
    </row>
    <row r="390" customFormat="1" ht="25" customHeight="1" spans="1:14">
      <c r="A390" s="11" t="s">
        <v>50</v>
      </c>
      <c r="B390" s="12"/>
      <c r="C390" s="11"/>
      <c r="D390" s="13"/>
      <c r="E390" s="12"/>
      <c r="F390" s="11"/>
      <c r="G390" s="14"/>
      <c r="H390" s="14"/>
      <c r="I390" s="14"/>
      <c r="J390" s="14"/>
      <c r="K390" s="14"/>
      <c r="L390" s="14"/>
      <c r="M390" s="14"/>
      <c r="N390" s="14">
        <f>SUM(N388:N389)</f>
        <v>13470</v>
      </c>
    </row>
    <row r="391" customFormat="1" ht="91" customHeight="1" spans="1:14">
      <c r="A391" s="4">
        <v>256</v>
      </c>
      <c r="B391" s="4" t="s">
        <v>1462</v>
      </c>
      <c r="C391" s="4" t="s">
        <v>1145</v>
      </c>
      <c r="D391" s="8" t="s">
        <v>1146</v>
      </c>
      <c r="E391" s="4" t="s">
        <v>55</v>
      </c>
      <c r="F391" s="4">
        <v>1</v>
      </c>
      <c r="G391" s="9">
        <v>5638.9</v>
      </c>
      <c r="H391" s="9">
        <v>216.88</v>
      </c>
      <c r="I391" s="9">
        <v>72.29</v>
      </c>
      <c r="J391" s="9">
        <v>289.17</v>
      </c>
      <c r="K391" s="9">
        <v>216.88</v>
      </c>
      <c r="L391" s="9">
        <v>795.23</v>
      </c>
      <c r="M391" s="9">
        <v>650.64</v>
      </c>
      <c r="N391" s="15">
        <f t="shared" si="13"/>
        <v>7879.99</v>
      </c>
    </row>
    <row r="392" customFormat="1" ht="45" customHeight="1" spans="1:14">
      <c r="A392" s="4">
        <v>257</v>
      </c>
      <c r="B392" s="4" t="s">
        <v>1463</v>
      </c>
      <c r="C392" s="4" t="s">
        <v>1148</v>
      </c>
      <c r="D392" s="8" t="s">
        <v>1149</v>
      </c>
      <c r="E392" s="4" t="s">
        <v>248</v>
      </c>
      <c r="F392" s="4">
        <v>1</v>
      </c>
      <c r="G392" s="9">
        <v>306.79</v>
      </c>
      <c r="H392" s="9">
        <v>80.73</v>
      </c>
      <c r="I392" s="9">
        <v>40.37</v>
      </c>
      <c r="J392" s="9">
        <v>226.06</v>
      </c>
      <c r="K392" s="9">
        <v>64.59</v>
      </c>
      <c r="L392" s="9">
        <v>88.81</v>
      </c>
      <c r="M392" s="9">
        <v>72.66</v>
      </c>
      <c r="N392" s="15">
        <f t="shared" si="13"/>
        <v>880.01</v>
      </c>
    </row>
    <row r="393" customFormat="1" ht="69" customHeight="1" spans="1:14">
      <c r="A393" s="4">
        <v>258</v>
      </c>
      <c r="B393" s="4" t="s">
        <v>1464</v>
      </c>
      <c r="C393" s="4" t="s">
        <v>1151</v>
      </c>
      <c r="D393" s="8" t="s">
        <v>1152</v>
      </c>
      <c r="E393" s="4" t="s">
        <v>55</v>
      </c>
      <c r="F393" s="4">
        <v>1</v>
      </c>
      <c r="G393" s="9">
        <v>2719.27</v>
      </c>
      <c r="H393" s="9">
        <v>104.59</v>
      </c>
      <c r="I393" s="9">
        <v>34.86</v>
      </c>
      <c r="J393" s="9">
        <v>139.45</v>
      </c>
      <c r="K393" s="9">
        <v>104.59</v>
      </c>
      <c r="L393" s="9">
        <v>383.49</v>
      </c>
      <c r="M393" s="9">
        <v>313.76</v>
      </c>
      <c r="N393" s="15">
        <f t="shared" si="13"/>
        <v>3800.01</v>
      </c>
    </row>
    <row r="394" customFormat="1" ht="25" customHeight="1" spans="1:14">
      <c r="A394" s="11" t="s">
        <v>50</v>
      </c>
      <c r="B394" s="12"/>
      <c r="C394" s="11"/>
      <c r="D394" s="13"/>
      <c r="E394" s="12"/>
      <c r="F394" s="11"/>
      <c r="G394" s="14"/>
      <c r="H394" s="14"/>
      <c r="I394" s="14"/>
      <c r="J394" s="14"/>
      <c r="K394" s="14"/>
      <c r="L394" s="14"/>
      <c r="M394" s="14"/>
      <c r="N394" s="14">
        <f>SUM(N391:N393)</f>
        <v>12560.01</v>
      </c>
    </row>
    <row r="395" customFormat="1" ht="45" customHeight="1" spans="1:14">
      <c r="A395" s="4">
        <v>259</v>
      </c>
      <c r="B395" s="4" t="s">
        <v>1465</v>
      </c>
      <c r="C395" s="4" t="s">
        <v>1154</v>
      </c>
      <c r="D395" s="8" t="s">
        <v>1155</v>
      </c>
      <c r="E395" s="4" t="s">
        <v>55</v>
      </c>
      <c r="F395" s="4">
        <v>1</v>
      </c>
      <c r="G395" s="9">
        <v>1981.65</v>
      </c>
      <c r="H395" s="9">
        <v>165.14</v>
      </c>
      <c r="I395" s="9">
        <v>66.06</v>
      </c>
      <c r="J395" s="9">
        <v>495.41</v>
      </c>
      <c r="K395" s="9">
        <v>231.19</v>
      </c>
      <c r="L395" s="9">
        <v>363.3</v>
      </c>
      <c r="M395" s="9">
        <v>297.25</v>
      </c>
      <c r="N395" s="15">
        <f t="shared" si="13"/>
        <v>3600</v>
      </c>
    </row>
    <row r="396" customFormat="1" ht="74" customHeight="1" spans="1:14">
      <c r="A396" s="4">
        <v>260</v>
      </c>
      <c r="B396" s="4" t="s">
        <v>1466</v>
      </c>
      <c r="C396" s="4" t="s">
        <v>1157</v>
      </c>
      <c r="D396" s="8" t="s">
        <v>1158</v>
      </c>
      <c r="E396" s="4" t="s">
        <v>55</v>
      </c>
      <c r="F396" s="4">
        <v>1</v>
      </c>
      <c r="G396" s="9">
        <v>378.72</v>
      </c>
      <c r="H396" s="9">
        <v>31.56</v>
      </c>
      <c r="I396" s="9">
        <v>12.62</v>
      </c>
      <c r="J396" s="9">
        <v>94.68</v>
      </c>
      <c r="K396" s="9">
        <v>44.18</v>
      </c>
      <c r="L396" s="9">
        <v>69.43</v>
      </c>
      <c r="M396" s="9">
        <v>56.81</v>
      </c>
      <c r="N396" s="15">
        <f t="shared" si="13"/>
        <v>688</v>
      </c>
    </row>
    <row r="397" customFormat="1" ht="45" customHeight="1" spans="1:14">
      <c r="A397" s="4">
        <v>261</v>
      </c>
      <c r="B397" s="4" t="s">
        <v>1467</v>
      </c>
      <c r="C397" s="4" t="s">
        <v>1163</v>
      </c>
      <c r="D397" s="8" t="s">
        <v>1213</v>
      </c>
      <c r="E397" s="4" t="s">
        <v>55</v>
      </c>
      <c r="F397" s="4">
        <v>1</v>
      </c>
      <c r="G397" s="9">
        <v>1259.45</v>
      </c>
      <c r="H397" s="9">
        <v>48.44</v>
      </c>
      <c r="I397" s="9">
        <v>16.15</v>
      </c>
      <c r="J397" s="9">
        <v>64.59</v>
      </c>
      <c r="K397" s="9">
        <v>48.44</v>
      </c>
      <c r="L397" s="9">
        <v>177.61</v>
      </c>
      <c r="M397" s="9">
        <v>145.32</v>
      </c>
      <c r="N397" s="15">
        <f t="shared" si="13"/>
        <v>1760</v>
      </c>
    </row>
    <row r="398" customFormat="1" ht="25" customHeight="1" spans="1:14">
      <c r="A398" s="11" t="s">
        <v>50</v>
      </c>
      <c r="B398" s="12"/>
      <c r="C398" s="11"/>
      <c r="D398" s="13"/>
      <c r="E398" s="12"/>
      <c r="F398" s="11"/>
      <c r="G398" s="14"/>
      <c r="H398" s="14"/>
      <c r="I398" s="14"/>
      <c r="J398" s="14"/>
      <c r="K398" s="14"/>
      <c r="L398" s="14"/>
      <c r="M398" s="14"/>
      <c r="N398" s="14">
        <f>SUM(N395:N397)</f>
        <v>6048</v>
      </c>
    </row>
    <row r="399" customFormat="1" ht="64" customHeight="1" spans="1:14">
      <c r="A399" s="4">
        <v>262</v>
      </c>
      <c r="B399" s="4" t="s">
        <v>1468</v>
      </c>
      <c r="C399" s="4" t="s">
        <v>1166</v>
      </c>
      <c r="D399" s="8" t="s">
        <v>1167</v>
      </c>
      <c r="E399" s="4" t="s">
        <v>55</v>
      </c>
      <c r="F399" s="4">
        <v>1</v>
      </c>
      <c r="G399" s="9">
        <v>1054.68</v>
      </c>
      <c r="H399" s="9">
        <v>87.89</v>
      </c>
      <c r="I399" s="9">
        <v>35.16</v>
      </c>
      <c r="J399" s="9">
        <v>263.67</v>
      </c>
      <c r="K399" s="9">
        <v>123.05</v>
      </c>
      <c r="L399" s="9">
        <v>193.36</v>
      </c>
      <c r="M399" s="9">
        <v>158.2</v>
      </c>
      <c r="N399" s="15">
        <f t="shared" si="13"/>
        <v>1916.01</v>
      </c>
    </row>
    <row r="400" customFormat="1" ht="60" customHeight="1" spans="1:14">
      <c r="A400" s="4">
        <v>263</v>
      </c>
      <c r="B400" s="4" t="s">
        <v>1469</v>
      </c>
      <c r="C400" s="4" t="s">
        <v>1169</v>
      </c>
      <c r="D400" s="8" t="s">
        <v>1170</v>
      </c>
      <c r="E400" s="4" t="s">
        <v>55</v>
      </c>
      <c r="F400" s="4">
        <v>1</v>
      </c>
      <c r="G400" s="9">
        <v>1030.46</v>
      </c>
      <c r="H400" s="9">
        <v>39.63</v>
      </c>
      <c r="I400" s="9">
        <v>13.21</v>
      </c>
      <c r="J400" s="9">
        <v>52.84</v>
      </c>
      <c r="K400" s="9">
        <v>39.63</v>
      </c>
      <c r="L400" s="9">
        <v>145.32</v>
      </c>
      <c r="M400" s="9">
        <v>118.9</v>
      </c>
      <c r="N400" s="15">
        <f t="shared" si="13"/>
        <v>1439.99</v>
      </c>
    </row>
    <row r="401" customFormat="1" ht="65" customHeight="1" spans="1:14">
      <c r="A401" s="4">
        <v>264</v>
      </c>
      <c r="B401" s="4" t="s">
        <v>1470</v>
      </c>
      <c r="C401" s="4" t="s">
        <v>1172</v>
      </c>
      <c r="D401" s="8" t="s">
        <v>1173</v>
      </c>
      <c r="E401" s="4" t="s">
        <v>55</v>
      </c>
      <c r="F401" s="4">
        <v>1</v>
      </c>
      <c r="G401" s="9">
        <v>465.14</v>
      </c>
      <c r="H401" s="9">
        <v>17.89</v>
      </c>
      <c r="I401" s="9">
        <v>5.96</v>
      </c>
      <c r="J401" s="9">
        <v>23.85</v>
      </c>
      <c r="K401" s="9">
        <v>17.89</v>
      </c>
      <c r="L401" s="9">
        <v>65.6</v>
      </c>
      <c r="M401" s="9">
        <v>53.67</v>
      </c>
      <c r="N401" s="15">
        <f t="shared" si="13"/>
        <v>650</v>
      </c>
    </row>
    <row r="402" customFormat="1" ht="25" customHeight="1" spans="1:14">
      <c r="A402" s="11" t="s">
        <v>50</v>
      </c>
      <c r="B402" s="12"/>
      <c r="C402" s="11"/>
      <c r="D402" s="13"/>
      <c r="E402" s="12"/>
      <c r="F402" s="11"/>
      <c r="G402" s="14"/>
      <c r="H402" s="14"/>
      <c r="I402" s="14"/>
      <c r="J402" s="14"/>
      <c r="K402" s="14"/>
      <c r="L402" s="14"/>
      <c r="M402" s="14"/>
      <c r="N402" s="14">
        <f>SUM(N399:N401)</f>
        <v>4006</v>
      </c>
    </row>
    <row r="403" customFormat="1" ht="45" customHeight="1" spans="1:14">
      <c r="A403" s="4">
        <v>265</v>
      </c>
      <c r="B403" s="4" t="s">
        <v>1471</v>
      </c>
      <c r="C403" s="4" t="s">
        <v>1175</v>
      </c>
      <c r="D403" s="8" t="s">
        <v>1176</v>
      </c>
      <c r="E403" s="4" t="s">
        <v>93</v>
      </c>
      <c r="F403" s="4">
        <v>4</v>
      </c>
      <c r="G403" s="9">
        <v>801.47</v>
      </c>
      <c r="H403" s="9">
        <v>30.83</v>
      </c>
      <c r="I403" s="9">
        <v>10.28</v>
      </c>
      <c r="J403" s="9">
        <v>41.1</v>
      </c>
      <c r="K403" s="9">
        <v>30.83</v>
      </c>
      <c r="L403" s="9">
        <v>113.03</v>
      </c>
      <c r="M403" s="9">
        <v>92.48</v>
      </c>
      <c r="N403" s="15">
        <f t="shared" si="13"/>
        <v>1120.02</v>
      </c>
    </row>
    <row r="404" customFormat="1" ht="83" customHeight="1" spans="1:14">
      <c r="A404" s="4">
        <v>266</v>
      </c>
      <c r="B404" s="4" t="s">
        <v>1472</v>
      </c>
      <c r="C404" s="4" t="s">
        <v>1178</v>
      </c>
      <c r="D404" s="8" t="s">
        <v>1328</v>
      </c>
      <c r="E404" s="4" t="s">
        <v>55</v>
      </c>
      <c r="F404" s="4">
        <v>4</v>
      </c>
      <c r="G404" s="9">
        <v>7838.53</v>
      </c>
      <c r="H404" s="9">
        <v>653.21</v>
      </c>
      <c r="I404" s="9">
        <v>261.28</v>
      </c>
      <c r="J404" s="9">
        <v>1959.63</v>
      </c>
      <c r="K404" s="9">
        <v>914.5</v>
      </c>
      <c r="L404" s="9">
        <v>1437.06</v>
      </c>
      <c r="M404" s="9">
        <v>1175.78</v>
      </c>
      <c r="N404" s="15">
        <f t="shared" si="13"/>
        <v>14239.99</v>
      </c>
    </row>
    <row r="405" customFormat="1" ht="25" customHeight="1" spans="1:14">
      <c r="A405" s="11" t="s">
        <v>50</v>
      </c>
      <c r="B405" s="12"/>
      <c r="C405" s="11"/>
      <c r="D405" s="13"/>
      <c r="E405" s="12"/>
      <c r="F405" s="11"/>
      <c r="G405" s="14"/>
      <c r="H405" s="14"/>
      <c r="I405" s="14"/>
      <c r="J405" s="14"/>
      <c r="K405" s="14"/>
      <c r="L405" s="14"/>
      <c r="M405" s="14"/>
      <c r="N405" s="14">
        <f>SUM(N403:N404)</f>
        <v>15360.01</v>
      </c>
    </row>
    <row r="406" customFormat="1" ht="102" customHeight="1" spans="1:14">
      <c r="A406" s="4">
        <v>267</v>
      </c>
      <c r="B406" s="4" t="s">
        <v>1473</v>
      </c>
      <c r="C406" s="4" t="s">
        <v>1181</v>
      </c>
      <c r="D406" s="8" t="s">
        <v>1182</v>
      </c>
      <c r="E406" s="4" t="s">
        <v>55</v>
      </c>
      <c r="F406" s="4">
        <v>2</v>
      </c>
      <c r="G406" s="9">
        <v>5719.05</v>
      </c>
      <c r="H406" s="9">
        <v>219.96</v>
      </c>
      <c r="I406" s="9">
        <v>73.32</v>
      </c>
      <c r="J406" s="9">
        <v>293.28</v>
      </c>
      <c r="K406" s="9">
        <v>219.96</v>
      </c>
      <c r="L406" s="9">
        <v>806.53</v>
      </c>
      <c r="M406" s="9">
        <v>659.89</v>
      </c>
      <c r="N406" s="15">
        <f t="shared" si="13"/>
        <v>7991.99</v>
      </c>
    </row>
    <row r="407" customFormat="1" ht="116" customHeight="1" spans="1:14">
      <c r="A407" s="4">
        <v>268</v>
      </c>
      <c r="B407" s="4" t="s">
        <v>1474</v>
      </c>
      <c r="C407" s="4" t="s">
        <v>1055</v>
      </c>
      <c r="D407" s="8" t="s">
        <v>1184</v>
      </c>
      <c r="E407" s="4" t="s">
        <v>55</v>
      </c>
      <c r="F407" s="4">
        <v>1</v>
      </c>
      <c r="G407" s="9">
        <v>3005.5</v>
      </c>
      <c r="H407" s="9">
        <v>115.6</v>
      </c>
      <c r="I407" s="9">
        <v>38.53</v>
      </c>
      <c r="J407" s="9">
        <v>154.13</v>
      </c>
      <c r="K407" s="9">
        <v>115.6</v>
      </c>
      <c r="L407" s="9">
        <v>423.85</v>
      </c>
      <c r="M407" s="9">
        <v>346.79</v>
      </c>
      <c r="N407" s="15">
        <f t="shared" si="13"/>
        <v>4200</v>
      </c>
    </row>
    <row r="408" customFormat="1" ht="25" customHeight="1" spans="1:14">
      <c r="A408" s="11" t="s">
        <v>50</v>
      </c>
      <c r="B408" s="12"/>
      <c r="C408" s="11"/>
      <c r="D408" s="13"/>
      <c r="E408" s="12"/>
      <c r="F408" s="11"/>
      <c r="G408" s="14"/>
      <c r="H408" s="14"/>
      <c r="I408" s="14"/>
      <c r="J408" s="14"/>
      <c r="K408" s="14"/>
      <c r="L408" s="14"/>
      <c r="M408" s="14"/>
      <c r="N408" s="14">
        <f>SUM(N406:N407)</f>
        <v>12191.99</v>
      </c>
    </row>
    <row r="409" customFormat="1" ht="71" customHeight="1" spans="1:14">
      <c r="A409" s="4">
        <v>269</v>
      </c>
      <c r="B409" s="4" t="s">
        <v>1475</v>
      </c>
      <c r="C409" s="4" t="s">
        <v>1085</v>
      </c>
      <c r="D409" s="8" t="s">
        <v>1086</v>
      </c>
      <c r="E409" s="4" t="s">
        <v>55</v>
      </c>
      <c r="F409" s="4">
        <v>1</v>
      </c>
      <c r="G409" s="9">
        <v>5014.9</v>
      </c>
      <c r="H409" s="9">
        <v>192.88</v>
      </c>
      <c r="I409" s="9">
        <v>64.29</v>
      </c>
      <c r="J409" s="9">
        <v>257.17</v>
      </c>
      <c r="K409" s="9">
        <v>192.88</v>
      </c>
      <c r="L409" s="9">
        <v>707.23</v>
      </c>
      <c r="M409" s="9">
        <v>578.64</v>
      </c>
      <c r="N409" s="15">
        <f t="shared" si="13"/>
        <v>7007.99</v>
      </c>
    </row>
    <row r="410" customFormat="1" ht="103" customHeight="1" spans="1:14">
      <c r="A410" s="4">
        <v>270</v>
      </c>
      <c r="B410" s="4" t="s">
        <v>1476</v>
      </c>
      <c r="C410" s="4" t="s">
        <v>1088</v>
      </c>
      <c r="D410" s="8" t="s">
        <v>1089</v>
      </c>
      <c r="E410" s="4" t="s">
        <v>55</v>
      </c>
      <c r="F410" s="4">
        <v>20</v>
      </c>
      <c r="G410" s="9">
        <v>13166.97</v>
      </c>
      <c r="H410" s="9">
        <v>506.42</v>
      </c>
      <c r="I410" s="9">
        <v>168.81</v>
      </c>
      <c r="J410" s="9">
        <v>675.23</v>
      </c>
      <c r="K410" s="9">
        <v>506.42</v>
      </c>
      <c r="L410" s="9">
        <v>1856.88</v>
      </c>
      <c r="M410" s="9">
        <v>1519.27</v>
      </c>
      <c r="N410" s="15">
        <f t="shared" si="13"/>
        <v>18400</v>
      </c>
    </row>
    <row r="411" customFormat="1" ht="25" customHeight="1" spans="1:14">
      <c r="A411" s="11" t="s">
        <v>50</v>
      </c>
      <c r="B411" s="12"/>
      <c r="C411" s="11"/>
      <c r="D411" s="13"/>
      <c r="E411" s="12"/>
      <c r="F411" s="11"/>
      <c r="G411" s="14"/>
      <c r="H411" s="14"/>
      <c r="I411" s="14"/>
      <c r="J411" s="14"/>
      <c r="K411" s="14"/>
      <c r="L411" s="14"/>
      <c r="M411" s="14"/>
      <c r="N411" s="14">
        <f>SUM(N409:N410)</f>
        <v>25407.99</v>
      </c>
    </row>
    <row r="412" customFormat="1" ht="91" customHeight="1" spans="1:14">
      <c r="A412" s="4">
        <v>271</v>
      </c>
      <c r="B412" s="4" t="s">
        <v>1477</v>
      </c>
      <c r="C412" s="4" t="s">
        <v>1188</v>
      </c>
      <c r="D412" s="8" t="s">
        <v>1189</v>
      </c>
      <c r="E412" s="4" t="s">
        <v>55</v>
      </c>
      <c r="F412" s="4">
        <v>20</v>
      </c>
      <c r="G412" s="9">
        <v>17174.31</v>
      </c>
      <c r="H412" s="9">
        <v>660.55</v>
      </c>
      <c r="I412" s="9">
        <v>220.18</v>
      </c>
      <c r="J412" s="9">
        <v>880.73</v>
      </c>
      <c r="K412" s="9">
        <v>660.55</v>
      </c>
      <c r="L412" s="9">
        <v>2422.02</v>
      </c>
      <c r="M412" s="9">
        <v>1981.65</v>
      </c>
      <c r="N412" s="15">
        <f t="shared" si="13"/>
        <v>23999.99</v>
      </c>
    </row>
    <row r="413" customFormat="1" ht="76" customHeight="1" spans="1:14">
      <c r="A413" s="4">
        <v>272</v>
      </c>
      <c r="B413" s="4" t="s">
        <v>1478</v>
      </c>
      <c r="C413" s="4" t="s">
        <v>1194</v>
      </c>
      <c r="D413" s="8" t="s">
        <v>1195</v>
      </c>
      <c r="E413" s="4" t="s">
        <v>55</v>
      </c>
      <c r="F413" s="4">
        <v>1</v>
      </c>
      <c r="G413" s="9">
        <v>2998.17</v>
      </c>
      <c r="H413" s="9">
        <v>788.99</v>
      </c>
      <c r="I413" s="9">
        <v>394.5</v>
      </c>
      <c r="J413" s="9">
        <v>2209.17</v>
      </c>
      <c r="K413" s="9">
        <v>631.19</v>
      </c>
      <c r="L413" s="9">
        <v>867.89</v>
      </c>
      <c r="M413" s="9">
        <v>710.09</v>
      </c>
      <c r="N413" s="15">
        <f t="shared" si="13"/>
        <v>8600</v>
      </c>
    </row>
    <row r="414" customFormat="1" ht="25" customHeight="1" spans="1:14">
      <c r="A414" s="11" t="s">
        <v>50</v>
      </c>
      <c r="B414" s="12"/>
      <c r="C414" s="11"/>
      <c r="D414" s="13"/>
      <c r="E414" s="12"/>
      <c r="F414" s="11"/>
      <c r="G414" s="14"/>
      <c r="H414" s="14"/>
      <c r="I414" s="14"/>
      <c r="J414" s="14"/>
      <c r="K414" s="14"/>
      <c r="L414" s="14"/>
      <c r="M414" s="14"/>
      <c r="N414" s="14">
        <f>SUM(N412:N413)</f>
        <v>32599.99</v>
      </c>
    </row>
    <row r="415" customFormat="1" ht="74" customHeight="1" spans="1:14">
      <c r="A415" s="4">
        <v>273</v>
      </c>
      <c r="B415" s="4" t="s">
        <v>1479</v>
      </c>
      <c r="C415" s="4" t="s">
        <v>1452</v>
      </c>
      <c r="D415" s="8" t="s">
        <v>1453</v>
      </c>
      <c r="E415" s="4" t="s">
        <v>55</v>
      </c>
      <c r="F415" s="4">
        <v>2</v>
      </c>
      <c r="G415" s="9">
        <v>3137.61</v>
      </c>
      <c r="H415" s="9">
        <v>825.69</v>
      </c>
      <c r="I415" s="9">
        <v>412.84</v>
      </c>
      <c r="J415" s="9">
        <v>2311.93</v>
      </c>
      <c r="K415" s="9">
        <v>660.55</v>
      </c>
      <c r="L415" s="9">
        <v>908.26</v>
      </c>
      <c r="M415" s="9">
        <v>743.12</v>
      </c>
      <c r="N415" s="15">
        <f t="shared" si="13"/>
        <v>9000</v>
      </c>
    </row>
    <row r="416" customFormat="1" ht="109" customHeight="1" spans="1:14">
      <c r="A416" s="4">
        <v>274</v>
      </c>
      <c r="B416" s="4" t="s">
        <v>1480</v>
      </c>
      <c r="C416" s="4" t="s">
        <v>1197</v>
      </c>
      <c r="D416" s="8" t="s">
        <v>1198</v>
      </c>
      <c r="E416" s="4" t="s">
        <v>55</v>
      </c>
      <c r="F416" s="4">
        <v>1</v>
      </c>
      <c r="G416" s="9">
        <v>6583.49</v>
      </c>
      <c r="H416" s="9">
        <v>253.21</v>
      </c>
      <c r="I416" s="9">
        <v>84.4</v>
      </c>
      <c r="J416" s="9">
        <v>337.61</v>
      </c>
      <c r="K416" s="9">
        <v>253.21</v>
      </c>
      <c r="L416" s="9">
        <v>928.44</v>
      </c>
      <c r="M416" s="9">
        <v>759.63</v>
      </c>
      <c r="N416" s="15">
        <f t="shared" si="13"/>
        <v>9199.99</v>
      </c>
    </row>
    <row r="417" customFormat="1" ht="25" customHeight="1" spans="1:14">
      <c r="A417" s="11" t="s">
        <v>50</v>
      </c>
      <c r="B417" s="12"/>
      <c r="C417" s="11"/>
      <c r="D417" s="13"/>
      <c r="E417" s="12"/>
      <c r="F417" s="11"/>
      <c r="G417" s="14"/>
      <c r="H417" s="14"/>
      <c r="I417" s="14"/>
      <c r="J417" s="14"/>
      <c r="K417" s="14"/>
      <c r="L417" s="14"/>
      <c r="M417" s="14"/>
      <c r="N417" s="14">
        <f>SUM(N415:N416)</f>
        <v>18199.99</v>
      </c>
    </row>
    <row r="418" customFormat="1" ht="64" customHeight="1" spans="1:14">
      <c r="A418" s="4">
        <v>275</v>
      </c>
      <c r="B418" s="4" t="s">
        <v>1481</v>
      </c>
      <c r="C418" s="4" t="s">
        <v>1109</v>
      </c>
      <c r="D418" s="8" t="s">
        <v>1110</v>
      </c>
      <c r="E418" s="4" t="s">
        <v>55</v>
      </c>
      <c r="F418" s="4">
        <v>1</v>
      </c>
      <c r="G418" s="9">
        <v>858.72</v>
      </c>
      <c r="H418" s="9">
        <v>33.03</v>
      </c>
      <c r="I418" s="9">
        <v>11.01</v>
      </c>
      <c r="J418" s="9">
        <v>44.04</v>
      </c>
      <c r="K418" s="9">
        <v>33.03</v>
      </c>
      <c r="L418" s="9">
        <v>121.1</v>
      </c>
      <c r="M418" s="9">
        <v>99.08</v>
      </c>
      <c r="N418" s="15">
        <f t="shared" si="13"/>
        <v>1200.01</v>
      </c>
    </row>
    <row r="419" customFormat="1" ht="25" customHeight="1" spans="1:14">
      <c r="A419" s="11" t="s">
        <v>50</v>
      </c>
      <c r="B419" s="12"/>
      <c r="C419" s="11"/>
      <c r="D419" s="13"/>
      <c r="E419" s="12"/>
      <c r="F419" s="11"/>
      <c r="G419" s="14"/>
      <c r="H419" s="14"/>
      <c r="I419" s="14"/>
      <c r="J419" s="14"/>
      <c r="K419" s="14"/>
      <c r="L419" s="14"/>
      <c r="M419" s="14"/>
      <c r="N419" s="14">
        <f t="shared" ref="N419:N423" si="14">N418</f>
        <v>1200.01</v>
      </c>
    </row>
    <row r="420" customFormat="1" ht="174" customHeight="1" spans="1:14">
      <c r="A420" s="4">
        <v>276</v>
      </c>
      <c r="B420" s="4" t="s">
        <v>1482</v>
      </c>
      <c r="C420" s="4" t="s">
        <v>1112</v>
      </c>
      <c r="D420" s="8" t="s">
        <v>1113</v>
      </c>
      <c r="E420" s="4" t="s">
        <v>55</v>
      </c>
      <c r="F420" s="4">
        <v>8</v>
      </c>
      <c r="G420" s="9">
        <v>16945.32</v>
      </c>
      <c r="H420" s="9">
        <v>651.74</v>
      </c>
      <c r="I420" s="9">
        <v>217.25</v>
      </c>
      <c r="J420" s="9">
        <v>868.99</v>
      </c>
      <c r="K420" s="9">
        <v>651.74</v>
      </c>
      <c r="L420" s="9">
        <v>2389.72</v>
      </c>
      <c r="M420" s="9">
        <v>1955.23</v>
      </c>
      <c r="N420" s="15">
        <f t="shared" si="13"/>
        <v>23679.99</v>
      </c>
    </row>
    <row r="421" customFormat="1" ht="25" customHeight="1" spans="1:14">
      <c r="A421" s="11" t="s">
        <v>50</v>
      </c>
      <c r="B421" s="12"/>
      <c r="C421" s="11"/>
      <c r="D421" s="13"/>
      <c r="E421" s="12"/>
      <c r="F421" s="11"/>
      <c r="G421" s="14"/>
      <c r="H421" s="14"/>
      <c r="I421" s="14"/>
      <c r="J421" s="14"/>
      <c r="K421" s="14"/>
      <c r="L421" s="14"/>
      <c r="M421" s="14"/>
      <c r="N421" s="14">
        <f t="shared" si="14"/>
        <v>23679.99</v>
      </c>
    </row>
    <row r="422" customFormat="1" ht="174" customHeight="1" spans="1:14">
      <c r="A422" s="4">
        <v>277</v>
      </c>
      <c r="B422" s="4" t="s">
        <v>1483</v>
      </c>
      <c r="C422" s="4" t="s">
        <v>1115</v>
      </c>
      <c r="D422" s="8" t="s">
        <v>1116</v>
      </c>
      <c r="E422" s="4" t="s">
        <v>55</v>
      </c>
      <c r="F422" s="4">
        <v>10</v>
      </c>
      <c r="G422" s="9">
        <v>21181.65</v>
      </c>
      <c r="H422" s="9">
        <v>814.68</v>
      </c>
      <c r="I422" s="9">
        <v>271.56</v>
      </c>
      <c r="J422" s="9">
        <v>1086.24</v>
      </c>
      <c r="K422" s="9">
        <v>814.68</v>
      </c>
      <c r="L422" s="9">
        <v>2987.16</v>
      </c>
      <c r="M422" s="9">
        <v>2444.04</v>
      </c>
      <c r="N422" s="15">
        <f t="shared" si="13"/>
        <v>29600.01</v>
      </c>
    </row>
    <row r="423" customFormat="1" ht="25" customHeight="1" spans="1:14">
      <c r="A423" s="11" t="s">
        <v>50</v>
      </c>
      <c r="B423" s="12"/>
      <c r="C423" s="11"/>
      <c r="D423" s="13"/>
      <c r="E423" s="12"/>
      <c r="F423" s="11"/>
      <c r="G423" s="14"/>
      <c r="H423" s="14"/>
      <c r="I423" s="14"/>
      <c r="J423" s="14"/>
      <c r="K423" s="14"/>
      <c r="L423" s="14"/>
      <c r="M423" s="14"/>
      <c r="N423" s="14">
        <f t="shared" si="14"/>
        <v>29600.01</v>
      </c>
    </row>
    <row r="424" customFormat="1" ht="104" customHeight="1" spans="1:14">
      <c r="A424" s="4">
        <v>278</v>
      </c>
      <c r="B424" s="4" t="s">
        <v>1484</v>
      </c>
      <c r="C424" s="4" t="s">
        <v>1121</v>
      </c>
      <c r="D424" s="8" t="s">
        <v>1122</v>
      </c>
      <c r="E424" s="4" t="s">
        <v>55</v>
      </c>
      <c r="F424" s="4">
        <v>1</v>
      </c>
      <c r="G424" s="9">
        <v>2747.89</v>
      </c>
      <c r="H424" s="9">
        <v>105.69</v>
      </c>
      <c r="I424" s="9">
        <v>35.23</v>
      </c>
      <c r="J424" s="9">
        <v>140.92</v>
      </c>
      <c r="K424" s="9">
        <v>105.69</v>
      </c>
      <c r="L424" s="9">
        <v>387.52</v>
      </c>
      <c r="M424" s="9">
        <v>317.06</v>
      </c>
      <c r="N424" s="15">
        <f t="shared" si="13"/>
        <v>3840</v>
      </c>
    </row>
    <row r="425" customFormat="1" ht="25" customHeight="1" spans="1:14">
      <c r="A425" s="11" t="s">
        <v>50</v>
      </c>
      <c r="B425" s="12"/>
      <c r="C425" s="11"/>
      <c r="D425" s="13"/>
      <c r="E425" s="12"/>
      <c r="F425" s="11"/>
      <c r="G425" s="14"/>
      <c r="H425" s="14"/>
      <c r="I425" s="14"/>
      <c r="J425" s="14"/>
      <c r="K425" s="14"/>
      <c r="L425" s="14"/>
      <c r="M425" s="14"/>
      <c r="N425" s="14">
        <f>N424</f>
        <v>3840</v>
      </c>
    </row>
    <row r="426" customFormat="1" ht="178" customHeight="1" spans="1:14">
      <c r="A426" s="4">
        <v>279</v>
      </c>
      <c r="B426" s="4" t="s">
        <v>1485</v>
      </c>
      <c r="C426" s="4" t="s">
        <v>1127</v>
      </c>
      <c r="D426" s="8" t="s">
        <v>1128</v>
      </c>
      <c r="E426" s="4" t="s">
        <v>55</v>
      </c>
      <c r="F426" s="4">
        <v>1</v>
      </c>
      <c r="G426" s="9">
        <v>7556.7</v>
      </c>
      <c r="H426" s="9">
        <v>290.64</v>
      </c>
      <c r="I426" s="9">
        <v>96.88</v>
      </c>
      <c r="J426" s="9">
        <v>387.52</v>
      </c>
      <c r="K426" s="9">
        <v>290.64</v>
      </c>
      <c r="L426" s="9">
        <v>1065.69</v>
      </c>
      <c r="M426" s="9">
        <v>871.93</v>
      </c>
      <c r="N426" s="15">
        <f t="shared" si="13"/>
        <v>10560</v>
      </c>
    </row>
    <row r="427" customFormat="1" ht="25" customHeight="1" spans="1:14">
      <c r="A427" s="11" t="s">
        <v>50</v>
      </c>
      <c r="B427" s="12"/>
      <c r="C427" s="11"/>
      <c r="D427" s="13"/>
      <c r="E427" s="12"/>
      <c r="F427" s="11"/>
      <c r="G427" s="14"/>
      <c r="H427" s="14"/>
      <c r="I427" s="14"/>
      <c r="J427" s="14"/>
      <c r="K427" s="14"/>
      <c r="L427" s="14"/>
      <c r="M427" s="14"/>
      <c r="N427" s="14">
        <f>N426</f>
        <v>10560</v>
      </c>
    </row>
    <row r="428" customFormat="1" ht="124" customHeight="1" spans="1:14">
      <c r="A428" s="4">
        <v>280</v>
      </c>
      <c r="B428" s="4" t="s">
        <v>1486</v>
      </c>
      <c r="C428" s="4" t="s">
        <v>1205</v>
      </c>
      <c r="D428" s="8" t="s">
        <v>1355</v>
      </c>
      <c r="E428" s="4" t="s">
        <v>55</v>
      </c>
      <c r="F428" s="4">
        <v>3</v>
      </c>
      <c r="G428" s="9">
        <v>9445.87</v>
      </c>
      <c r="H428" s="9">
        <v>363.3</v>
      </c>
      <c r="I428" s="9">
        <v>121.1</v>
      </c>
      <c r="J428" s="9">
        <v>484.4</v>
      </c>
      <c r="K428" s="9">
        <v>363.3</v>
      </c>
      <c r="L428" s="9">
        <v>1332.11</v>
      </c>
      <c r="M428" s="9">
        <v>1089.91</v>
      </c>
      <c r="N428" s="15">
        <f t="shared" si="13"/>
        <v>13199.99</v>
      </c>
    </row>
    <row r="429" customFormat="1" ht="45" customHeight="1" spans="1:14">
      <c r="A429" s="4">
        <v>281</v>
      </c>
      <c r="B429" s="4" t="s">
        <v>1487</v>
      </c>
      <c r="C429" s="4" t="s">
        <v>1136</v>
      </c>
      <c r="D429" s="8" t="s">
        <v>1137</v>
      </c>
      <c r="E429" s="4" t="s">
        <v>55</v>
      </c>
      <c r="F429" s="4">
        <v>3</v>
      </c>
      <c r="G429" s="9">
        <v>94.13</v>
      </c>
      <c r="H429" s="9">
        <v>24.77</v>
      </c>
      <c r="I429" s="9">
        <v>12.39</v>
      </c>
      <c r="J429" s="9">
        <v>69.36</v>
      </c>
      <c r="K429" s="9">
        <v>19.82</v>
      </c>
      <c r="L429" s="9">
        <v>27.25</v>
      </c>
      <c r="M429" s="9">
        <v>22.29</v>
      </c>
      <c r="N429" s="15">
        <f t="shared" si="13"/>
        <v>270.01</v>
      </c>
    </row>
    <row r="430" customFormat="1" ht="25" customHeight="1" spans="1:14">
      <c r="A430" s="11" t="s">
        <v>50</v>
      </c>
      <c r="B430" s="12"/>
      <c r="C430" s="11"/>
      <c r="D430" s="13"/>
      <c r="E430" s="12"/>
      <c r="F430" s="11"/>
      <c r="G430" s="14"/>
      <c r="H430" s="14"/>
      <c r="I430" s="14"/>
      <c r="J430" s="14"/>
      <c r="K430" s="14"/>
      <c r="L430" s="14"/>
      <c r="M430" s="14"/>
      <c r="N430" s="14">
        <f>SUM(N428:N429)</f>
        <v>13470</v>
      </c>
    </row>
    <row r="431" customFormat="1" ht="91" customHeight="1" spans="1:14">
      <c r="A431" s="4">
        <v>282</v>
      </c>
      <c r="B431" s="4" t="s">
        <v>1488</v>
      </c>
      <c r="C431" s="4" t="s">
        <v>1145</v>
      </c>
      <c r="D431" s="8" t="s">
        <v>1146</v>
      </c>
      <c r="E431" s="4" t="s">
        <v>55</v>
      </c>
      <c r="F431" s="4">
        <v>1</v>
      </c>
      <c r="G431" s="9">
        <v>5638.9</v>
      </c>
      <c r="H431" s="9">
        <v>216.88</v>
      </c>
      <c r="I431" s="9">
        <v>72.29</v>
      </c>
      <c r="J431" s="9">
        <v>289.17</v>
      </c>
      <c r="K431" s="9">
        <v>216.88</v>
      </c>
      <c r="L431" s="9">
        <v>795.23</v>
      </c>
      <c r="M431" s="9">
        <v>650.64</v>
      </c>
      <c r="N431" s="15">
        <f t="shared" si="13"/>
        <v>7879.99</v>
      </c>
    </row>
    <row r="432" customFormat="1" ht="45" customHeight="1" spans="1:14">
      <c r="A432" s="4">
        <v>283</v>
      </c>
      <c r="B432" s="4" t="s">
        <v>1489</v>
      </c>
      <c r="C432" s="4" t="s">
        <v>1148</v>
      </c>
      <c r="D432" s="8" t="s">
        <v>1149</v>
      </c>
      <c r="E432" s="4" t="s">
        <v>248</v>
      </c>
      <c r="F432" s="4">
        <v>1</v>
      </c>
      <c r="G432" s="9">
        <v>306.79</v>
      </c>
      <c r="H432" s="9">
        <v>80.73</v>
      </c>
      <c r="I432" s="9">
        <v>40.37</v>
      </c>
      <c r="J432" s="9">
        <v>226.06</v>
      </c>
      <c r="K432" s="9">
        <v>64.59</v>
      </c>
      <c r="L432" s="9">
        <v>88.81</v>
      </c>
      <c r="M432" s="9">
        <v>72.66</v>
      </c>
      <c r="N432" s="15">
        <f t="shared" si="13"/>
        <v>880.01</v>
      </c>
    </row>
    <row r="433" customFormat="1" ht="69" customHeight="1" spans="1:14">
      <c r="A433" s="4">
        <v>284</v>
      </c>
      <c r="B433" s="4" t="s">
        <v>1490</v>
      </c>
      <c r="C433" s="4" t="s">
        <v>1151</v>
      </c>
      <c r="D433" s="8" t="s">
        <v>1152</v>
      </c>
      <c r="E433" s="4" t="s">
        <v>55</v>
      </c>
      <c r="F433" s="4">
        <v>1</v>
      </c>
      <c r="G433" s="9">
        <v>2719.27</v>
      </c>
      <c r="H433" s="9">
        <v>104.59</v>
      </c>
      <c r="I433" s="9">
        <v>34.86</v>
      </c>
      <c r="J433" s="9">
        <v>139.45</v>
      </c>
      <c r="K433" s="9">
        <v>104.59</v>
      </c>
      <c r="L433" s="9">
        <v>383.49</v>
      </c>
      <c r="M433" s="9">
        <v>313.76</v>
      </c>
      <c r="N433" s="15">
        <f t="shared" si="13"/>
        <v>3800.01</v>
      </c>
    </row>
    <row r="434" customFormat="1" ht="25" customHeight="1" spans="1:14">
      <c r="A434" s="11" t="s">
        <v>50</v>
      </c>
      <c r="B434" s="12"/>
      <c r="C434" s="11"/>
      <c r="D434" s="13"/>
      <c r="E434" s="12"/>
      <c r="F434" s="11"/>
      <c r="G434" s="14"/>
      <c r="H434" s="14"/>
      <c r="I434" s="14"/>
      <c r="J434" s="14"/>
      <c r="K434" s="14"/>
      <c r="L434" s="14"/>
      <c r="M434" s="14"/>
      <c r="N434" s="14">
        <f>SUM(N431:N433)</f>
        <v>12560.01</v>
      </c>
    </row>
    <row r="435" customFormat="1" ht="45" customHeight="1" spans="1:14">
      <c r="A435" s="4">
        <v>285</v>
      </c>
      <c r="B435" s="4" t="s">
        <v>1491</v>
      </c>
      <c r="C435" s="4" t="s">
        <v>1154</v>
      </c>
      <c r="D435" s="8" t="s">
        <v>1155</v>
      </c>
      <c r="E435" s="4" t="s">
        <v>55</v>
      </c>
      <c r="F435" s="4">
        <v>1</v>
      </c>
      <c r="G435" s="9">
        <v>1981.65</v>
      </c>
      <c r="H435" s="9">
        <v>165.14</v>
      </c>
      <c r="I435" s="9">
        <v>66.06</v>
      </c>
      <c r="J435" s="9">
        <v>495.41</v>
      </c>
      <c r="K435" s="9">
        <v>231.19</v>
      </c>
      <c r="L435" s="9">
        <v>363.3</v>
      </c>
      <c r="M435" s="9">
        <v>297.25</v>
      </c>
      <c r="N435" s="15">
        <f t="shared" si="13"/>
        <v>3600</v>
      </c>
    </row>
    <row r="436" customFormat="1" ht="74" customHeight="1" spans="1:14">
      <c r="A436" s="4">
        <v>286</v>
      </c>
      <c r="B436" s="4" t="s">
        <v>1492</v>
      </c>
      <c r="C436" s="4" t="s">
        <v>1157</v>
      </c>
      <c r="D436" s="8" t="s">
        <v>1158</v>
      </c>
      <c r="E436" s="4" t="s">
        <v>55</v>
      </c>
      <c r="F436" s="4">
        <v>1</v>
      </c>
      <c r="G436" s="9">
        <v>378.72</v>
      </c>
      <c r="H436" s="9">
        <v>31.56</v>
      </c>
      <c r="I436" s="9">
        <v>12.62</v>
      </c>
      <c r="J436" s="9">
        <v>94.68</v>
      </c>
      <c r="K436" s="9">
        <v>44.18</v>
      </c>
      <c r="L436" s="9">
        <v>69.43</v>
      </c>
      <c r="M436" s="9">
        <v>56.81</v>
      </c>
      <c r="N436" s="15">
        <f t="shared" si="13"/>
        <v>688</v>
      </c>
    </row>
    <row r="437" customFormat="1" ht="45" customHeight="1" spans="1:14">
      <c r="A437" s="4">
        <v>287</v>
      </c>
      <c r="B437" s="4" t="s">
        <v>1493</v>
      </c>
      <c r="C437" s="4" t="s">
        <v>1163</v>
      </c>
      <c r="D437" s="8" t="s">
        <v>1213</v>
      </c>
      <c r="E437" s="4" t="s">
        <v>55</v>
      </c>
      <c r="F437" s="4">
        <v>1</v>
      </c>
      <c r="G437" s="9">
        <v>1259.45</v>
      </c>
      <c r="H437" s="9">
        <v>48.44</v>
      </c>
      <c r="I437" s="9">
        <v>16.15</v>
      </c>
      <c r="J437" s="9">
        <v>64.59</v>
      </c>
      <c r="K437" s="9">
        <v>48.44</v>
      </c>
      <c r="L437" s="9">
        <v>177.61</v>
      </c>
      <c r="M437" s="9">
        <v>145.32</v>
      </c>
      <c r="N437" s="15">
        <f t="shared" si="13"/>
        <v>1760</v>
      </c>
    </row>
    <row r="438" customFormat="1" ht="25" customHeight="1" spans="1:14">
      <c r="A438" s="11" t="s">
        <v>50</v>
      </c>
      <c r="B438" s="12"/>
      <c r="C438" s="11"/>
      <c r="D438" s="13"/>
      <c r="E438" s="12"/>
      <c r="F438" s="11"/>
      <c r="G438" s="14"/>
      <c r="H438" s="14"/>
      <c r="I438" s="14"/>
      <c r="J438" s="14"/>
      <c r="K438" s="14"/>
      <c r="L438" s="14"/>
      <c r="M438" s="14"/>
      <c r="N438" s="14">
        <f>SUM(N435:N437)</f>
        <v>6048</v>
      </c>
    </row>
    <row r="439" customFormat="1" ht="64" customHeight="1" spans="1:14">
      <c r="A439" s="4">
        <v>288</v>
      </c>
      <c r="B439" s="4" t="s">
        <v>1494</v>
      </c>
      <c r="C439" s="4" t="s">
        <v>1166</v>
      </c>
      <c r="D439" s="8" t="s">
        <v>1167</v>
      </c>
      <c r="E439" s="4" t="s">
        <v>55</v>
      </c>
      <c r="F439" s="4">
        <v>1</v>
      </c>
      <c r="G439" s="9">
        <v>1054.68</v>
      </c>
      <c r="H439" s="9">
        <v>87.89</v>
      </c>
      <c r="I439" s="9">
        <v>35.16</v>
      </c>
      <c r="J439" s="9">
        <v>263.67</v>
      </c>
      <c r="K439" s="9">
        <v>123.05</v>
      </c>
      <c r="L439" s="9">
        <v>193.36</v>
      </c>
      <c r="M439" s="9">
        <v>158.2</v>
      </c>
      <c r="N439" s="15">
        <f t="shared" si="13"/>
        <v>1916.01</v>
      </c>
    </row>
    <row r="440" customFormat="1" ht="60" customHeight="1" spans="1:14">
      <c r="A440" s="4">
        <v>289</v>
      </c>
      <c r="B440" s="4" t="s">
        <v>1495</v>
      </c>
      <c r="C440" s="4" t="s">
        <v>1169</v>
      </c>
      <c r="D440" s="8" t="s">
        <v>1170</v>
      </c>
      <c r="E440" s="4" t="s">
        <v>55</v>
      </c>
      <c r="F440" s="4">
        <v>1</v>
      </c>
      <c r="G440" s="9">
        <v>1288.07</v>
      </c>
      <c r="H440" s="9">
        <v>49.54</v>
      </c>
      <c r="I440" s="9">
        <v>16.51</v>
      </c>
      <c r="J440" s="9">
        <v>66.06</v>
      </c>
      <c r="K440" s="9">
        <v>49.54</v>
      </c>
      <c r="L440" s="9">
        <v>181.65</v>
      </c>
      <c r="M440" s="9">
        <v>148.62</v>
      </c>
      <c r="N440" s="15">
        <f t="shared" si="13"/>
        <v>1799.99</v>
      </c>
    </row>
    <row r="441" customFormat="1" ht="65" customHeight="1" spans="1:14">
      <c r="A441" s="4">
        <v>290</v>
      </c>
      <c r="B441" s="4" t="s">
        <v>1496</v>
      </c>
      <c r="C441" s="4" t="s">
        <v>1172</v>
      </c>
      <c r="D441" s="8" t="s">
        <v>1173</v>
      </c>
      <c r="E441" s="4" t="s">
        <v>55</v>
      </c>
      <c r="F441" s="4">
        <v>1</v>
      </c>
      <c r="G441" s="9">
        <v>465.14</v>
      </c>
      <c r="H441" s="9">
        <v>17.89</v>
      </c>
      <c r="I441" s="9">
        <v>5.96</v>
      </c>
      <c r="J441" s="9">
        <v>23.85</v>
      </c>
      <c r="K441" s="9">
        <v>17.89</v>
      </c>
      <c r="L441" s="9">
        <v>65.6</v>
      </c>
      <c r="M441" s="9">
        <v>53.67</v>
      </c>
      <c r="N441" s="15">
        <f t="shared" si="13"/>
        <v>650</v>
      </c>
    </row>
    <row r="442" customFormat="1" ht="25" customHeight="1" spans="1:14">
      <c r="A442" s="11" t="s">
        <v>50</v>
      </c>
      <c r="B442" s="12"/>
      <c r="C442" s="11"/>
      <c r="D442" s="13"/>
      <c r="E442" s="12"/>
      <c r="F442" s="11"/>
      <c r="G442" s="14"/>
      <c r="H442" s="14"/>
      <c r="I442" s="14"/>
      <c r="J442" s="14"/>
      <c r="K442" s="14"/>
      <c r="L442" s="14"/>
      <c r="M442" s="14"/>
      <c r="N442" s="14">
        <f>SUM(N439:N441)</f>
        <v>4366</v>
      </c>
    </row>
    <row r="443" customFormat="1" ht="45" customHeight="1" spans="1:14">
      <c r="A443" s="4">
        <v>291</v>
      </c>
      <c r="B443" s="4" t="s">
        <v>1497</v>
      </c>
      <c r="C443" s="4" t="s">
        <v>1175</v>
      </c>
      <c r="D443" s="8" t="s">
        <v>1176</v>
      </c>
      <c r="E443" s="4" t="s">
        <v>93</v>
      </c>
      <c r="F443" s="4">
        <v>4</v>
      </c>
      <c r="G443" s="9">
        <v>801.47</v>
      </c>
      <c r="H443" s="9">
        <v>30.83</v>
      </c>
      <c r="I443" s="9">
        <v>10.28</v>
      </c>
      <c r="J443" s="9">
        <v>41.1</v>
      </c>
      <c r="K443" s="9">
        <v>30.83</v>
      </c>
      <c r="L443" s="9">
        <v>113.03</v>
      </c>
      <c r="M443" s="9">
        <v>92.48</v>
      </c>
      <c r="N443" s="15">
        <f t="shared" si="13"/>
        <v>1120.02</v>
      </c>
    </row>
    <row r="444" customFormat="1" ht="79" customHeight="1" spans="1:14">
      <c r="A444" s="4">
        <v>292</v>
      </c>
      <c r="B444" s="4" t="s">
        <v>1498</v>
      </c>
      <c r="C444" s="4" t="s">
        <v>1499</v>
      </c>
      <c r="D444" s="8" t="s">
        <v>1500</v>
      </c>
      <c r="E444" s="4" t="s">
        <v>55</v>
      </c>
      <c r="F444" s="4">
        <v>20</v>
      </c>
      <c r="G444" s="23">
        <v>76482.936</v>
      </c>
      <c r="H444" s="23">
        <v>2941.648</v>
      </c>
      <c r="I444" s="23">
        <v>980.552</v>
      </c>
      <c r="J444" s="23">
        <v>3922.2</v>
      </c>
      <c r="K444" s="23">
        <v>2941.648</v>
      </c>
      <c r="L444" s="23">
        <v>10786.056</v>
      </c>
      <c r="M444" s="23">
        <v>8824.952</v>
      </c>
      <c r="N444" s="23">
        <f t="shared" si="13"/>
        <v>106879.992</v>
      </c>
    </row>
    <row r="445" customFormat="1" ht="25" customHeight="1" spans="1:14">
      <c r="A445" s="11" t="s">
        <v>50</v>
      </c>
      <c r="B445" s="12"/>
      <c r="C445" s="11"/>
      <c r="D445" s="13"/>
      <c r="E445" s="12"/>
      <c r="F445" s="11"/>
      <c r="G445" s="14"/>
      <c r="H445" s="14"/>
      <c r="I445" s="14"/>
      <c r="J445" s="14"/>
      <c r="K445" s="14"/>
      <c r="L445" s="14"/>
      <c r="M445" s="14"/>
      <c r="N445" s="14">
        <f>SUM(N443:N444)</f>
        <v>108000.012</v>
      </c>
    </row>
    <row r="446" customFormat="1" ht="109" customHeight="1" spans="1:14">
      <c r="A446" s="4">
        <v>293</v>
      </c>
      <c r="B446" s="4" t="s">
        <v>1501</v>
      </c>
      <c r="C446" s="4" t="s">
        <v>1502</v>
      </c>
      <c r="D446" s="8" t="s">
        <v>1503</v>
      </c>
      <c r="E446" s="4" t="s">
        <v>55</v>
      </c>
      <c r="F446" s="4">
        <v>20</v>
      </c>
      <c r="G446" s="23">
        <v>12766.238</v>
      </c>
      <c r="H446" s="23">
        <v>491.01</v>
      </c>
      <c r="I446" s="23">
        <v>163.67</v>
      </c>
      <c r="J446" s="23">
        <v>654.678</v>
      </c>
      <c r="K446" s="23">
        <v>491.01</v>
      </c>
      <c r="L446" s="23">
        <v>1800.366</v>
      </c>
      <c r="M446" s="23">
        <v>1473.028</v>
      </c>
      <c r="N446" s="23">
        <f>SUM(G446:M446)</f>
        <v>17840</v>
      </c>
    </row>
    <row r="447" customFormat="1" ht="92" customHeight="1" spans="1:14">
      <c r="A447" s="4">
        <v>294</v>
      </c>
      <c r="B447" s="4" t="s">
        <v>1504</v>
      </c>
      <c r="C447" s="4" t="s">
        <v>1505</v>
      </c>
      <c r="D447" s="8" t="s">
        <v>1506</v>
      </c>
      <c r="E447" s="4" t="s">
        <v>55</v>
      </c>
      <c r="F447" s="4">
        <v>1</v>
      </c>
      <c r="G447" s="9">
        <v>1717.43</v>
      </c>
      <c r="H447" s="9">
        <v>66.06</v>
      </c>
      <c r="I447" s="9">
        <v>22.02</v>
      </c>
      <c r="J447" s="9">
        <v>88.07</v>
      </c>
      <c r="K447" s="9">
        <v>66.06</v>
      </c>
      <c r="L447" s="9">
        <v>242.2</v>
      </c>
      <c r="M447" s="9">
        <v>198.17</v>
      </c>
      <c r="N447" s="15">
        <f>SUM(G447:M447)</f>
        <v>2400.01</v>
      </c>
    </row>
    <row r="448" customFormat="1" ht="25" customHeight="1" spans="1:14">
      <c r="A448" s="11" t="s">
        <v>50</v>
      </c>
      <c r="B448" s="12"/>
      <c r="C448" s="11"/>
      <c r="D448" s="13"/>
      <c r="E448" s="12"/>
      <c r="F448" s="11"/>
      <c r="G448" s="14"/>
      <c r="H448" s="14"/>
      <c r="I448" s="14"/>
      <c r="J448" s="14"/>
      <c r="K448" s="14"/>
      <c r="L448" s="14"/>
      <c r="M448" s="14"/>
      <c r="N448" s="14">
        <f>SUM(N446:N447)</f>
        <v>20240.01</v>
      </c>
    </row>
    <row r="449" customFormat="1" ht="60" customHeight="1" spans="1:14">
      <c r="A449" s="4">
        <v>295</v>
      </c>
      <c r="B449" s="4" t="s">
        <v>1507</v>
      </c>
      <c r="C449" s="4" t="s">
        <v>1508</v>
      </c>
      <c r="D449" s="8" t="s">
        <v>1509</v>
      </c>
      <c r="E449" s="4" t="s">
        <v>55</v>
      </c>
      <c r="F449" s="4">
        <v>1</v>
      </c>
      <c r="G449" s="23">
        <v>2335.704</v>
      </c>
      <c r="H449" s="23">
        <v>89.832</v>
      </c>
      <c r="I449" s="23">
        <v>29.946</v>
      </c>
      <c r="J449" s="23">
        <v>119.778</v>
      </c>
      <c r="K449" s="23">
        <v>89.832</v>
      </c>
      <c r="L449" s="23">
        <v>329.394</v>
      </c>
      <c r="M449" s="23">
        <v>269.502</v>
      </c>
      <c r="N449" s="15">
        <f>SUM(G449:M449)</f>
        <v>3263.988</v>
      </c>
    </row>
    <row r="450" customFormat="1" ht="170" customHeight="1" spans="1:14">
      <c r="A450" s="4">
        <v>296</v>
      </c>
      <c r="B450" s="4" t="s">
        <v>1510</v>
      </c>
      <c r="C450" s="4" t="s">
        <v>1511</v>
      </c>
      <c r="D450" s="8" t="s">
        <v>1512</v>
      </c>
      <c r="E450" s="4" t="s">
        <v>55</v>
      </c>
      <c r="F450" s="4">
        <v>1</v>
      </c>
      <c r="G450" s="23">
        <v>5523.258</v>
      </c>
      <c r="H450" s="23">
        <v>212.436</v>
      </c>
      <c r="I450" s="23">
        <v>70.812</v>
      </c>
      <c r="J450" s="23">
        <v>283.242</v>
      </c>
      <c r="K450" s="23">
        <v>212.436</v>
      </c>
      <c r="L450" s="23">
        <v>778.92</v>
      </c>
      <c r="M450" s="23">
        <v>637.302</v>
      </c>
      <c r="N450" s="15">
        <f>SUM(G450:M450)</f>
        <v>7718.406</v>
      </c>
    </row>
    <row r="451" customFormat="1" ht="25" customHeight="1" spans="1:14">
      <c r="A451" s="11" t="s">
        <v>50</v>
      </c>
      <c r="B451" s="12"/>
      <c r="C451" s="11"/>
      <c r="D451" s="13"/>
      <c r="E451" s="12"/>
      <c r="F451" s="11"/>
      <c r="G451" s="14"/>
      <c r="H451" s="14"/>
      <c r="I451" s="14"/>
      <c r="J451" s="14"/>
      <c r="K451" s="14"/>
      <c r="L451" s="14"/>
      <c r="M451" s="14"/>
      <c r="N451" s="14">
        <f>SUM(N449:N450)</f>
        <v>10982.394</v>
      </c>
    </row>
    <row r="452" customFormat="1" ht="133" customHeight="1" spans="1:14">
      <c r="A452" s="4">
        <v>297</v>
      </c>
      <c r="B452" s="4" t="s">
        <v>1513</v>
      </c>
      <c r="C452" s="4" t="s">
        <v>1514</v>
      </c>
      <c r="D452" s="8" t="s">
        <v>1515</v>
      </c>
      <c r="E452" s="4" t="s">
        <v>248</v>
      </c>
      <c r="F452" s="4">
        <v>1</v>
      </c>
      <c r="G452" s="23">
        <v>3950.094</v>
      </c>
      <c r="H452" s="23">
        <v>151.926</v>
      </c>
      <c r="I452" s="23">
        <v>50.64</v>
      </c>
      <c r="J452" s="23">
        <v>202.566</v>
      </c>
      <c r="K452" s="23">
        <v>151.926</v>
      </c>
      <c r="L452" s="23">
        <v>557.064</v>
      </c>
      <c r="M452" s="23">
        <v>455.778</v>
      </c>
      <c r="N452" s="15">
        <f>SUM(G452:M452)</f>
        <v>5519.994</v>
      </c>
    </row>
    <row r="453" customFormat="1" ht="25" customHeight="1" spans="1:14">
      <c r="A453" s="11" t="s">
        <v>50</v>
      </c>
      <c r="B453" s="12"/>
      <c r="C453" s="11"/>
      <c r="D453" s="13"/>
      <c r="E453" s="12"/>
      <c r="F453" s="11"/>
      <c r="G453" s="14"/>
      <c r="H453" s="14"/>
      <c r="I453" s="14"/>
      <c r="J453" s="14"/>
      <c r="K453" s="14"/>
      <c r="L453" s="14"/>
      <c r="M453" s="14"/>
      <c r="N453" s="14">
        <f>N452</f>
        <v>5519.994</v>
      </c>
    </row>
    <row r="454" customFormat="1" ht="221" customHeight="1" spans="1:14">
      <c r="A454" s="4">
        <v>298</v>
      </c>
      <c r="B454" s="4" t="s">
        <v>1516</v>
      </c>
      <c r="C454" s="4" t="s">
        <v>462</v>
      </c>
      <c r="D454" s="8" t="s">
        <v>1517</v>
      </c>
      <c r="E454" s="4" t="s">
        <v>55</v>
      </c>
      <c r="F454" s="4">
        <v>1</v>
      </c>
      <c r="G454" s="9">
        <v>7373.5</v>
      </c>
      <c r="H454" s="9">
        <v>283.6</v>
      </c>
      <c r="I454" s="9">
        <v>94.53</v>
      </c>
      <c r="J454" s="9">
        <v>378.13</v>
      </c>
      <c r="K454" s="9">
        <v>283.6</v>
      </c>
      <c r="L454" s="9">
        <v>1039.85</v>
      </c>
      <c r="M454" s="9">
        <v>850.79</v>
      </c>
      <c r="N454" s="15">
        <f>SUM(G454:M454)</f>
        <v>10304</v>
      </c>
    </row>
    <row r="455" customFormat="1" ht="25" customHeight="1" spans="1:14">
      <c r="A455" s="11" t="s">
        <v>50</v>
      </c>
      <c r="B455" s="12"/>
      <c r="C455" s="11"/>
      <c r="D455" s="13"/>
      <c r="E455" s="12"/>
      <c r="F455" s="11"/>
      <c r="G455" s="14"/>
      <c r="H455" s="14"/>
      <c r="I455" s="14"/>
      <c r="J455" s="14"/>
      <c r="K455" s="14"/>
      <c r="L455" s="14"/>
      <c r="M455" s="14"/>
      <c r="N455" s="14">
        <f>N454</f>
        <v>10304</v>
      </c>
    </row>
    <row r="456" customFormat="1" ht="108" customHeight="1" spans="1:14">
      <c r="A456" s="4">
        <v>299</v>
      </c>
      <c r="B456" s="4" t="s">
        <v>1518</v>
      </c>
      <c r="C456" s="4" t="s">
        <v>1219</v>
      </c>
      <c r="D456" s="8" t="s">
        <v>1220</v>
      </c>
      <c r="E456" s="4" t="s">
        <v>55</v>
      </c>
      <c r="F456" s="4">
        <v>1</v>
      </c>
      <c r="G456" s="9">
        <v>10018.35</v>
      </c>
      <c r="H456" s="9">
        <v>385.32</v>
      </c>
      <c r="I456" s="9">
        <v>128.44</v>
      </c>
      <c r="J456" s="9">
        <v>513.76</v>
      </c>
      <c r="K456" s="9">
        <v>385.32</v>
      </c>
      <c r="L456" s="9">
        <v>1412.84</v>
      </c>
      <c r="M456" s="9">
        <v>1155.96</v>
      </c>
      <c r="N456" s="15">
        <f t="shared" ref="N453:N509" si="15">SUM(G456:M456)</f>
        <v>13999.99</v>
      </c>
    </row>
    <row r="457" customFormat="1" ht="45" customHeight="1" spans="1:14">
      <c r="A457" s="4">
        <v>300</v>
      </c>
      <c r="B457" s="4" t="s">
        <v>1519</v>
      </c>
      <c r="C457" s="4" t="s">
        <v>1175</v>
      </c>
      <c r="D457" s="8" t="s">
        <v>1176</v>
      </c>
      <c r="E457" s="4" t="s">
        <v>93</v>
      </c>
      <c r="F457" s="4">
        <v>3</v>
      </c>
      <c r="G457" s="9">
        <v>601.1</v>
      </c>
      <c r="H457" s="9">
        <v>23.12</v>
      </c>
      <c r="I457" s="9">
        <v>7.71</v>
      </c>
      <c r="J457" s="9">
        <v>30.83</v>
      </c>
      <c r="K457" s="9">
        <v>23.12</v>
      </c>
      <c r="L457" s="9">
        <v>84.77</v>
      </c>
      <c r="M457" s="9">
        <v>69.36</v>
      </c>
      <c r="N457" s="15">
        <f t="shared" si="15"/>
        <v>840.01</v>
      </c>
    </row>
    <row r="458" customFormat="1" ht="45" customHeight="1" spans="1:14">
      <c r="A458" s="4">
        <v>301</v>
      </c>
      <c r="B458" s="4" t="s">
        <v>1520</v>
      </c>
      <c r="C458" s="4" t="s">
        <v>95</v>
      </c>
      <c r="D458" s="8" t="s">
        <v>283</v>
      </c>
      <c r="E458" s="4" t="s">
        <v>47</v>
      </c>
      <c r="F458" s="4">
        <v>94.4</v>
      </c>
      <c r="G458" s="9">
        <v>148.1</v>
      </c>
      <c r="H458" s="9">
        <v>38.97</v>
      </c>
      <c r="I458" s="9">
        <v>19.49</v>
      </c>
      <c r="J458" s="9">
        <v>109.12</v>
      </c>
      <c r="K458" s="9">
        <v>31.18</v>
      </c>
      <c r="L458" s="9">
        <v>42.87</v>
      </c>
      <c r="M458" s="9">
        <v>35.08</v>
      </c>
      <c r="N458" s="15">
        <f t="shared" si="15"/>
        <v>424.81</v>
      </c>
    </row>
    <row r="459" customFormat="1" ht="25" customHeight="1" spans="1:14">
      <c r="A459" s="11" t="s">
        <v>50</v>
      </c>
      <c r="B459" s="12"/>
      <c r="C459" s="11"/>
      <c r="D459" s="13"/>
      <c r="E459" s="12"/>
      <c r="F459" s="11"/>
      <c r="G459" s="14"/>
      <c r="H459" s="14"/>
      <c r="I459" s="14"/>
      <c r="J459" s="14"/>
      <c r="K459" s="14"/>
      <c r="L459" s="14"/>
      <c r="M459" s="14"/>
      <c r="N459" s="14">
        <f>SUM(N456:N458)</f>
        <v>15264.81</v>
      </c>
    </row>
    <row r="460" customFormat="1" ht="45" customHeight="1" spans="1:14">
      <c r="A460" s="4">
        <v>302</v>
      </c>
      <c r="B460" s="4" t="s">
        <v>1521</v>
      </c>
      <c r="C460" s="4" t="s">
        <v>95</v>
      </c>
      <c r="D460" s="8" t="s">
        <v>281</v>
      </c>
      <c r="E460" s="4" t="s">
        <v>47</v>
      </c>
      <c r="F460" s="4">
        <v>153.8</v>
      </c>
      <c r="G460" s="9">
        <v>241.28</v>
      </c>
      <c r="H460" s="9">
        <v>63.5</v>
      </c>
      <c r="I460" s="9">
        <v>31.75</v>
      </c>
      <c r="J460" s="9">
        <v>177.79</v>
      </c>
      <c r="K460" s="9">
        <v>50.8</v>
      </c>
      <c r="L460" s="9">
        <v>69.84</v>
      </c>
      <c r="M460" s="9">
        <v>57.15</v>
      </c>
      <c r="N460" s="15">
        <f t="shared" si="15"/>
        <v>692.11</v>
      </c>
    </row>
    <row r="461" customFormat="1" ht="45" customHeight="1" spans="1:14">
      <c r="A461" s="4">
        <v>303</v>
      </c>
      <c r="B461" s="4" t="s">
        <v>1522</v>
      </c>
      <c r="C461" s="4" t="s">
        <v>103</v>
      </c>
      <c r="D461" s="8" t="s">
        <v>287</v>
      </c>
      <c r="E461" s="4" t="s">
        <v>105</v>
      </c>
      <c r="F461" s="4">
        <v>27.48</v>
      </c>
      <c r="G461" s="9">
        <v>45.98</v>
      </c>
      <c r="H461" s="9">
        <v>12.1</v>
      </c>
      <c r="I461" s="9">
        <v>6.05</v>
      </c>
      <c r="J461" s="9">
        <v>33.88</v>
      </c>
      <c r="K461" s="9">
        <v>9.68</v>
      </c>
      <c r="L461" s="9">
        <v>13.31</v>
      </c>
      <c r="M461" s="9">
        <v>10.89</v>
      </c>
      <c r="N461" s="15">
        <f t="shared" si="15"/>
        <v>131.89</v>
      </c>
    </row>
    <row r="462" customFormat="1" ht="45" customHeight="1" spans="1:14">
      <c r="A462" s="4">
        <v>304</v>
      </c>
      <c r="B462" s="4" t="s">
        <v>1523</v>
      </c>
      <c r="C462" s="4" t="s">
        <v>100</v>
      </c>
      <c r="D462" s="8" t="s">
        <v>285</v>
      </c>
      <c r="E462" s="4" t="s">
        <v>47</v>
      </c>
      <c r="F462" s="4">
        <v>94.4</v>
      </c>
      <c r="G462" s="9">
        <v>405.31</v>
      </c>
      <c r="H462" s="9">
        <v>33.78</v>
      </c>
      <c r="I462" s="9">
        <v>13.51</v>
      </c>
      <c r="J462" s="9">
        <v>101.33</v>
      </c>
      <c r="K462" s="9">
        <v>47.29</v>
      </c>
      <c r="L462" s="9">
        <v>74.31</v>
      </c>
      <c r="M462" s="9">
        <v>60.8</v>
      </c>
      <c r="N462" s="15">
        <f t="shared" si="15"/>
        <v>736.33</v>
      </c>
    </row>
    <row r="463" customFormat="1" ht="45" customHeight="1" spans="1:14">
      <c r="A463" s="4">
        <v>305</v>
      </c>
      <c r="B463" s="4" t="s">
        <v>1524</v>
      </c>
      <c r="C463" s="4" t="s">
        <v>110</v>
      </c>
      <c r="D463" s="8" t="s">
        <v>422</v>
      </c>
      <c r="E463" s="4" t="s">
        <v>47</v>
      </c>
      <c r="F463" s="4">
        <v>568.3</v>
      </c>
      <c r="G463" s="9">
        <v>594.37</v>
      </c>
      <c r="H463" s="9">
        <v>156.41</v>
      </c>
      <c r="I463" s="9">
        <v>78.21</v>
      </c>
      <c r="J463" s="9">
        <v>437.96</v>
      </c>
      <c r="K463" s="9">
        <v>125.13</v>
      </c>
      <c r="L463" s="9">
        <v>172.05</v>
      </c>
      <c r="M463" s="9">
        <v>140.77</v>
      </c>
      <c r="N463" s="15">
        <f t="shared" si="15"/>
        <v>1704.9</v>
      </c>
    </row>
    <row r="464" customFormat="1" ht="45" customHeight="1" spans="1:14">
      <c r="A464" s="4">
        <v>306</v>
      </c>
      <c r="B464" s="4" t="s">
        <v>1525</v>
      </c>
      <c r="C464" s="4" t="s">
        <v>110</v>
      </c>
      <c r="D464" s="8" t="s">
        <v>1526</v>
      </c>
      <c r="E464" s="4" t="s">
        <v>47</v>
      </c>
      <c r="F464" s="4">
        <v>235.4</v>
      </c>
      <c r="G464" s="9">
        <v>246.2</v>
      </c>
      <c r="H464" s="9">
        <v>64.79</v>
      </c>
      <c r="I464" s="9">
        <v>32.39</v>
      </c>
      <c r="J464" s="9">
        <v>181.41</v>
      </c>
      <c r="K464" s="9">
        <v>51.83</v>
      </c>
      <c r="L464" s="9">
        <v>71.27</v>
      </c>
      <c r="M464" s="9">
        <v>58.31</v>
      </c>
      <c r="N464" s="15">
        <f t="shared" si="15"/>
        <v>706.2</v>
      </c>
    </row>
    <row r="465" customFormat="1" ht="25" customHeight="1" spans="1:14">
      <c r="A465" s="11" t="s">
        <v>50</v>
      </c>
      <c r="B465" s="12"/>
      <c r="C465" s="11"/>
      <c r="D465" s="13"/>
      <c r="E465" s="12"/>
      <c r="F465" s="11"/>
      <c r="G465" s="14"/>
      <c r="H465" s="14"/>
      <c r="I465" s="14"/>
      <c r="J465" s="14"/>
      <c r="K465" s="14"/>
      <c r="L465" s="14"/>
      <c r="M465" s="14"/>
      <c r="N465" s="14">
        <f>SUM(N460:N464)</f>
        <v>3971.43</v>
      </c>
    </row>
    <row r="466" customFormat="1" ht="45" customHeight="1" spans="1:14">
      <c r="A466" s="4">
        <v>307</v>
      </c>
      <c r="B466" s="4" t="s">
        <v>1527</v>
      </c>
      <c r="C466" s="4" t="s">
        <v>1528</v>
      </c>
      <c r="D466" s="8" t="s">
        <v>1529</v>
      </c>
      <c r="E466" s="4" t="s">
        <v>47</v>
      </c>
      <c r="F466" s="4">
        <v>300</v>
      </c>
      <c r="G466" s="9">
        <v>2510.09</v>
      </c>
      <c r="H466" s="9">
        <v>660.55</v>
      </c>
      <c r="I466" s="9">
        <v>330.28</v>
      </c>
      <c r="J466" s="9">
        <v>1849.54</v>
      </c>
      <c r="K466" s="9">
        <v>528.44</v>
      </c>
      <c r="L466" s="9">
        <v>726.61</v>
      </c>
      <c r="M466" s="9">
        <v>594.5</v>
      </c>
      <c r="N466" s="15">
        <f t="shared" si="15"/>
        <v>7200.01</v>
      </c>
    </row>
    <row r="467" customFormat="1" ht="45" customHeight="1" spans="1:14">
      <c r="A467" s="4">
        <v>308</v>
      </c>
      <c r="B467" s="4" t="s">
        <v>1530</v>
      </c>
      <c r="C467" s="4" t="s">
        <v>1528</v>
      </c>
      <c r="D467" s="8" t="s">
        <v>1531</v>
      </c>
      <c r="E467" s="4" t="s">
        <v>47</v>
      </c>
      <c r="F467" s="4">
        <v>50</v>
      </c>
      <c r="G467" s="9">
        <v>418.35</v>
      </c>
      <c r="H467" s="9">
        <v>110.09</v>
      </c>
      <c r="I467" s="9">
        <v>55.05</v>
      </c>
      <c r="J467" s="9">
        <v>308.26</v>
      </c>
      <c r="K467" s="9">
        <v>88.07</v>
      </c>
      <c r="L467" s="9">
        <v>121.1</v>
      </c>
      <c r="M467" s="9">
        <v>99.08</v>
      </c>
      <c r="N467" s="15">
        <f t="shared" si="15"/>
        <v>1200</v>
      </c>
    </row>
    <row r="468" customFormat="1" ht="45" customHeight="1" spans="1:14">
      <c r="A468" s="4">
        <v>309</v>
      </c>
      <c r="B468" s="4" t="s">
        <v>1532</v>
      </c>
      <c r="C468" s="4" t="s">
        <v>1533</v>
      </c>
      <c r="D468" s="8" t="s">
        <v>1534</v>
      </c>
      <c r="E468" s="4" t="s">
        <v>47</v>
      </c>
      <c r="F468" s="4">
        <v>600</v>
      </c>
      <c r="G468" s="9">
        <v>11504.59</v>
      </c>
      <c r="H468" s="9">
        <v>3027.52</v>
      </c>
      <c r="I468" s="9">
        <v>1513.76</v>
      </c>
      <c r="J468" s="9">
        <v>8477.06</v>
      </c>
      <c r="K468" s="9">
        <v>2422.02</v>
      </c>
      <c r="L468" s="9">
        <v>3330.28</v>
      </c>
      <c r="M468" s="9">
        <v>2724.77</v>
      </c>
      <c r="N468" s="15">
        <f t="shared" si="15"/>
        <v>33000</v>
      </c>
    </row>
    <row r="469" customFormat="1" ht="45" customHeight="1" spans="1:14">
      <c r="A469" s="4">
        <v>310</v>
      </c>
      <c r="B469" s="4" t="s">
        <v>1535</v>
      </c>
      <c r="C469" s="4" t="s">
        <v>1533</v>
      </c>
      <c r="D469" s="8" t="s">
        <v>1536</v>
      </c>
      <c r="E469" s="4" t="s">
        <v>47</v>
      </c>
      <c r="F469" s="4">
        <v>200</v>
      </c>
      <c r="G469" s="9">
        <v>3834.86</v>
      </c>
      <c r="H469" s="9">
        <v>1009.17</v>
      </c>
      <c r="I469" s="9">
        <v>504.59</v>
      </c>
      <c r="J469" s="9">
        <v>2825.69</v>
      </c>
      <c r="K469" s="9">
        <v>807.34</v>
      </c>
      <c r="L469" s="9">
        <v>1110.09</v>
      </c>
      <c r="M469" s="9">
        <v>908.26</v>
      </c>
      <c r="N469" s="15">
        <f t="shared" si="15"/>
        <v>11000</v>
      </c>
    </row>
    <row r="470" customFormat="1" ht="45" customHeight="1" spans="1:14">
      <c r="A470" s="4">
        <v>311</v>
      </c>
      <c r="B470" s="4" t="s">
        <v>1537</v>
      </c>
      <c r="C470" s="4" t="s">
        <v>1538</v>
      </c>
      <c r="D470" s="8" t="s">
        <v>1539</v>
      </c>
      <c r="E470" s="4" t="s">
        <v>47</v>
      </c>
      <c r="F470" s="4">
        <v>630</v>
      </c>
      <c r="G470" s="9">
        <v>11270.64</v>
      </c>
      <c r="H470" s="9">
        <v>433.49</v>
      </c>
      <c r="I470" s="9">
        <v>144.5</v>
      </c>
      <c r="J470" s="9">
        <v>577.98</v>
      </c>
      <c r="K470" s="9">
        <v>433.49</v>
      </c>
      <c r="L470" s="9">
        <v>1589.45</v>
      </c>
      <c r="M470" s="9">
        <v>1300.46</v>
      </c>
      <c r="N470" s="15">
        <f t="shared" si="15"/>
        <v>15750.01</v>
      </c>
    </row>
    <row r="471" customFormat="1" ht="25" customHeight="1" spans="1:14">
      <c r="A471" s="11" t="s">
        <v>50</v>
      </c>
      <c r="B471" s="12"/>
      <c r="C471" s="11"/>
      <c r="D471" s="13"/>
      <c r="E471" s="12"/>
      <c r="F471" s="11"/>
      <c r="G471" s="14"/>
      <c r="H471" s="14"/>
      <c r="I471" s="14"/>
      <c r="J471" s="14"/>
      <c r="K471" s="14"/>
      <c r="L471" s="14"/>
      <c r="M471" s="14"/>
      <c r="N471" s="14">
        <f>SUM(N466:N470)</f>
        <v>68150.02</v>
      </c>
    </row>
    <row r="472" customFormat="1" ht="60" customHeight="1" spans="1:14">
      <c r="A472" s="4">
        <v>312</v>
      </c>
      <c r="B472" s="4" t="s">
        <v>1540</v>
      </c>
      <c r="C472" s="4" t="s">
        <v>45</v>
      </c>
      <c r="D472" s="8" t="s">
        <v>1541</v>
      </c>
      <c r="E472" s="4" t="s">
        <v>47</v>
      </c>
      <c r="F472" s="4">
        <v>420</v>
      </c>
      <c r="G472" s="9">
        <v>878.53</v>
      </c>
      <c r="H472" s="9">
        <v>231.19</v>
      </c>
      <c r="I472" s="9">
        <v>115.6</v>
      </c>
      <c r="J472" s="9">
        <v>647.34</v>
      </c>
      <c r="K472" s="9">
        <v>184.95</v>
      </c>
      <c r="L472" s="9">
        <v>254.31</v>
      </c>
      <c r="M472" s="9">
        <v>208.07</v>
      </c>
      <c r="N472" s="15">
        <f t="shared" si="15"/>
        <v>2519.99</v>
      </c>
    </row>
    <row r="473" customFormat="1" ht="60" customHeight="1" spans="1:14">
      <c r="A473" s="4">
        <v>313</v>
      </c>
      <c r="B473" s="4" t="s">
        <v>1542</v>
      </c>
      <c r="C473" s="4" t="s">
        <v>45</v>
      </c>
      <c r="D473" s="8" t="s">
        <v>1543</v>
      </c>
      <c r="E473" s="4" t="s">
        <v>47</v>
      </c>
      <c r="F473" s="4">
        <v>420</v>
      </c>
      <c r="G473" s="9">
        <v>878.53</v>
      </c>
      <c r="H473" s="9">
        <v>231.19</v>
      </c>
      <c r="I473" s="9">
        <v>115.6</v>
      </c>
      <c r="J473" s="9">
        <v>647.34</v>
      </c>
      <c r="K473" s="9">
        <v>184.95</v>
      </c>
      <c r="L473" s="9">
        <v>254.31</v>
      </c>
      <c r="M473" s="9">
        <v>208.07</v>
      </c>
      <c r="N473" s="15">
        <f t="shared" si="15"/>
        <v>2519.99</v>
      </c>
    </row>
    <row r="474" customFormat="1" ht="45" customHeight="1" spans="1:14">
      <c r="A474" s="4">
        <v>314</v>
      </c>
      <c r="B474" s="4" t="s">
        <v>1544</v>
      </c>
      <c r="C474" s="4" t="s">
        <v>45</v>
      </c>
      <c r="D474" s="8" t="s">
        <v>1545</v>
      </c>
      <c r="E474" s="4" t="s">
        <v>47</v>
      </c>
      <c r="F474" s="4">
        <v>350</v>
      </c>
      <c r="G474" s="9">
        <v>1252.29</v>
      </c>
      <c r="H474" s="9">
        <v>48.17</v>
      </c>
      <c r="I474" s="9">
        <v>16.06</v>
      </c>
      <c r="J474" s="9">
        <v>64.22</v>
      </c>
      <c r="K474" s="9">
        <v>48.17</v>
      </c>
      <c r="L474" s="9">
        <v>176.61</v>
      </c>
      <c r="M474" s="9">
        <v>144.5</v>
      </c>
      <c r="N474" s="15">
        <f t="shared" si="15"/>
        <v>1750.02</v>
      </c>
    </row>
    <row r="475" customFormat="1" ht="45" customHeight="1" spans="1:14">
      <c r="A475" s="4">
        <v>315</v>
      </c>
      <c r="B475" s="4" t="s">
        <v>1546</v>
      </c>
      <c r="C475" s="4" t="s">
        <v>123</v>
      </c>
      <c r="D475" s="8" t="s">
        <v>799</v>
      </c>
      <c r="E475" s="4" t="s">
        <v>125</v>
      </c>
      <c r="F475" s="4">
        <v>20</v>
      </c>
      <c r="G475" s="9">
        <v>55.78</v>
      </c>
      <c r="H475" s="9">
        <v>14.68</v>
      </c>
      <c r="I475" s="9">
        <v>7.34</v>
      </c>
      <c r="J475" s="9">
        <v>41.1</v>
      </c>
      <c r="K475" s="9">
        <v>11.74</v>
      </c>
      <c r="L475" s="9">
        <v>16.15</v>
      </c>
      <c r="M475" s="9">
        <v>13.21</v>
      </c>
      <c r="N475" s="15">
        <f t="shared" si="15"/>
        <v>160</v>
      </c>
    </row>
    <row r="476" customFormat="1" ht="25" customHeight="1" spans="1:14">
      <c r="A476" s="11" t="s">
        <v>50</v>
      </c>
      <c r="B476" s="12"/>
      <c r="C476" s="11"/>
      <c r="D476" s="13"/>
      <c r="E476" s="12"/>
      <c r="F476" s="11"/>
      <c r="G476" s="14"/>
      <c r="H476" s="14"/>
      <c r="I476" s="14"/>
      <c r="J476" s="14"/>
      <c r="K476" s="14"/>
      <c r="L476" s="14"/>
      <c r="M476" s="14"/>
      <c r="N476" s="14">
        <f>SUM(N472:N475)</f>
        <v>6950</v>
      </c>
    </row>
    <row r="477" customFormat="1" ht="83" customHeight="1" spans="1:14">
      <c r="A477" s="4">
        <v>316</v>
      </c>
      <c r="B477" s="4" t="s">
        <v>1547</v>
      </c>
      <c r="C477" s="4" t="s">
        <v>133</v>
      </c>
      <c r="D477" s="8" t="s">
        <v>1548</v>
      </c>
      <c r="E477" s="4" t="s">
        <v>66</v>
      </c>
      <c r="F477" s="4">
        <v>1</v>
      </c>
      <c r="G477" s="9">
        <v>3486.24</v>
      </c>
      <c r="H477" s="9">
        <v>917.43</v>
      </c>
      <c r="I477" s="9">
        <v>458.72</v>
      </c>
      <c r="J477" s="9">
        <v>2568.81</v>
      </c>
      <c r="K477" s="9">
        <v>733.94</v>
      </c>
      <c r="L477" s="9">
        <v>1009.17</v>
      </c>
      <c r="M477" s="9">
        <v>825.69</v>
      </c>
      <c r="N477" s="15">
        <f t="shared" si="15"/>
        <v>10000</v>
      </c>
    </row>
    <row r="478" customFormat="1" ht="45" customHeight="1" spans="1:14">
      <c r="A478" s="4">
        <v>317</v>
      </c>
      <c r="B478" s="4" t="s">
        <v>1549</v>
      </c>
      <c r="C478" s="4" t="s">
        <v>347</v>
      </c>
      <c r="D478" s="8" t="s">
        <v>348</v>
      </c>
      <c r="E478" s="4" t="s">
        <v>66</v>
      </c>
      <c r="F478" s="4">
        <v>1</v>
      </c>
      <c r="G478" s="9">
        <v>3302.75</v>
      </c>
      <c r="H478" s="9">
        <v>275.23</v>
      </c>
      <c r="I478" s="9">
        <v>110.09</v>
      </c>
      <c r="J478" s="9">
        <v>825.69</v>
      </c>
      <c r="K478" s="9">
        <v>385.32</v>
      </c>
      <c r="L478" s="9">
        <v>605.5</v>
      </c>
      <c r="M478" s="9">
        <v>495.41</v>
      </c>
      <c r="N478" s="15">
        <f t="shared" si="15"/>
        <v>5999.99</v>
      </c>
    </row>
    <row r="479" customFormat="1" ht="45" customHeight="1" spans="1:14">
      <c r="A479" s="4">
        <v>318</v>
      </c>
      <c r="B479" s="4" t="s">
        <v>1550</v>
      </c>
      <c r="C479" s="4" t="s">
        <v>95</v>
      </c>
      <c r="D479" s="8" t="s">
        <v>283</v>
      </c>
      <c r="E479" s="4" t="s">
        <v>47</v>
      </c>
      <c r="F479" s="4">
        <v>540</v>
      </c>
      <c r="G479" s="9">
        <v>847.16</v>
      </c>
      <c r="H479" s="9">
        <v>222.94</v>
      </c>
      <c r="I479" s="9">
        <v>111.47</v>
      </c>
      <c r="J479" s="9">
        <v>624.22</v>
      </c>
      <c r="K479" s="9">
        <v>178.35</v>
      </c>
      <c r="L479" s="9">
        <v>245.23</v>
      </c>
      <c r="M479" s="9">
        <v>200.64</v>
      </c>
      <c r="N479" s="15">
        <f t="shared" si="15"/>
        <v>2430.01</v>
      </c>
    </row>
    <row r="480" customFormat="1" ht="45" customHeight="1" spans="1:14">
      <c r="A480" s="4">
        <v>319</v>
      </c>
      <c r="B480" s="4" t="s">
        <v>1551</v>
      </c>
      <c r="C480" s="4" t="s">
        <v>95</v>
      </c>
      <c r="D480" s="8" t="s">
        <v>281</v>
      </c>
      <c r="E480" s="4" t="s">
        <v>47</v>
      </c>
      <c r="F480" s="4">
        <v>3060</v>
      </c>
      <c r="G480" s="9">
        <v>4800.55</v>
      </c>
      <c r="H480" s="9">
        <v>1263.3</v>
      </c>
      <c r="I480" s="9">
        <v>631.65</v>
      </c>
      <c r="J480" s="9">
        <v>3537.25</v>
      </c>
      <c r="K480" s="9">
        <v>1010.64</v>
      </c>
      <c r="L480" s="9">
        <v>1389.63</v>
      </c>
      <c r="M480" s="9">
        <v>1136.97</v>
      </c>
      <c r="N480" s="15">
        <f t="shared" si="15"/>
        <v>13769.99</v>
      </c>
    </row>
    <row r="481" customFormat="1" ht="25" customHeight="1" spans="1:14">
      <c r="A481" s="11" t="s">
        <v>50</v>
      </c>
      <c r="B481" s="12"/>
      <c r="C481" s="11"/>
      <c r="D481" s="13"/>
      <c r="E481" s="12"/>
      <c r="F481" s="11"/>
      <c r="G481" s="14"/>
      <c r="H481" s="14"/>
      <c r="I481" s="14"/>
      <c r="J481" s="14"/>
      <c r="K481" s="14"/>
      <c r="L481" s="14"/>
      <c r="M481" s="14"/>
      <c r="N481" s="14">
        <f>SUM(N477:N480)</f>
        <v>32199.99</v>
      </c>
    </row>
    <row r="482" customFormat="1" ht="45" customHeight="1" spans="1:14">
      <c r="A482" s="4">
        <v>320</v>
      </c>
      <c r="B482" s="4" t="s">
        <v>1552</v>
      </c>
      <c r="C482" s="4" t="s">
        <v>95</v>
      </c>
      <c r="D482" s="8" t="s">
        <v>1553</v>
      </c>
      <c r="E482" s="4" t="s">
        <v>47</v>
      </c>
      <c r="F482" s="4">
        <v>765</v>
      </c>
      <c r="G482" s="9">
        <v>2133.58</v>
      </c>
      <c r="H482" s="9">
        <v>561.47</v>
      </c>
      <c r="I482" s="9">
        <v>280.73</v>
      </c>
      <c r="J482" s="9">
        <v>1572.11</v>
      </c>
      <c r="K482" s="9">
        <v>449.17</v>
      </c>
      <c r="L482" s="9">
        <v>617.61</v>
      </c>
      <c r="M482" s="9">
        <v>505.32</v>
      </c>
      <c r="N482" s="15">
        <f t="shared" si="15"/>
        <v>6119.99</v>
      </c>
    </row>
    <row r="483" customFormat="1" ht="45" customHeight="1" spans="1:14">
      <c r="A483" s="4">
        <v>321</v>
      </c>
      <c r="B483" s="4" t="s">
        <v>1554</v>
      </c>
      <c r="C483" s="4" t="s">
        <v>95</v>
      </c>
      <c r="D483" s="8" t="s">
        <v>1555</v>
      </c>
      <c r="E483" s="4" t="s">
        <v>47</v>
      </c>
      <c r="F483" s="4">
        <v>135</v>
      </c>
      <c r="G483" s="9">
        <v>376.51</v>
      </c>
      <c r="H483" s="9">
        <v>99.08</v>
      </c>
      <c r="I483" s="9">
        <v>49.54</v>
      </c>
      <c r="J483" s="9">
        <v>277.43</v>
      </c>
      <c r="K483" s="9">
        <v>79.27</v>
      </c>
      <c r="L483" s="9">
        <v>108.99</v>
      </c>
      <c r="M483" s="9">
        <v>89.17</v>
      </c>
      <c r="N483" s="15">
        <f t="shared" si="15"/>
        <v>1079.99</v>
      </c>
    </row>
    <row r="484" customFormat="1" ht="45" customHeight="1" spans="1:14">
      <c r="A484" s="4">
        <v>322</v>
      </c>
      <c r="B484" s="4" t="s">
        <v>1556</v>
      </c>
      <c r="C484" s="4" t="s">
        <v>95</v>
      </c>
      <c r="D484" s="8" t="s">
        <v>608</v>
      </c>
      <c r="E484" s="4" t="s">
        <v>47</v>
      </c>
      <c r="F484" s="4">
        <v>850</v>
      </c>
      <c r="G484" s="9">
        <v>1481.65</v>
      </c>
      <c r="H484" s="9">
        <v>389.91</v>
      </c>
      <c r="I484" s="9">
        <v>194.95</v>
      </c>
      <c r="J484" s="9">
        <v>1091.74</v>
      </c>
      <c r="K484" s="9">
        <v>311.93</v>
      </c>
      <c r="L484" s="9">
        <v>428.9</v>
      </c>
      <c r="M484" s="9">
        <v>350.92</v>
      </c>
      <c r="N484" s="15">
        <f t="shared" si="15"/>
        <v>4250</v>
      </c>
    </row>
    <row r="485" customFormat="1" ht="45" customHeight="1" spans="1:14">
      <c r="A485" s="4">
        <v>323</v>
      </c>
      <c r="B485" s="4" t="s">
        <v>1557</v>
      </c>
      <c r="C485" s="4" t="s">
        <v>95</v>
      </c>
      <c r="D485" s="8" t="s">
        <v>610</v>
      </c>
      <c r="E485" s="4" t="s">
        <v>47</v>
      </c>
      <c r="F485" s="4">
        <v>150</v>
      </c>
      <c r="G485" s="9">
        <v>261.47</v>
      </c>
      <c r="H485" s="9">
        <v>68.81</v>
      </c>
      <c r="I485" s="9">
        <v>34.4</v>
      </c>
      <c r="J485" s="9">
        <v>192.66</v>
      </c>
      <c r="K485" s="9">
        <v>55.05</v>
      </c>
      <c r="L485" s="9">
        <v>75.69</v>
      </c>
      <c r="M485" s="9">
        <v>61.93</v>
      </c>
      <c r="N485" s="15">
        <f t="shared" si="15"/>
        <v>750.01</v>
      </c>
    </row>
    <row r="486" customFormat="1" ht="25" customHeight="1" spans="1:14">
      <c r="A486" s="11" t="s">
        <v>50</v>
      </c>
      <c r="B486" s="12"/>
      <c r="C486" s="11"/>
      <c r="D486" s="13"/>
      <c r="E486" s="12"/>
      <c r="F486" s="11"/>
      <c r="G486" s="14"/>
      <c r="H486" s="14"/>
      <c r="I486" s="14"/>
      <c r="J486" s="14"/>
      <c r="K486" s="14"/>
      <c r="L486" s="14"/>
      <c r="M486" s="14"/>
      <c r="N486" s="14">
        <f>SUM(N482:N485)</f>
        <v>12199.99</v>
      </c>
    </row>
    <row r="487" customFormat="1" ht="45" customHeight="1" spans="1:14">
      <c r="A487" s="4">
        <v>324</v>
      </c>
      <c r="B487" s="4" t="s">
        <v>1558</v>
      </c>
      <c r="C487" s="4" t="s">
        <v>103</v>
      </c>
      <c r="D487" s="8" t="s">
        <v>287</v>
      </c>
      <c r="E487" s="4" t="s">
        <v>105</v>
      </c>
      <c r="F487" s="4">
        <v>903.5</v>
      </c>
      <c r="G487" s="9">
        <v>1511.91</v>
      </c>
      <c r="H487" s="9">
        <v>397.87</v>
      </c>
      <c r="I487" s="9">
        <v>198.94</v>
      </c>
      <c r="J487" s="9">
        <v>1114.04</v>
      </c>
      <c r="K487" s="9">
        <v>318.3</v>
      </c>
      <c r="L487" s="9">
        <v>437.66</v>
      </c>
      <c r="M487" s="9">
        <v>358.08</v>
      </c>
      <c r="N487" s="15">
        <f t="shared" si="15"/>
        <v>4336.8</v>
      </c>
    </row>
    <row r="488" customFormat="1" ht="45" customHeight="1" spans="1:14">
      <c r="A488" s="4">
        <v>325</v>
      </c>
      <c r="B488" s="4" t="s">
        <v>1559</v>
      </c>
      <c r="C488" s="4" t="s">
        <v>100</v>
      </c>
      <c r="D488" s="8" t="s">
        <v>285</v>
      </c>
      <c r="E488" s="4" t="s">
        <v>47</v>
      </c>
      <c r="F488" s="4">
        <v>892.5</v>
      </c>
      <c r="G488" s="9">
        <v>3832.02</v>
      </c>
      <c r="H488" s="9">
        <v>319.33</v>
      </c>
      <c r="I488" s="9">
        <v>127.73</v>
      </c>
      <c r="J488" s="9">
        <v>958</v>
      </c>
      <c r="K488" s="9">
        <v>447.07</v>
      </c>
      <c r="L488" s="9">
        <v>702.54</v>
      </c>
      <c r="M488" s="9">
        <v>574.8</v>
      </c>
      <c r="N488" s="15">
        <f t="shared" si="15"/>
        <v>6961.49</v>
      </c>
    </row>
    <row r="489" customFormat="1" ht="45" customHeight="1" spans="1:14">
      <c r="A489" s="4">
        <v>326</v>
      </c>
      <c r="B489" s="4" t="s">
        <v>1560</v>
      </c>
      <c r="C489" s="4" t="s">
        <v>110</v>
      </c>
      <c r="D489" s="8" t="s">
        <v>1526</v>
      </c>
      <c r="E489" s="4" t="s">
        <v>47</v>
      </c>
      <c r="F489" s="4">
        <v>1000</v>
      </c>
      <c r="G489" s="9">
        <v>1045.87</v>
      </c>
      <c r="H489" s="9">
        <v>275.23</v>
      </c>
      <c r="I489" s="9">
        <v>137.61</v>
      </c>
      <c r="J489" s="9">
        <v>770.64</v>
      </c>
      <c r="K489" s="9">
        <v>220.18</v>
      </c>
      <c r="L489" s="9">
        <v>302.75</v>
      </c>
      <c r="M489" s="9">
        <v>247.71</v>
      </c>
      <c r="N489" s="15">
        <f t="shared" si="15"/>
        <v>2999.99</v>
      </c>
    </row>
    <row r="490" customFormat="1" ht="45" customHeight="1" spans="1:14">
      <c r="A490" s="4">
        <v>327</v>
      </c>
      <c r="B490" s="4" t="s">
        <v>1561</v>
      </c>
      <c r="C490" s="4" t="s">
        <v>45</v>
      </c>
      <c r="D490" s="8" t="s">
        <v>1562</v>
      </c>
      <c r="E490" s="4" t="s">
        <v>47</v>
      </c>
      <c r="F490" s="4">
        <v>450</v>
      </c>
      <c r="G490" s="9">
        <v>705.96</v>
      </c>
      <c r="H490" s="9">
        <v>185.78</v>
      </c>
      <c r="I490" s="9">
        <v>92.89</v>
      </c>
      <c r="J490" s="9">
        <v>520.18</v>
      </c>
      <c r="K490" s="9">
        <v>148.62</v>
      </c>
      <c r="L490" s="9">
        <v>204.36</v>
      </c>
      <c r="M490" s="9">
        <v>167.2</v>
      </c>
      <c r="N490" s="15">
        <f t="shared" si="15"/>
        <v>2024.99</v>
      </c>
    </row>
    <row r="491" customFormat="1" ht="45" customHeight="1" spans="1:14">
      <c r="A491" s="4">
        <v>328</v>
      </c>
      <c r="B491" s="4" t="s">
        <v>1563</v>
      </c>
      <c r="C491" s="4" t="s">
        <v>45</v>
      </c>
      <c r="D491" s="8" t="s">
        <v>1564</v>
      </c>
      <c r="E491" s="4" t="s">
        <v>47</v>
      </c>
      <c r="F491" s="4">
        <v>50</v>
      </c>
      <c r="G491" s="9">
        <v>78.44</v>
      </c>
      <c r="H491" s="9">
        <v>20.64</v>
      </c>
      <c r="I491" s="9">
        <v>10.32</v>
      </c>
      <c r="J491" s="9">
        <v>57.8</v>
      </c>
      <c r="K491" s="9">
        <v>16.51</v>
      </c>
      <c r="L491" s="9">
        <v>22.71</v>
      </c>
      <c r="M491" s="9">
        <v>18.58</v>
      </c>
      <c r="N491" s="15">
        <f t="shared" si="15"/>
        <v>225</v>
      </c>
    </row>
    <row r="492" customFormat="1" ht="25" customHeight="1" spans="1:14">
      <c r="A492" s="11" t="s">
        <v>50</v>
      </c>
      <c r="B492" s="12"/>
      <c r="C492" s="11"/>
      <c r="D492" s="13"/>
      <c r="E492" s="12"/>
      <c r="F492" s="11"/>
      <c r="G492" s="14"/>
      <c r="H492" s="14"/>
      <c r="I492" s="14"/>
      <c r="J492" s="14"/>
      <c r="K492" s="14"/>
      <c r="L492" s="14"/>
      <c r="M492" s="14"/>
      <c r="N492" s="14">
        <f>SUM(N487:N491)</f>
        <v>16548.27</v>
      </c>
    </row>
    <row r="493" customFormat="1" ht="60" customHeight="1" spans="1:14">
      <c r="A493" s="4">
        <v>329</v>
      </c>
      <c r="B493" s="4" t="s">
        <v>1565</v>
      </c>
      <c r="C493" s="4" t="s">
        <v>45</v>
      </c>
      <c r="D493" s="8" t="s">
        <v>1566</v>
      </c>
      <c r="E493" s="4" t="s">
        <v>47</v>
      </c>
      <c r="F493" s="4">
        <v>1000</v>
      </c>
      <c r="G493" s="9">
        <v>1394.5</v>
      </c>
      <c r="H493" s="9">
        <v>366.97</v>
      </c>
      <c r="I493" s="9">
        <v>183.49</v>
      </c>
      <c r="J493" s="9">
        <v>1027.52</v>
      </c>
      <c r="K493" s="9">
        <v>293.58</v>
      </c>
      <c r="L493" s="9">
        <v>403.67</v>
      </c>
      <c r="M493" s="9">
        <v>330.28</v>
      </c>
      <c r="N493" s="15">
        <f t="shared" si="15"/>
        <v>4000.01</v>
      </c>
    </row>
    <row r="494" customFormat="1" ht="45" customHeight="1" spans="1:14">
      <c r="A494" s="4">
        <v>330</v>
      </c>
      <c r="B494" s="4" t="s">
        <v>1567</v>
      </c>
      <c r="C494" s="4" t="s">
        <v>1533</v>
      </c>
      <c r="D494" s="8" t="s">
        <v>1536</v>
      </c>
      <c r="E494" s="4" t="s">
        <v>47</v>
      </c>
      <c r="F494" s="4">
        <v>800</v>
      </c>
      <c r="G494" s="9">
        <v>15339.45</v>
      </c>
      <c r="H494" s="9">
        <v>4036.7</v>
      </c>
      <c r="I494" s="9">
        <v>2018.35</v>
      </c>
      <c r="J494" s="9">
        <v>11302.75</v>
      </c>
      <c r="K494" s="9">
        <v>3229.36</v>
      </c>
      <c r="L494" s="9">
        <v>4440.37</v>
      </c>
      <c r="M494" s="9">
        <v>3633.03</v>
      </c>
      <c r="N494" s="15">
        <f t="shared" si="15"/>
        <v>44000.01</v>
      </c>
    </row>
    <row r="495" customFormat="1" ht="45" customHeight="1" spans="1:14">
      <c r="A495" s="4">
        <v>331</v>
      </c>
      <c r="B495" s="4" t="s">
        <v>1568</v>
      </c>
      <c r="C495" s="4" t="s">
        <v>1569</v>
      </c>
      <c r="D495" s="8" t="s">
        <v>1570</v>
      </c>
      <c r="E495" s="4" t="s">
        <v>47</v>
      </c>
      <c r="F495" s="4">
        <v>50</v>
      </c>
      <c r="G495" s="9">
        <v>139.45</v>
      </c>
      <c r="H495" s="9">
        <v>36.7</v>
      </c>
      <c r="I495" s="9">
        <v>18.35</v>
      </c>
      <c r="J495" s="9">
        <v>102.75</v>
      </c>
      <c r="K495" s="9">
        <v>29.36</v>
      </c>
      <c r="L495" s="9">
        <v>40.37</v>
      </c>
      <c r="M495" s="9">
        <v>33.03</v>
      </c>
      <c r="N495" s="15">
        <f t="shared" si="15"/>
        <v>400.01</v>
      </c>
    </row>
    <row r="496" customFormat="1" ht="45" customHeight="1" spans="1:14">
      <c r="A496" s="4">
        <v>332</v>
      </c>
      <c r="B496" s="4" t="s">
        <v>1571</v>
      </c>
      <c r="C496" s="4" t="s">
        <v>1569</v>
      </c>
      <c r="D496" s="8" t="s">
        <v>1572</v>
      </c>
      <c r="E496" s="4" t="s">
        <v>47</v>
      </c>
      <c r="F496" s="4">
        <v>50</v>
      </c>
      <c r="G496" s="9">
        <v>104.59</v>
      </c>
      <c r="H496" s="9">
        <v>27.52</v>
      </c>
      <c r="I496" s="9">
        <v>13.76</v>
      </c>
      <c r="J496" s="9">
        <v>77.06</v>
      </c>
      <c r="K496" s="9">
        <v>22.02</v>
      </c>
      <c r="L496" s="9">
        <v>30.28</v>
      </c>
      <c r="M496" s="9">
        <v>24.77</v>
      </c>
      <c r="N496" s="15">
        <f t="shared" si="15"/>
        <v>300</v>
      </c>
    </row>
    <row r="497" customFormat="1" ht="25" customHeight="1" spans="1:14">
      <c r="A497" s="11" t="s">
        <v>50</v>
      </c>
      <c r="B497" s="12"/>
      <c r="C497" s="11"/>
      <c r="D497" s="13"/>
      <c r="E497" s="12"/>
      <c r="F497" s="11"/>
      <c r="G497" s="14"/>
      <c r="H497" s="14"/>
      <c r="I497" s="14"/>
      <c r="J497" s="14"/>
      <c r="K497" s="14"/>
      <c r="L497" s="14"/>
      <c r="M497" s="14"/>
      <c r="N497" s="14">
        <f>SUM(N493:N496)</f>
        <v>48700.03</v>
      </c>
    </row>
    <row r="498" customFormat="1" ht="45" customHeight="1" spans="1:14">
      <c r="A498" s="4">
        <v>333</v>
      </c>
      <c r="B498" s="4" t="s">
        <v>1573</v>
      </c>
      <c r="C498" s="4" t="s">
        <v>45</v>
      </c>
      <c r="D498" s="8" t="s">
        <v>1574</v>
      </c>
      <c r="E498" s="4" t="s">
        <v>47</v>
      </c>
      <c r="F498" s="4">
        <v>1000</v>
      </c>
      <c r="G498" s="9">
        <v>1743.12</v>
      </c>
      <c r="H498" s="9">
        <v>458.72</v>
      </c>
      <c r="I498" s="9">
        <v>229.36</v>
      </c>
      <c r="J498" s="9">
        <v>1284.4</v>
      </c>
      <c r="K498" s="9">
        <v>366.97</v>
      </c>
      <c r="L498" s="9">
        <v>504.59</v>
      </c>
      <c r="M498" s="9">
        <v>412.84</v>
      </c>
      <c r="N498" s="15">
        <f t="shared" si="15"/>
        <v>5000</v>
      </c>
    </row>
    <row r="499" customFormat="1" ht="45" customHeight="1" spans="1:14">
      <c r="A499" s="4">
        <v>334</v>
      </c>
      <c r="B499" s="4" t="s">
        <v>1575</v>
      </c>
      <c r="C499" s="4" t="s">
        <v>1533</v>
      </c>
      <c r="D499" s="8" t="s">
        <v>1576</v>
      </c>
      <c r="E499" s="4" t="s">
        <v>47</v>
      </c>
      <c r="F499" s="4">
        <v>50</v>
      </c>
      <c r="G499" s="9">
        <v>69.72</v>
      </c>
      <c r="H499" s="9">
        <v>18.35</v>
      </c>
      <c r="I499" s="9">
        <v>9.17</v>
      </c>
      <c r="J499" s="9">
        <v>51.38</v>
      </c>
      <c r="K499" s="9">
        <v>14.68</v>
      </c>
      <c r="L499" s="9">
        <v>20.18</v>
      </c>
      <c r="M499" s="9">
        <v>16.51</v>
      </c>
      <c r="N499" s="15">
        <f t="shared" si="15"/>
        <v>199.99</v>
      </c>
    </row>
    <row r="500" customFormat="1" ht="60" customHeight="1" spans="1:14">
      <c r="A500" s="4">
        <v>335</v>
      </c>
      <c r="B500" s="4" t="s">
        <v>1577</v>
      </c>
      <c r="C500" s="4" t="s">
        <v>45</v>
      </c>
      <c r="D500" s="8" t="s">
        <v>1578</v>
      </c>
      <c r="E500" s="4" t="s">
        <v>47</v>
      </c>
      <c r="F500" s="4">
        <v>500</v>
      </c>
      <c r="G500" s="9">
        <v>871.56</v>
      </c>
      <c r="H500" s="9">
        <v>229.36</v>
      </c>
      <c r="I500" s="9">
        <v>114.68</v>
      </c>
      <c r="J500" s="9">
        <v>642.2</v>
      </c>
      <c r="K500" s="9">
        <v>183.49</v>
      </c>
      <c r="L500" s="9">
        <v>252.29</v>
      </c>
      <c r="M500" s="9">
        <v>206.42</v>
      </c>
      <c r="N500" s="15">
        <f t="shared" si="15"/>
        <v>2500</v>
      </c>
    </row>
    <row r="501" customFormat="1" ht="45" customHeight="1" spans="1:14">
      <c r="A501" s="4">
        <v>336</v>
      </c>
      <c r="B501" s="4" t="s">
        <v>1579</v>
      </c>
      <c r="C501" s="4" t="s">
        <v>1533</v>
      </c>
      <c r="D501" s="8" t="s">
        <v>1580</v>
      </c>
      <c r="E501" s="4" t="s">
        <v>47</v>
      </c>
      <c r="F501" s="4">
        <v>100</v>
      </c>
      <c r="G501" s="9">
        <v>418.35</v>
      </c>
      <c r="H501" s="9">
        <v>110.09</v>
      </c>
      <c r="I501" s="9">
        <v>55.05</v>
      </c>
      <c r="J501" s="9">
        <v>308.26</v>
      </c>
      <c r="K501" s="9">
        <v>88.07</v>
      </c>
      <c r="L501" s="9">
        <v>121.1</v>
      </c>
      <c r="M501" s="9">
        <v>99.08</v>
      </c>
      <c r="N501" s="15">
        <f t="shared" si="15"/>
        <v>1200</v>
      </c>
    </row>
    <row r="502" customFormat="1" ht="45" customHeight="1" spans="1:14">
      <c r="A502" s="4">
        <v>337</v>
      </c>
      <c r="B502" s="4" t="s">
        <v>1581</v>
      </c>
      <c r="C502" s="4" t="s">
        <v>123</v>
      </c>
      <c r="D502" s="8" t="s">
        <v>799</v>
      </c>
      <c r="E502" s="4" t="s">
        <v>125</v>
      </c>
      <c r="F502" s="4">
        <v>139</v>
      </c>
      <c r="G502" s="9">
        <v>387.67</v>
      </c>
      <c r="H502" s="9">
        <v>102.02</v>
      </c>
      <c r="I502" s="9">
        <v>51.01</v>
      </c>
      <c r="J502" s="9">
        <v>285.65</v>
      </c>
      <c r="K502" s="9">
        <v>81.61</v>
      </c>
      <c r="L502" s="9">
        <v>112.22</v>
      </c>
      <c r="M502" s="9">
        <v>91.82</v>
      </c>
      <c r="N502" s="15">
        <f t="shared" si="15"/>
        <v>1112</v>
      </c>
    </row>
    <row r="503" customFormat="1" ht="25" customHeight="1" spans="1:14">
      <c r="A503" s="11" t="s">
        <v>50</v>
      </c>
      <c r="B503" s="12"/>
      <c r="C503" s="11"/>
      <c r="D503" s="13"/>
      <c r="E503" s="12"/>
      <c r="F503" s="11"/>
      <c r="G503" s="14"/>
      <c r="H503" s="14"/>
      <c r="I503" s="14"/>
      <c r="J503" s="14"/>
      <c r="K503" s="14"/>
      <c r="L503" s="14"/>
      <c r="M503" s="14"/>
      <c r="N503" s="14">
        <f>SUM(N498:N502)</f>
        <v>10011.99</v>
      </c>
    </row>
    <row r="504" customFormat="1" ht="83" customHeight="1" spans="1:14">
      <c r="A504" s="4">
        <v>338</v>
      </c>
      <c r="B504" s="4" t="s">
        <v>1582</v>
      </c>
      <c r="C504" s="4" t="s">
        <v>133</v>
      </c>
      <c r="D504" s="8" t="s">
        <v>1548</v>
      </c>
      <c r="E504" s="4" t="s">
        <v>66</v>
      </c>
      <c r="F504" s="4">
        <v>1</v>
      </c>
      <c r="G504" s="9">
        <v>6972.48</v>
      </c>
      <c r="H504" s="9">
        <v>1834.86</v>
      </c>
      <c r="I504" s="9">
        <v>917.43</v>
      </c>
      <c r="J504" s="9">
        <v>5137.61</v>
      </c>
      <c r="K504" s="9">
        <v>1467.89</v>
      </c>
      <c r="L504" s="9">
        <v>2018.35</v>
      </c>
      <c r="M504" s="9">
        <v>1651.38</v>
      </c>
      <c r="N504" s="15">
        <f t="shared" si="15"/>
        <v>20000</v>
      </c>
    </row>
    <row r="505" customFormat="1" ht="45" customHeight="1" spans="1:14">
      <c r="A505" s="4">
        <v>339</v>
      </c>
      <c r="B505" s="4" t="s">
        <v>1583</v>
      </c>
      <c r="C505" s="4" t="s">
        <v>347</v>
      </c>
      <c r="D505" s="8" t="s">
        <v>348</v>
      </c>
      <c r="E505" s="4" t="s">
        <v>66</v>
      </c>
      <c r="F505" s="4">
        <v>1</v>
      </c>
      <c r="G505" s="9">
        <v>5504.59</v>
      </c>
      <c r="H505" s="9">
        <v>458.72</v>
      </c>
      <c r="I505" s="9">
        <v>183.49</v>
      </c>
      <c r="J505" s="9">
        <v>1376.15</v>
      </c>
      <c r="K505" s="9">
        <v>642.2</v>
      </c>
      <c r="L505" s="9">
        <v>1009.17</v>
      </c>
      <c r="M505" s="9">
        <v>825.69</v>
      </c>
      <c r="N505" s="15">
        <f t="shared" si="15"/>
        <v>10000.01</v>
      </c>
    </row>
    <row r="506" customFormat="1" ht="45" customHeight="1" spans="1:14">
      <c r="A506" s="4">
        <v>340</v>
      </c>
      <c r="B506" s="4" t="s">
        <v>1584</v>
      </c>
      <c r="C506" s="4" t="s">
        <v>64</v>
      </c>
      <c r="D506" s="8" t="s">
        <v>353</v>
      </c>
      <c r="E506" s="4" t="s">
        <v>66</v>
      </c>
      <c r="F506" s="4">
        <v>1</v>
      </c>
      <c r="G506" s="9">
        <v>1045.87</v>
      </c>
      <c r="H506" s="9">
        <v>275.23</v>
      </c>
      <c r="I506" s="9">
        <v>137.61</v>
      </c>
      <c r="J506" s="9">
        <v>770.64</v>
      </c>
      <c r="K506" s="9">
        <v>220.18</v>
      </c>
      <c r="L506" s="9">
        <v>302.75</v>
      </c>
      <c r="M506" s="9">
        <v>247.71</v>
      </c>
      <c r="N506" s="15">
        <f t="shared" si="15"/>
        <v>2999.99</v>
      </c>
    </row>
    <row r="507" customFormat="1" ht="25" customHeight="1" spans="1:14">
      <c r="A507" s="4">
        <v>341</v>
      </c>
      <c r="B507" s="4" t="s">
        <v>1585</v>
      </c>
      <c r="C507" s="4" t="s">
        <v>319</v>
      </c>
      <c r="D507" s="8"/>
      <c r="E507" s="4" t="s">
        <v>66</v>
      </c>
      <c r="F507" s="4">
        <v>1</v>
      </c>
      <c r="G507" s="9">
        <v>1100.92</v>
      </c>
      <c r="H507" s="9">
        <v>91.74</v>
      </c>
      <c r="I507" s="9">
        <v>36.7</v>
      </c>
      <c r="J507" s="9">
        <v>275.23</v>
      </c>
      <c r="K507" s="9">
        <v>128.44</v>
      </c>
      <c r="L507" s="9">
        <v>201.83</v>
      </c>
      <c r="M507" s="9">
        <v>165.14</v>
      </c>
      <c r="N507" s="15">
        <f t="shared" si="15"/>
        <v>2000</v>
      </c>
    </row>
    <row r="508" customFormat="1" ht="25" customHeight="1" spans="1:14">
      <c r="A508" s="11" t="s">
        <v>50</v>
      </c>
      <c r="B508" s="12"/>
      <c r="C508" s="11"/>
      <c r="D508" s="13"/>
      <c r="E508" s="12"/>
      <c r="F508" s="11"/>
      <c r="G508" s="14"/>
      <c r="H508" s="14"/>
      <c r="I508" s="14"/>
      <c r="J508" s="14"/>
      <c r="K508" s="14"/>
      <c r="L508" s="14"/>
      <c r="M508" s="14"/>
      <c r="N508" s="14">
        <f>SUM(N504:N507)</f>
        <v>35000</v>
      </c>
    </row>
    <row r="509" customFormat="1" ht="25" customHeight="1" spans="1:14">
      <c r="A509" s="4" t="s">
        <v>188</v>
      </c>
      <c r="B509" s="4"/>
      <c r="C509" s="4"/>
      <c r="D509" s="8"/>
      <c r="E509" s="4"/>
      <c r="F509" s="4"/>
      <c r="G509" s="9"/>
      <c r="H509" s="9"/>
      <c r="I509" s="9"/>
      <c r="J509" s="9"/>
      <c r="K509" s="9"/>
      <c r="L509" s="9"/>
      <c r="M509" s="9"/>
      <c r="N509" s="34">
        <f>N508+N503+N497+N492+N486+N481+N476+N471+N465+N459+N455+N453+N451+N448+N445+N442+N438+N434+N430+N427+N425+N423+N421+N419+N417+N414+N411+N408+N405+N402+N398+N394+N390+N387+N385+N383+N381+N379+N377+N374+N371+N368+N365+N362+N358+N354+N350+N347+N345+N343+N341+N339+N337+N334+N330+N326+N323+N320+N317+N313+N309+N305+N301+N298+N296+N294+N292+N290+N288+N285+N281+N277+N274+N271+N268+N265+N261+N257+N253+N249+N247+N244+N242+N240+N238+N236+N233+N230+N227+N224+N220+N217+N214+N211+N207+N203+N198+N194+N192+N190+N187+N185+N183+N181+N178+N176+N174+N170+N167+N163+N160+N157+N154+N152+N149+N145+N142+N139+N135+N132+N129+N126+N123+N120+N117+N113+N109+N105+N102+N100+N98+N96+N94+N92+N89+N86+N83+N80+N77+N73+N68+N64+N62+N60+N57+N55+N53+N51+N48+N46+N44+N42+N39+N35+N32+N29+N25+N22+N19+N16+N13+N10+N7</f>
        <v>4749832.074</v>
      </c>
    </row>
  </sheetData>
  <autoFilter xmlns:etc="http://www.wps.cn/officeDocument/2017/etCustomData" ref="A4:N509" etc:filterBottomFollowUsedRange="0">
    <extLst/>
  </autoFilter>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45"/>
  <sheetViews>
    <sheetView zoomScale="85" zoomScaleNormal="85" topLeftCell="A38" workbookViewId="0">
      <selection activeCell="A14" sqref="$A14:$XFD15"/>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1.5044247787611"/>
    <col min="15" max="15" width="12.6283185840708"/>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s="20" customFormat="1" ht="80" customHeight="1" spans="1:14">
      <c r="A5" s="21">
        <v>1</v>
      </c>
      <c r="B5" s="21" t="s">
        <v>1586</v>
      </c>
      <c r="C5" s="21" t="s">
        <v>1587</v>
      </c>
      <c r="D5" s="22" t="s">
        <v>1588</v>
      </c>
      <c r="E5" s="21" t="s">
        <v>55</v>
      </c>
      <c r="F5" s="21">
        <v>42</v>
      </c>
      <c r="G5" s="23">
        <v>58907.891</v>
      </c>
      <c r="H5" s="23">
        <v>2265.69</v>
      </c>
      <c r="I5" s="23">
        <v>755.23</v>
      </c>
      <c r="J5" s="23">
        <v>3020.92</v>
      </c>
      <c r="K5" s="23">
        <v>2265.69</v>
      </c>
      <c r="L5" s="23">
        <v>8307.523</v>
      </c>
      <c r="M5" s="23">
        <v>6797.063</v>
      </c>
      <c r="N5" s="24">
        <f>SUM(G5:M5)</f>
        <v>82320.007</v>
      </c>
    </row>
    <row r="6" ht="45" customHeight="1" spans="1:14">
      <c r="A6" s="4">
        <v>2</v>
      </c>
      <c r="B6" s="4" t="s">
        <v>1589</v>
      </c>
      <c r="C6" s="4" t="s">
        <v>1590</v>
      </c>
      <c r="D6" s="8" t="s">
        <v>1591</v>
      </c>
      <c r="E6" s="4" t="s">
        <v>55</v>
      </c>
      <c r="F6" s="4">
        <v>1</v>
      </c>
      <c r="G6" s="9">
        <v>104.59</v>
      </c>
      <c r="H6" s="9">
        <v>27.52</v>
      </c>
      <c r="I6" s="9">
        <v>13.76</v>
      </c>
      <c r="J6" s="9">
        <v>77.06</v>
      </c>
      <c r="K6" s="9">
        <v>22.02</v>
      </c>
      <c r="L6" s="9">
        <v>30.28</v>
      </c>
      <c r="M6" s="9">
        <v>24.77</v>
      </c>
      <c r="N6" s="16">
        <f>SUM(G6:M6)</f>
        <v>300</v>
      </c>
    </row>
    <row r="7" ht="45" customHeight="1" spans="1:14">
      <c r="A7" s="4">
        <v>3</v>
      </c>
      <c r="B7" s="4" t="s">
        <v>1592</v>
      </c>
      <c r="C7" s="4" t="s">
        <v>1593</v>
      </c>
      <c r="D7" s="8" t="s">
        <v>1594</v>
      </c>
      <c r="E7" s="4" t="s">
        <v>55</v>
      </c>
      <c r="F7" s="4">
        <v>2</v>
      </c>
      <c r="G7" s="9">
        <v>313.76</v>
      </c>
      <c r="H7" s="9">
        <v>82.57</v>
      </c>
      <c r="I7" s="9">
        <v>41.28</v>
      </c>
      <c r="J7" s="9">
        <v>231.19</v>
      </c>
      <c r="K7" s="9">
        <v>66.06</v>
      </c>
      <c r="L7" s="9">
        <v>90.83</v>
      </c>
      <c r="M7" s="9">
        <v>74.31</v>
      </c>
      <c r="N7" s="16">
        <f>SUM(G7:M7)</f>
        <v>900</v>
      </c>
    </row>
    <row r="8" ht="25" customHeight="1" spans="1:14">
      <c r="A8" s="11" t="s">
        <v>50</v>
      </c>
      <c r="B8" s="12"/>
      <c r="C8" s="11"/>
      <c r="D8" s="13"/>
      <c r="E8" s="12"/>
      <c r="F8" s="11"/>
      <c r="G8" s="14"/>
      <c r="H8" s="14"/>
      <c r="I8" s="14"/>
      <c r="J8" s="14"/>
      <c r="K8" s="14"/>
      <c r="L8" s="14"/>
      <c r="M8" s="14"/>
      <c r="N8" s="14">
        <f>SUM(N5:N7)</f>
        <v>83520.007</v>
      </c>
    </row>
    <row r="9" s="20" customFormat="1" ht="178" customHeight="1" spans="1:14">
      <c r="A9" s="21">
        <v>4</v>
      </c>
      <c r="B9" s="21" t="s">
        <v>1595</v>
      </c>
      <c r="C9" s="21" t="s">
        <v>1596</v>
      </c>
      <c r="D9" s="22" t="s">
        <v>1597</v>
      </c>
      <c r="E9" s="21" t="s">
        <v>55</v>
      </c>
      <c r="F9" s="21">
        <v>1</v>
      </c>
      <c r="G9" s="23">
        <v>8300.92</v>
      </c>
      <c r="H9" s="23">
        <v>319.264</v>
      </c>
      <c r="I9" s="23">
        <v>106.424</v>
      </c>
      <c r="J9" s="23">
        <v>425.688</v>
      </c>
      <c r="K9" s="23">
        <v>319.264</v>
      </c>
      <c r="L9" s="23">
        <v>1170.64</v>
      </c>
      <c r="M9" s="23">
        <v>957.8</v>
      </c>
      <c r="N9" s="24">
        <f>SUM(G9:M9)</f>
        <v>11600</v>
      </c>
    </row>
    <row r="10" ht="45" customHeight="1" spans="1:14">
      <c r="A10" s="4">
        <v>5</v>
      </c>
      <c r="B10" s="4" t="s">
        <v>1598</v>
      </c>
      <c r="C10" s="4" t="s">
        <v>1599</v>
      </c>
      <c r="D10" s="8" t="s">
        <v>1600</v>
      </c>
      <c r="E10" s="4" t="s">
        <v>55</v>
      </c>
      <c r="F10" s="4">
        <v>2</v>
      </c>
      <c r="G10" s="9">
        <v>5152.29</v>
      </c>
      <c r="H10" s="9">
        <v>198.17</v>
      </c>
      <c r="I10" s="9">
        <v>66.06</v>
      </c>
      <c r="J10" s="9">
        <v>264.22</v>
      </c>
      <c r="K10" s="9">
        <v>198.17</v>
      </c>
      <c r="L10" s="9">
        <v>726.61</v>
      </c>
      <c r="M10" s="9">
        <v>594.5</v>
      </c>
      <c r="N10" s="16">
        <f>SUM(G10:M10)</f>
        <v>7200.02</v>
      </c>
    </row>
    <row r="11" ht="45" customHeight="1" spans="1:14">
      <c r="A11" s="4">
        <v>6</v>
      </c>
      <c r="B11" s="4" t="s">
        <v>1601</v>
      </c>
      <c r="C11" s="4" t="s">
        <v>340</v>
      </c>
      <c r="D11" s="8" t="s">
        <v>341</v>
      </c>
      <c r="E11" s="4" t="s">
        <v>93</v>
      </c>
      <c r="F11" s="4">
        <v>1</v>
      </c>
      <c r="G11" s="9">
        <v>1321.1</v>
      </c>
      <c r="H11" s="9">
        <v>110.09</v>
      </c>
      <c r="I11" s="9">
        <v>44.04</v>
      </c>
      <c r="J11" s="9">
        <v>330.28</v>
      </c>
      <c r="K11" s="9">
        <v>154.13</v>
      </c>
      <c r="L11" s="9">
        <v>242.2</v>
      </c>
      <c r="M11" s="9">
        <v>198.17</v>
      </c>
      <c r="N11" s="16">
        <f>SUM(G11:M11)</f>
        <v>2400.01</v>
      </c>
    </row>
    <row r="12" ht="25" customHeight="1" spans="1:14">
      <c r="A12" s="11" t="s">
        <v>50</v>
      </c>
      <c r="B12" s="12"/>
      <c r="C12" s="11"/>
      <c r="D12" s="13"/>
      <c r="E12" s="12"/>
      <c r="F12" s="11"/>
      <c r="G12" s="14"/>
      <c r="H12" s="14"/>
      <c r="I12" s="14"/>
      <c r="J12" s="14"/>
      <c r="K12" s="14"/>
      <c r="L12" s="14"/>
      <c r="M12" s="14"/>
      <c r="N12" s="14">
        <f>SUM(N9:N11)</f>
        <v>21200.03</v>
      </c>
    </row>
    <row r="13" ht="45" customHeight="1" spans="1:14">
      <c r="A13" s="4">
        <v>7</v>
      </c>
      <c r="B13" s="4" t="s">
        <v>1602</v>
      </c>
      <c r="C13" s="4" t="s">
        <v>343</v>
      </c>
      <c r="D13" s="8" t="s">
        <v>344</v>
      </c>
      <c r="E13" s="4" t="s">
        <v>55</v>
      </c>
      <c r="F13" s="4">
        <v>2</v>
      </c>
      <c r="G13" s="9">
        <v>3434.86</v>
      </c>
      <c r="H13" s="9">
        <v>132.11</v>
      </c>
      <c r="I13" s="9">
        <v>44.04</v>
      </c>
      <c r="J13" s="9">
        <v>176.15</v>
      </c>
      <c r="K13" s="9">
        <v>132.11</v>
      </c>
      <c r="L13" s="9">
        <v>484.4</v>
      </c>
      <c r="M13" s="9">
        <v>396.33</v>
      </c>
      <c r="N13" s="16">
        <f>SUM(G13:M13)</f>
        <v>4800</v>
      </c>
    </row>
    <row r="14" s="20" customFormat="1" ht="67" customHeight="1" spans="1:14">
      <c r="A14" s="21">
        <v>8</v>
      </c>
      <c r="B14" s="21" t="s">
        <v>1603</v>
      </c>
      <c r="C14" s="21" t="s">
        <v>1604</v>
      </c>
      <c r="D14" s="22" t="s">
        <v>1605</v>
      </c>
      <c r="E14" s="21" t="s">
        <v>1032</v>
      </c>
      <c r="F14" s="21">
        <v>40.55</v>
      </c>
      <c r="G14" s="23">
        <v>134640.88</v>
      </c>
      <c r="H14" s="23">
        <v>5178.496</v>
      </c>
      <c r="I14" s="23">
        <v>1726.168</v>
      </c>
      <c r="J14" s="23">
        <v>6904.664</v>
      </c>
      <c r="K14" s="23">
        <v>5178.496</v>
      </c>
      <c r="L14" s="23">
        <v>18987.816</v>
      </c>
      <c r="M14" s="23">
        <v>15535.488</v>
      </c>
      <c r="N14" s="24">
        <f>SUM(G14:M14)</f>
        <v>188152.008</v>
      </c>
    </row>
    <row r="15" s="20" customFormat="1" ht="64" customHeight="1" spans="1:14">
      <c r="A15" s="21">
        <v>9</v>
      </c>
      <c r="B15" s="21" t="s">
        <v>1606</v>
      </c>
      <c r="C15" s="21" t="s">
        <v>1604</v>
      </c>
      <c r="D15" s="22" t="s">
        <v>1607</v>
      </c>
      <c r="E15" s="21" t="s">
        <v>1032</v>
      </c>
      <c r="F15" s="21">
        <v>37.45</v>
      </c>
      <c r="G15" s="23">
        <v>124347.744</v>
      </c>
      <c r="H15" s="23">
        <v>4782.608</v>
      </c>
      <c r="I15" s="23">
        <v>1594.2</v>
      </c>
      <c r="J15" s="23">
        <v>6376.808</v>
      </c>
      <c r="K15" s="23">
        <v>4782.608</v>
      </c>
      <c r="L15" s="23">
        <v>17536.224</v>
      </c>
      <c r="M15" s="23">
        <v>14347.816</v>
      </c>
      <c r="N15" s="24">
        <f>SUM(G15:M15)</f>
        <v>173768.008</v>
      </c>
    </row>
    <row r="16" ht="25" customHeight="1" spans="1:14">
      <c r="A16" s="11" t="s">
        <v>50</v>
      </c>
      <c r="B16" s="12"/>
      <c r="C16" s="11"/>
      <c r="D16" s="13"/>
      <c r="E16" s="12"/>
      <c r="F16" s="11"/>
      <c r="G16" s="14"/>
      <c r="H16" s="14"/>
      <c r="I16" s="14"/>
      <c r="J16" s="14"/>
      <c r="K16" s="14"/>
      <c r="L16" s="14"/>
      <c r="M16" s="14"/>
      <c r="N16" s="14">
        <f>SUM(N13:N15)</f>
        <v>366720.016</v>
      </c>
    </row>
    <row r="17" ht="89" customHeight="1" spans="1:14">
      <c r="A17" s="4">
        <v>10</v>
      </c>
      <c r="B17" s="4" t="s">
        <v>1608</v>
      </c>
      <c r="C17" s="4" t="s">
        <v>133</v>
      </c>
      <c r="D17" s="8" t="s">
        <v>134</v>
      </c>
      <c r="E17" s="4" t="s">
        <v>66</v>
      </c>
      <c r="F17" s="4">
        <v>1</v>
      </c>
      <c r="G17" s="9">
        <v>1045.87</v>
      </c>
      <c r="H17" s="9">
        <v>275.23</v>
      </c>
      <c r="I17" s="9">
        <v>137.61</v>
      </c>
      <c r="J17" s="9">
        <v>770.64</v>
      </c>
      <c r="K17" s="9">
        <v>220.18</v>
      </c>
      <c r="L17" s="9">
        <v>302.75</v>
      </c>
      <c r="M17" s="9">
        <v>247.71</v>
      </c>
      <c r="N17" s="16">
        <f t="shared" ref="N16:N45" si="0">SUM(G17:M17)</f>
        <v>2999.99</v>
      </c>
    </row>
    <row r="18" ht="45" customHeight="1" spans="1:14">
      <c r="A18" s="4">
        <v>11</v>
      </c>
      <c r="B18" s="4" t="s">
        <v>1609</v>
      </c>
      <c r="C18" s="4" t="s">
        <v>347</v>
      </c>
      <c r="D18" s="8" t="s">
        <v>348</v>
      </c>
      <c r="E18" s="4" t="s">
        <v>66</v>
      </c>
      <c r="F18" s="4">
        <v>1</v>
      </c>
      <c r="G18" s="9">
        <v>1100.92</v>
      </c>
      <c r="H18" s="9">
        <v>91.74</v>
      </c>
      <c r="I18" s="9">
        <v>36.7</v>
      </c>
      <c r="J18" s="9">
        <v>275.23</v>
      </c>
      <c r="K18" s="9">
        <v>128.44</v>
      </c>
      <c r="L18" s="9">
        <v>201.83</v>
      </c>
      <c r="M18" s="9">
        <v>165.14</v>
      </c>
      <c r="N18" s="16">
        <f t="shared" si="0"/>
        <v>2000</v>
      </c>
    </row>
    <row r="19" ht="45" customHeight="1" spans="1:14">
      <c r="A19" s="4">
        <v>12</v>
      </c>
      <c r="B19" s="4" t="s">
        <v>1610</v>
      </c>
      <c r="C19" s="4" t="s">
        <v>350</v>
      </c>
      <c r="D19" s="8" t="s">
        <v>1611</v>
      </c>
      <c r="E19" s="4" t="s">
        <v>66</v>
      </c>
      <c r="F19" s="4">
        <v>1</v>
      </c>
      <c r="G19" s="9">
        <v>5724.77</v>
      </c>
      <c r="H19" s="9">
        <v>220.18</v>
      </c>
      <c r="I19" s="9">
        <v>73.39</v>
      </c>
      <c r="J19" s="9">
        <v>293.58</v>
      </c>
      <c r="K19" s="9">
        <v>220.18</v>
      </c>
      <c r="L19" s="9">
        <v>807.34</v>
      </c>
      <c r="M19" s="9">
        <v>660.55</v>
      </c>
      <c r="N19" s="16">
        <f t="shared" si="0"/>
        <v>7999.99</v>
      </c>
    </row>
    <row r="20" ht="45" customHeight="1" spans="1:14">
      <c r="A20" s="4">
        <v>13</v>
      </c>
      <c r="B20" s="4" t="s">
        <v>1612</v>
      </c>
      <c r="C20" s="4" t="s">
        <v>95</v>
      </c>
      <c r="D20" s="8" t="s">
        <v>283</v>
      </c>
      <c r="E20" s="4" t="s">
        <v>47</v>
      </c>
      <c r="F20" s="4">
        <v>11.6</v>
      </c>
      <c r="G20" s="9">
        <v>18.2</v>
      </c>
      <c r="H20" s="9">
        <v>4.79</v>
      </c>
      <c r="I20" s="9">
        <v>2.39</v>
      </c>
      <c r="J20" s="9">
        <v>13.41</v>
      </c>
      <c r="K20" s="9">
        <v>3.83</v>
      </c>
      <c r="L20" s="9">
        <v>5.27</v>
      </c>
      <c r="M20" s="9">
        <v>4.31</v>
      </c>
      <c r="N20" s="16">
        <f t="shared" si="0"/>
        <v>52.2</v>
      </c>
    </row>
    <row r="21" ht="25" customHeight="1" spans="1:14">
      <c r="A21" s="11" t="s">
        <v>50</v>
      </c>
      <c r="B21" s="12"/>
      <c r="C21" s="11"/>
      <c r="D21" s="13"/>
      <c r="E21" s="12"/>
      <c r="F21" s="11"/>
      <c r="G21" s="14"/>
      <c r="H21" s="14"/>
      <c r="I21" s="14"/>
      <c r="J21" s="14"/>
      <c r="K21" s="14"/>
      <c r="L21" s="14"/>
      <c r="M21" s="14"/>
      <c r="N21" s="14">
        <f>SUM(N17:N20)</f>
        <v>13052.18</v>
      </c>
    </row>
    <row r="22" ht="45" customHeight="1" spans="1:14">
      <c r="A22" s="4">
        <v>14</v>
      </c>
      <c r="B22" s="4" t="s">
        <v>1613</v>
      </c>
      <c r="C22" s="4" t="s">
        <v>95</v>
      </c>
      <c r="D22" s="8" t="s">
        <v>281</v>
      </c>
      <c r="E22" s="4" t="s">
        <v>47</v>
      </c>
      <c r="F22" s="4">
        <v>13.3</v>
      </c>
      <c r="G22" s="9">
        <v>20.87</v>
      </c>
      <c r="H22" s="9">
        <v>5.49</v>
      </c>
      <c r="I22" s="9">
        <v>2.75</v>
      </c>
      <c r="J22" s="9">
        <v>15.37</v>
      </c>
      <c r="K22" s="9">
        <v>4.39</v>
      </c>
      <c r="L22" s="9">
        <v>6.04</v>
      </c>
      <c r="M22" s="9">
        <v>4.94</v>
      </c>
      <c r="N22" s="16">
        <f t="shared" si="0"/>
        <v>59.85</v>
      </c>
    </row>
    <row r="23" ht="45" customHeight="1" spans="1:14">
      <c r="A23" s="4">
        <v>15</v>
      </c>
      <c r="B23" s="4" t="s">
        <v>1614</v>
      </c>
      <c r="C23" s="4" t="s">
        <v>103</v>
      </c>
      <c r="D23" s="8" t="s">
        <v>287</v>
      </c>
      <c r="E23" s="4" t="s">
        <v>105</v>
      </c>
      <c r="F23" s="4">
        <v>2.38</v>
      </c>
      <c r="G23" s="9">
        <v>3.98</v>
      </c>
      <c r="H23" s="9">
        <v>1.05</v>
      </c>
      <c r="I23" s="9">
        <v>0.52</v>
      </c>
      <c r="J23" s="9">
        <v>2.93</v>
      </c>
      <c r="K23" s="9">
        <v>0.84</v>
      </c>
      <c r="L23" s="9">
        <v>1.15</v>
      </c>
      <c r="M23" s="9">
        <v>0.94</v>
      </c>
      <c r="N23" s="16">
        <f t="shared" si="0"/>
        <v>11.41</v>
      </c>
    </row>
    <row r="24" ht="45" customHeight="1" spans="1:14">
      <c r="A24" s="4">
        <v>16</v>
      </c>
      <c r="B24" s="4" t="s">
        <v>1615</v>
      </c>
      <c r="C24" s="4" t="s">
        <v>100</v>
      </c>
      <c r="D24" s="8" t="s">
        <v>285</v>
      </c>
      <c r="E24" s="4" t="s">
        <v>47</v>
      </c>
      <c r="F24" s="4">
        <v>11.6</v>
      </c>
      <c r="G24" s="9">
        <v>191.56</v>
      </c>
      <c r="H24" s="9">
        <v>15.96</v>
      </c>
      <c r="I24" s="9">
        <v>6.39</v>
      </c>
      <c r="J24" s="9">
        <v>47.89</v>
      </c>
      <c r="K24" s="9">
        <v>22.35</v>
      </c>
      <c r="L24" s="9">
        <v>35.12</v>
      </c>
      <c r="M24" s="9">
        <v>28.73</v>
      </c>
      <c r="N24" s="16">
        <f t="shared" si="0"/>
        <v>348</v>
      </c>
    </row>
    <row r="25" ht="45" customHeight="1" spans="1:14">
      <c r="A25" s="4">
        <v>17</v>
      </c>
      <c r="B25" s="4" t="s">
        <v>1616</v>
      </c>
      <c r="C25" s="4" t="s">
        <v>110</v>
      </c>
      <c r="D25" s="8" t="s">
        <v>422</v>
      </c>
      <c r="E25" s="4" t="s">
        <v>47</v>
      </c>
      <c r="F25" s="4">
        <v>335.7</v>
      </c>
      <c r="G25" s="9">
        <v>351.1</v>
      </c>
      <c r="H25" s="9">
        <v>92.39</v>
      </c>
      <c r="I25" s="9">
        <v>46.2</v>
      </c>
      <c r="J25" s="9">
        <v>258.7</v>
      </c>
      <c r="K25" s="9">
        <v>73.92</v>
      </c>
      <c r="L25" s="9">
        <v>101.63</v>
      </c>
      <c r="M25" s="9">
        <v>83.16</v>
      </c>
      <c r="N25" s="16">
        <f t="shared" si="0"/>
        <v>1007.1</v>
      </c>
    </row>
    <row r="26" ht="45" customHeight="1" spans="1:14">
      <c r="A26" s="4">
        <v>18</v>
      </c>
      <c r="B26" s="4" t="s">
        <v>1617</v>
      </c>
      <c r="C26" s="4" t="s">
        <v>110</v>
      </c>
      <c r="D26" s="8" t="s">
        <v>424</v>
      </c>
      <c r="E26" s="4" t="s">
        <v>47</v>
      </c>
      <c r="F26" s="4">
        <v>24.8</v>
      </c>
      <c r="G26" s="9">
        <v>25.94</v>
      </c>
      <c r="H26" s="9">
        <v>6.83</v>
      </c>
      <c r="I26" s="9">
        <v>3.41</v>
      </c>
      <c r="J26" s="9">
        <v>19.11</v>
      </c>
      <c r="K26" s="9">
        <v>5.46</v>
      </c>
      <c r="L26" s="9">
        <v>7.51</v>
      </c>
      <c r="M26" s="9">
        <v>6.14</v>
      </c>
      <c r="N26" s="16">
        <f t="shared" si="0"/>
        <v>74.4</v>
      </c>
    </row>
    <row r="27" ht="25" customHeight="1" spans="1:14">
      <c r="A27" s="11" t="s">
        <v>50</v>
      </c>
      <c r="B27" s="12"/>
      <c r="C27" s="11"/>
      <c r="D27" s="13"/>
      <c r="E27" s="12"/>
      <c r="F27" s="11"/>
      <c r="G27" s="14"/>
      <c r="H27" s="14"/>
      <c r="I27" s="14"/>
      <c r="J27" s="14"/>
      <c r="K27" s="14"/>
      <c r="L27" s="14"/>
      <c r="M27" s="14"/>
      <c r="N27" s="14">
        <f>SUM(N22:N26)</f>
        <v>1500.76</v>
      </c>
    </row>
    <row r="28" ht="45" customHeight="1" spans="1:14">
      <c r="A28" s="4">
        <v>19</v>
      </c>
      <c r="B28" s="4" t="s">
        <v>1618</v>
      </c>
      <c r="C28" s="4" t="s">
        <v>1619</v>
      </c>
      <c r="D28" s="8" t="s">
        <v>1620</v>
      </c>
      <c r="E28" s="4" t="s">
        <v>93</v>
      </c>
      <c r="F28" s="4">
        <v>4</v>
      </c>
      <c r="G28" s="9">
        <v>108.77</v>
      </c>
      <c r="H28" s="9">
        <v>4.18</v>
      </c>
      <c r="I28" s="9">
        <v>1.39</v>
      </c>
      <c r="J28" s="9">
        <v>5.58</v>
      </c>
      <c r="K28" s="9">
        <v>4.18</v>
      </c>
      <c r="L28" s="9">
        <v>15.34</v>
      </c>
      <c r="M28" s="9">
        <v>12.55</v>
      </c>
      <c r="N28" s="16">
        <f t="shared" si="0"/>
        <v>151.99</v>
      </c>
    </row>
    <row r="29" ht="45" customHeight="1" spans="1:14">
      <c r="A29" s="4">
        <v>20</v>
      </c>
      <c r="B29" s="4" t="s">
        <v>1621</v>
      </c>
      <c r="C29" s="4" t="s">
        <v>1622</v>
      </c>
      <c r="D29" s="8" t="s">
        <v>1623</v>
      </c>
      <c r="E29" s="4" t="s">
        <v>93</v>
      </c>
      <c r="F29" s="4">
        <v>4</v>
      </c>
      <c r="G29" s="9">
        <v>28.62</v>
      </c>
      <c r="H29" s="9">
        <v>1.1</v>
      </c>
      <c r="I29" s="9">
        <v>0.37</v>
      </c>
      <c r="J29" s="9">
        <v>1.47</v>
      </c>
      <c r="K29" s="9">
        <v>1.1</v>
      </c>
      <c r="L29" s="9">
        <v>4.04</v>
      </c>
      <c r="M29" s="9">
        <v>3.3</v>
      </c>
      <c r="N29" s="16">
        <f t="shared" si="0"/>
        <v>40</v>
      </c>
    </row>
    <row r="30" ht="45" customHeight="1" spans="1:14">
      <c r="A30" s="4">
        <v>21</v>
      </c>
      <c r="B30" s="4" t="s">
        <v>1624</v>
      </c>
      <c r="C30" s="4" t="s">
        <v>123</v>
      </c>
      <c r="D30" s="8" t="s">
        <v>1625</v>
      </c>
      <c r="E30" s="4" t="s">
        <v>125</v>
      </c>
      <c r="F30" s="4">
        <v>4</v>
      </c>
      <c r="G30" s="9">
        <v>11.16</v>
      </c>
      <c r="H30" s="9">
        <v>2.94</v>
      </c>
      <c r="I30" s="9">
        <v>1.47</v>
      </c>
      <c r="J30" s="9">
        <v>8.22</v>
      </c>
      <c r="K30" s="9">
        <v>2.35</v>
      </c>
      <c r="L30" s="9">
        <v>3.23</v>
      </c>
      <c r="M30" s="9">
        <v>2.64</v>
      </c>
      <c r="N30" s="16">
        <f t="shared" si="0"/>
        <v>32.01</v>
      </c>
    </row>
    <row r="31" ht="45" customHeight="1" spans="1:14">
      <c r="A31" s="4">
        <v>22</v>
      </c>
      <c r="B31" s="4" t="s">
        <v>1626</v>
      </c>
      <c r="C31" s="4" t="s">
        <v>95</v>
      </c>
      <c r="D31" s="8" t="s">
        <v>283</v>
      </c>
      <c r="E31" s="4" t="s">
        <v>47</v>
      </c>
      <c r="F31" s="4">
        <v>30</v>
      </c>
      <c r="G31" s="9">
        <v>47.06</v>
      </c>
      <c r="H31" s="9">
        <v>12.39</v>
      </c>
      <c r="I31" s="9">
        <v>6.19</v>
      </c>
      <c r="J31" s="9">
        <v>34.68</v>
      </c>
      <c r="K31" s="9">
        <v>9.91</v>
      </c>
      <c r="L31" s="9">
        <v>13.62</v>
      </c>
      <c r="M31" s="9">
        <v>11.15</v>
      </c>
      <c r="N31" s="16">
        <f t="shared" si="0"/>
        <v>135</v>
      </c>
    </row>
    <row r="32" ht="45" customHeight="1" spans="1:14">
      <c r="A32" s="4">
        <v>23</v>
      </c>
      <c r="B32" s="4" t="s">
        <v>1627</v>
      </c>
      <c r="C32" s="4" t="s">
        <v>95</v>
      </c>
      <c r="D32" s="8" t="s">
        <v>281</v>
      </c>
      <c r="E32" s="4" t="s">
        <v>47</v>
      </c>
      <c r="F32" s="4">
        <v>165.81</v>
      </c>
      <c r="G32" s="9">
        <v>260.12</v>
      </c>
      <c r="H32" s="9">
        <v>68.45</v>
      </c>
      <c r="I32" s="9">
        <v>34.23</v>
      </c>
      <c r="J32" s="9">
        <v>191.67</v>
      </c>
      <c r="K32" s="9">
        <v>54.76</v>
      </c>
      <c r="L32" s="9">
        <v>75.3</v>
      </c>
      <c r="M32" s="9">
        <v>61.61</v>
      </c>
      <c r="N32" s="16">
        <f t="shared" si="0"/>
        <v>746.14</v>
      </c>
    </row>
    <row r="33" ht="25" customHeight="1" spans="1:14">
      <c r="A33" s="11" t="s">
        <v>50</v>
      </c>
      <c r="B33" s="12"/>
      <c r="C33" s="11"/>
      <c r="D33" s="13"/>
      <c r="E33" s="12"/>
      <c r="F33" s="11"/>
      <c r="G33" s="14"/>
      <c r="H33" s="14"/>
      <c r="I33" s="14"/>
      <c r="J33" s="14"/>
      <c r="K33" s="14"/>
      <c r="L33" s="14"/>
      <c r="M33" s="14"/>
      <c r="N33" s="14">
        <f>SUM(N28:N32)</f>
        <v>1105.14</v>
      </c>
    </row>
    <row r="34" ht="45" customHeight="1" spans="1:14">
      <c r="A34" s="4">
        <v>24</v>
      </c>
      <c r="B34" s="4" t="s">
        <v>1628</v>
      </c>
      <c r="C34" s="4" t="s">
        <v>103</v>
      </c>
      <c r="D34" s="8" t="s">
        <v>287</v>
      </c>
      <c r="E34" s="4" t="s">
        <v>105</v>
      </c>
      <c r="F34" s="4">
        <v>49.74</v>
      </c>
      <c r="G34" s="9">
        <v>83.23</v>
      </c>
      <c r="H34" s="9">
        <v>21.9</v>
      </c>
      <c r="I34" s="9">
        <v>10.95</v>
      </c>
      <c r="J34" s="9">
        <v>61.33</v>
      </c>
      <c r="K34" s="9">
        <v>17.52</v>
      </c>
      <c r="L34" s="9">
        <v>24.09</v>
      </c>
      <c r="M34" s="9">
        <v>19.71</v>
      </c>
      <c r="N34" s="16">
        <f t="shared" si="0"/>
        <v>238.73</v>
      </c>
    </row>
    <row r="35" ht="45" customHeight="1" spans="1:14">
      <c r="A35" s="4">
        <v>25</v>
      </c>
      <c r="B35" s="4" t="s">
        <v>1629</v>
      </c>
      <c r="C35" s="4" t="s">
        <v>100</v>
      </c>
      <c r="D35" s="8" t="s">
        <v>285</v>
      </c>
      <c r="E35" s="4" t="s">
        <v>47</v>
      </c>
      <c r="F35" s="4">
        <v>30</v>
      </c>
      <c r="G35" s="9">
        <v>495.41</v>
      </c>
      <c r="H35" s="9">
        <v>41.28</v>
      </c>
      <c r="I35" s="9">
        <v>16.51</v>
      </c>
      <c r="J35" s="9">
        <v>123.85</v>
      </c>
      <c r="K35" s="9">
        <v>57.8</v>
      </c>
      <c r="L35" s="9">
        <v>90.83</v>
      </c>
      <c r="M35" s="9">
        <v>74.31</v>
      </c>
      <c r="N35" s="16">
        <f t="shared" si="0"/>
        <v>899.99</v>
      </c>
    </row>
    <row r="36" ht="45" customHeight="1" spans="1:14">
      <c r="A36" s="4">
        <v>26</v>
      </c>
      <c r="B36" s="4" t="s">
        <v>1630</v>
      </c>
      <c r="C36" s="4" t="s">
        <v>110</v>
      </c>
      <c r="D36" s="8" t="s">
        <v>422</v>
      </c>
      <c r="E36" s="4" t="s">
        <v>47</v>
      </c>
      <c r="F36" s="4">
        <v>1359.25</v>
      </c>
      <c r="G36" s="9">
        <v>1421.6</v>
      </c>
      <c r="H36" s="9">
        <v>374.11</v>
      </c>
      <c r="I36" s="9">
        <v>187.05</v>
      </c>
      <c r="J36" s="9">
        <v>1047.5</v>
      </c>
      <c r="K36" s="9">
        <v>299.28</v>
      </c>
      <c r="L36" s="9">
        <v>411.52</v>
      </c>
      <c r="M36" s="9">
        <v>336.69</v>
      </c>
      <c r="N36" s="16">
        <f t="shared" si="0"/>
        <v>4077.75</v>
      </c>
    </row>
    <row r="37" ht="45" customHeight="1" spans="1:14">
      <c r="A37" s="4">
        <v>27</v>
      </c>
      <c r="B37" s="4" t="s">
        <v>1631</v>
      </c>
      <c r="C37" s="4" t="s">
        <v>110</v>
      </c>
      <c r="D37" s="8" t="s">
        <v>424</v>
      </c>
      <c r="E37" s="4" t="s">
        <v>47</v>
      </c>
      <c r="F37" s="4">
        <v>277.34</v>
      </c>
      <c r="G37" s="9">
        <v>290.06</v>
      </c>
      <c r="H37" s="9">
        <v>76.33</v>
      </c>
      <c r="I37" s="9">
        <v>38.17</v>
      </c>
      <c r="J37" s="9">
        <v>213.73</v>
      </c>
      <c r="K37" s="9">
        <v>61.07</v>
      </c>
      <c r="L37" s="9">
        <v>83.97</v>
      </c>
      <c r="M37" s="9">
        <v>68.7</v>
      </c>
      <c r="N37" s="16">
        <f t="shared" si="0"/>
        <v>832.03</v>
      </c>
    </row>
    <row r="38" ht="45" customHeight="1" spans="1:14">
      <c r="A38" s="4">
        <v>28</v>
      </c>
      <c r="B38" s="4" t="s">
        <v>1632</v>
      </c>
      <c r="C38" s="4" t="s">
        <v>1619</v>
      </c>
      <c r="D38" s="8" t="s">
        <v>1620</v>
      </c>
      <c r="E38" s="4" t="s">
        <v>93</v>
      </c>
      <c r="F38" s="4">
        <v>29</v>
      </c>
      <c r="G38" s="9">
        <v>788.59</v>
      </c>
      <c r="H38" s="9">
        <v>30.33</v>
      </c>
      <c r="I38" s="9">
        <v>10.11</v>
      </c>
      <c r="J38" s="9">
        <v>40.44</v>
      </c>
      <c r="K38" s="9">
        <v>30.33</v>
      </c>
      <c r="L38" s="9">
        <v>111.21</v>
      </c>
      <c r="M38" s="9">
        <v>90.99</v>
      </c>
      <c r="N38" s="16">
        <f t="shared" si="0"/>
        <v>1102</v>
      </c>
    </row>
    <row r="39" ht="25" customHeight="1" spans="1:14">
      <c r="A39" s="11" t="s">
        <v>50</v>
      </c>
      <c r="B39" s="12"/>
      <c r="C39" s="11"/>
      <c r="D39" s="13"/>
      <c r="E39" s="12"/>
      <c r="F39" s="11"/>
      <c r="G39" s="14"/>
      <c r="H39" s="14"/>
      <c r="I39" s="14"/>
      <c r="J39" s="14"/>
      <c r="K39" s="14"/>
      <c r="L39" s="14"/>
      <c r="M39" s="14"/>
      <c r="N39" s="14">
        <f>SUM(N34:N38)</f>
        <v>7150.5</v>
      </c>
    </row>
    <row r="40" ht="45" customHeight="1" spans="1:14">
      <c r="A40" s="4">
        <v>29</v>
      </c>
      <c r="B40" s="4" t="s">
        <v>1633</v>
      </c>
      <c r="C40" s="4" t="s">
        <v>1622</v>
      </c>
      <c r="D40" s="8" t="s">
        <v>1623</v>
      </c>
      <c r="E40" s="4" t="s">
        <v>93</v>
      </c>
      <c r="F40" s="4">
        <v>29</v>
      </c>
      <c r="G40" s="9">
        <v>207.52</v>
      </c>
      <c r="H40" s="9">
        <v>7.98</v>
      </c>
      <c r="I40" s="9">
        <v>2.66</v>
      </c>
      <c r="J40" s="9">
        <v>10.64</v>
      </c>
      <c r="K40" s="9">
        <v>7.98</v>
      </c>
      <c r="L40" s="9">
        <v>29.27</v>
      </c>
      <c r="M40" s="9">
        <v>23.94</v>
      </c>
      <c r="N40" s="16">
        <f t="shared" si="0"/>
        <v>289.99</v>
      </c>
    </row>
    <row r="41" ht="45" customHeight="1" spans="1:14">
      <c r="A41" s="4">
        <v>30</v>
      </c>
      <c r="B41" s="4" t="s">
        <v>1634</v>
      </c>
      <c r="C41" s="4" t="s">
        <v>123</v>
      </c>
      <c r="D41" s="8" t="s">
        <v>1625</v>
      </c>
      <c r="E41" s="4" t="s">
        <v>125</v>
      </c>
      <c r="F41" s="4">
        <v>29</v>
      </c>
      <c r="G41" s="9">
        <v>80.88</v>
      </c>
      <c r="H41" s="9">
        <v>21.28</v>
      </c>
      <c r="I41" s="9">
        <v>10.64</v>
      </c>
      <c r="J41" s="9">
        <v>59.6</v>
      </c>
      <c r="K41" s="9">
        <v>17.03</v>
      </c>
      <c r="L41" s="9">
        <v>23.41</v>
      </c>
      <c r="M41" s="9">
        <v>19.16</v>
      </c>
      <c r="N41" s="16">
        <f t="shared" si="0"/>
        <v>232</v>
      </c>
    </row>
    <row r="42" ht="45" customHeight="1" spans="1:14">
      <c r="A42" s="4">
        <v>31</v>
      </c>
      <c r="B42" s="4" t="s">
        <v>1635</v>
      </c>
      <c r="C42" s="4" t="s">
        <v>64</v>
      </c>
      <c r="D42" s="8" t="s">
        <v>353</v>
      </c>
      <c r="E42" s="4" t="s">
        <v>66</v>
      </c>
      <c r="F42" s="4">
        <v>1</v>
      </c>
      <c r="G42" s="9">
        <v>174.31</v>
      </c>
      <c r="H42" s="9">
        <v>45.87</v>
      </c>
      <c r="I42" s="9">
        <v>22.94</v>
      </c>
      <c r="J42" s="9">
        <v>128.44</v>
      </c>
      <c r="K42" s="9">
        <v>36.7</v>
      </c>
      <c r="L42" s="9">
        <v>50.46</v>
      </c>
      <c r="M42" s="9">
        <v>41.28</v>
      </c>
      <c r="N42" s="16">
        <f t="shared" si="0"/>
        <v>500</v>
      </c>
    </row>
    <row r="43" ht="25" customHeight="1" spans="1:14">
      <c r="A43" s="4">
        <v>32</v>
      </c>
      <c r="B43" s="4" t="s">
        <v>1636</v>
      </c>
      <c r="C43" s="4" t="s">
        <v>319</v>
      </c>
      <c r="D43" s="8"/>
      <c r="E43" s="4" t="s">
        <v>66</v>
      </c>
      <c r="F43" s="4">
        <v>1</v>
      </c>
      <c r="G43" s="9">
        <v>275.23</v>
      </c>
      <c r="H43" s="9">
        <v>22.94</v>
      </c>
      <c r="I43" s="9">
        <v>9.17</v>
      </c>
      <c r="J43" s="9">
        <v>68.81</v>
      </c>
      <c r="K43" s="9">
        <v>32.11</v>
      </c>
      <c r="L43" s="9">
        <v>50.46</v>
      </c>
      <c r="M43" s="9">
        <v>41.28</v>
      </c>
      <c r="N43" s="16">
        <f t="shared" si="0"/>
        <v>500</v>
      </c>
    </row>
    <row r="44" ht="25" customHeight="1" spans="1:14">
      <c r="A44" s="11" t="s">
        <v>50</v>
      </c>
      <c r="B44" s="12"/>
      <c r="C44" s="11"/>
      <c r="D44" s="13"/>
      <c r="E44" s="12"/>
      <c r="F44" s="11"/>
      <c r="G44" s="14"/>
      <c r="H44" s="14"/>
      <c r="I44" s="14"/>
      <c r="J44" s="14"/>
      <c r="K44" s="14"/>
      <c r="L44" s="14"/>
      <c r="M44" s="14"/>
      <c r="N44" s="14">
        <f>SUM(N40:N43)</f>
        <v>1521.99</v>
      </c>
    </row>
    <row r="45" ht="25" customHeight="1" spans="1:14">
      <c r="A45" s="4" t="s">
        <v>188</v>
      </c>
      <c r="B45" s="4"/>
      <c r="C45" s="4"/>
      <c r="D45" s="8"/>
      <c r="E45" s="4"/>
      <c r="F45" s="4"/>
      <c r="G45" s="9"/>
      <c r="H45" s="9"/>
      <c r="I45" s="9"/>
      <c r="J45" s="9"/>
      <c r="K45" s="9"/>
      <c r="L45" s="9"/>
      <c r="M45" s="9"/>
      <c r="N45" s="16">
        <f>N8+N12+N16+N21+N27+N33+N39+N44</f>
        <v>495770.623</v>
      </c>
    </row>
  </sheetData>
  <autoFilter xmlns:etc="http://www.wps.cn/officeDocument/2017/etCustomData" ref="A4:N45" etc:filterBottomFollowUsedRange="0">
    <extLst/>
  </autoFilter>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42"/>
  <sheetViews>
    <sheetView zoomScale="85" zoomScaleNormal="85" topLeftCell="A53" workbookViewId="0">
      <selection activeCell="N4" sqref="N4"/>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0.5309734513274"/>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ht="60" customHeight="1" spans="1:14">
      <c r="A5" s="4">
        <v>1</v>
      </c>
      <c r="B5" s="4" t="s">
        <v>1637</v>
      </c>
      <c r="C5" s="4" t="s">
        <v>1638</v>
      </c>
      <c r="D5" s="8" t="s">
        <v>1639</v>
      </c>
      <c r="E5" s="4" t="s">
        <v>55</v>
      </c>
      <c r="F5" s="4">
        <v>1</v>
      </c>
      <c r="G5" s="9">
        <v>2618.34</v>
      </c>
      <c r="H5" s="9">
        <v>100.71</v>
      </c>
      <c r="I5" s="9">
        <v>33.57</v>
      </c>
      <c r="J5" s="9">
        <v>134.27</v>
      </c>
      <c r="K5" s="9">
        <v>100.71</v>
      </c>
      <c r="L5" s="9">
        <v>369.25</v>
      </c>
      <c r="M5" s="9">
        <v>302.12</v>
      </c>
      <c r="N5" s="16">
        <f t="shared" ref="N5:N42" si="0">SUM(G5:M5)</f>
        <v>3658.97</v>
      </c>
    </row>
    <row r="6" ht="171" customHeight="1" spans="1:14">
      <c r="A6" s="4">
        <v>2</v>
      </c>
      <c r="B6" s="4" t="s">
        <v>1640</v>
      </c>
      <c r="C6" s="4" t="s">
        <v>1641</v>
      </c>
      <c r="D6" s="8" t="s">
        <v>1642</v>
      </c>
      <c r="E6" s="4" t="s">
        <v>55</v>
      </c>
      <c r="F6" s="4">
        <v>1</v>
      </c>
      <c r="G6" s="9">
        <v>6557.82</v>
      </c>
      <c r="H6" s="9">
        <v>252.22</v>
      </c>
      <c r="I6" s="9">
        <v>84.07</v>
      </c>
      <c r="J6" s="9">
        <v>336.3</v>
      </c>
      <c r="K6" s="9">
        <v>252.22</v>
      </c>
      <c r="L6" s="9">
        <v>924.82</v>
      </c>
      <c r="M6" s="9">
        <v>756.67</v>
      </c>
      <c r="N6" s="16">
        <f t="shared" si="0"/>
        <v>9164.12</v>
      </c>
    </row>
    <row r="7" ht="45" customHeight="1" spans="1:14">
      <c r="A7" s="4">
        <v>3</v>
      </c>
      <c r="B7" s="4" t="s">
        <v>1643</v>
      </c>
      <c r="C7" s="4" t="s">
        <v>1644</v>
      </c>
      <c r="D7" s="8" t="s">
        <v>1645</v>
      </c>
      <c r="E7" s="4" t="s">
        <v>248</v>
      </c>
      <c r="F7" s="4">
        <v>1</v>
      </c>
      <c r="G7" s="9">
        <v>1022.36</v>
      </c>
      <c r="H7" s="9">
        <v>85.2</v>
      </c>
      <c r="I7" s="9">
        <v>34.08</v>
      </c>
      <c r="J7" s="9">
        <v>255.59</v>
      </c>
      <c r="K7" s="9">
        <v>119.28</v>
      </c>
      <c r="L7" s="9">
        <v>187.43</v>
      </c>
      <c r="M7" s="9">
        <v>153.35</v>
      </c>
      <c r="N7" s="16">
        <f t="shared" si="0"/>
        <v>1857.29</v>
      </c>
    </row>
    <row r="8" ht="25" customHeight="1" spans="1:14">
      <c r="A8" s="11" t="s">
        <v>50</v>
      </c>
      <c r="B8" s="12"/>
      <c r="C8" s="11"/>
      <c r="D8" s="13"/>
      <c r="E8" s="12"/>
      <c r="F8" s="11"/>
      <c r="G8" s="14"/>
      <c r="H8" s="14"/>
      <c r="I8" s="14"/>
      <c r="J8" s="14"/>
      <c r="K8" s="14"/>
      <c r="L8" s="14"/>
      <c r="M8" s="14"/>
      <c r="N8" s="14">
        <f>SUM(N5:N7)</f>
        <v>14680.38</v>
      </c>
    </row>
    <row r="9" ht="60" customHeight="1" spans="1:14">
      <c r="A9" s="4">
        <v>4</v>
      </c>
      <c r="B9" s="4" t="s">
        <v>1646</v>
      </c>
      <c r="C9" s="4" t="s">
        <v>1647</v>
      </c>
      <c r="D9" s="8" t="s">
        <v>1648</v>
      </c>
      <c r="E9" s="4" t="s">
        <v>248</v>
      </c>
      <c r="F9" s="4">
        <v>1</v>
      </c>
      <c r="G9" s="9">
        <v>4568.04</v>
      </c>
      <c r="H9" s="9">
        <v>175.69</v>
      </c>
      <c r="I9" s="9">
        <v>58.56</v>
      </c>
      <c r="J9" s="9">
        <v>234.26</v>
      </c>
      <c r="K9" s="9">
        <v>175.69</v>
      </c>
      <c r="L9" s="9">
        <v>644.21</v>
      </c>
      <c r="M9" s="9">
        <v>527.08</v>
      </c>
      <c r="N9" s="16">
        <f t="shared" si="0"/>
        <v>6383.53</v>
      </c>
    </row>
    <row r="10" ht="45" customHeight="1" spans="1:14">
      <c r="A10" s="4">
        <v>5</v>
      </c>
      <c r="B10" s="4" t="s">
        <v>1649</v>
      </c>
      <c r="C10" s="4" t="s">
        <v>1650</v>
      </c>
      <c r="D10" s="8" t="s">
        <v>1651</v>
      </c>
      <c r="E10" s="4" t="s">
        <v>55</v>
      </c>
      <c r="F10" s="4">
        <v>1</v>
      </c>
      <c r="G10" s="9">
        <v>1320.71</v>
      </c>
      <c r="H10" s="9">
        <v>50.8</v>
      </c>
      <c r="I10" s="9">
        <v>16.93</v>
      </c>
      <c r="J10" s="9">
        <v>67.73</v>
      </c>
      <c r="K10" s="9">
        <v>50.8</v>
      </c>
      <c r="L10" s="9">
        <v>186.25</v>
      </c>
      <c r="M10" s="9">
        <v>152.39</v>
      </c>
      <c r="N10" s="16">
        <f t="shared" si="0"/>
        <v>1845.61</v>
      </c>
    </row>
    <row r="11" ht="45" customHeight="1" spans="1:14">
      <c r="A11" s="4">
        <v>6</v>
      </c>
      <c r="B11" s="4" t="s">
        <v>1652</v>
      </c>
      <c r="C11" s="4" t="s">
        <v>1653</v>
      </c>
      <c r="D11" s="8" t="s">
        <v>1654</v>
      </c>
      <c r="E11" s="4" t="s">
        <v>55</v>
      </c>
      <c r="F11" s="4">
        <v>1</v>
      </c>
      <c r="G11" s="9">
        <v>1602.08</v>
      </c>
      <c r="H11" s="9">
        <v>61.62</v>
      </c>
      <c r="I11" s="9">
        <v>20.54</v>
      </c>
      <c r="J11" s="9">
        <v>82.16</v>
      </c>
      <c r="K11" s="9">
        <v>61.62</v>
      </c>
      <c r="L11" s="9">
        <v>225.93</v>
      </c>
      <c r="M11" s="9">
        <v>184.86</v>
      </c>
      <c r="N11" s="16">
        <f t="shared" si="0"/>
        <v>2238.81</v>
      </c>
    </row>
    <row r="12" ht="45" customHeight="1" spans="1:14">
      <c r="A12" s="4">
        <v>7</v>
      </c>
      <c r="B12" s="4" t="s">
        <v>1655</v>
      </c>
      <c r="C12" s="4" t="s">
        <v>1656</v>
      </c>
      <c r="D12" s="8" t="s">
        <v>1657</v>
      </c>
      <c r="E12" s="4" t="s">
        <v>93</v>
      </c>
      <c r="F12" s="4">
        <v>1</v>
      </c>
      <c r="G12" s="9">
        <v>3197.17</v>
      </c>
      <c r="H12" s="9">
        <v>266.43</v>
      </c>
      <c r="I12" s="9">
        <v>106.57</v>
      </c>
      <c r="J12" s="9">
        <v>799.29</v>
      </c>
      <c r="K12" s="9">
        <v>373</v>
      </c>
      <c r="L12" s="9">
        <v>586.15</v>
      </c>
      <c r="M12" s="9">
        <v>479.58</v>
      </c>
      <c r="N12" s="16">
        <f t="shared" si="0"/>
        <v>5808.19</v>
      </c>
    </row>
    <row r="13" ht="45" customHeight="1" spans="1:14">
      <c r="A13" s="4">
        <v>8</v>
      </c>
      <c r="B13" s="4" t="s">
        <v>1658</v>
      </c>
      <c r="C13" s="4" t="s">
        <v>1659</v>
      </c>
      <c r="D13" s="8" t="s">
        <v>1660</v>
      </c>
      <c r="E13" s="4" t="s">
        <v>93</v>
      </c>
      <c r="F13" s="4">
        <v>1</v>
      </c>
      <c r="G13" s="9">
        <v>389.83</v>
      </c>
      <c r="H13" s="9">
        <v>32.49</v>
      </c>
      <c r="I13" s="9">
        <v>12.99</v>
      </c>
      <c r="J13" s="9">
        <v>97.46</v>
      </c>
      <c r="K13" s="9">
        <v>45.48</v>
      </c>
      <c r="L13" s="9">
        <v>71.47</v>
      </c>
      <c r="M13" s="9">
        <v>58.48</v>
      </c>
      <c r="N13" s="16">
        <f t="shared" si="0"/>
        <v>708.2</v>
      </c>
    </row>
    <row r="14" ht="25" customHeight="1" spans="1:14">
      <c r="A14" s="11" t="s">
        <v>50</v>
      </c>
      <c r="B14" s="12"/>
      <c r="C14" s="11"/>
      <c r="D14" s="13"/>
      <c r="E14" s="12"/>
      <c r="F14" s="11"/>
      <c r="G14" s="14"/>
      <c r="H14" s="14"/>
      <c r="I14" s="14"/>
      <c r="J14" s="14"/>
      <c r="K14" s="14"/>
      <c r="L14" s="14"/>
      <c r="M14" s="14"/>
      <c r="N14" s="14">
        <f>SUM(N9:N13)</f>
        <v>16984.34</v>
      </c>
    </row>
    <row r="15" ht="45" customHeight="1" spans="1:14">
      <c r="A15" s="4">
        <v>9</v>
      </c>
      <c r="B15" s="4" t="s">
        <v>1661</v>
      </c>
      <c r="C15" s="4" t="s">
        <v>1662</v>
      </c>
      <c r="D15" s="8" t="s">
        <v>1663</v>
      </c>
      <c r="E15" s="4" t="s">
        <v>55</v>
      </c>
      <c r="F15" s="4">
        <v>6</v>
      </c>
      <c r="G15" s="9">
        <v>4007.71</v>
      </c>
      <c r="H15" s="9">
        <v>154.14</v>
      </c>
      <c r="I15" s="9">
        <v>51.38</v>
      </c>
      <c r="J15" s="9">
        <v>205.52</v>
      </c>
      <c r="K15" s="9">
        <v>154.14</v>
      </c>
      <c r="L15" s="9">
        <v>565.19</v>
      </c>
      <c r="M15" s="9">
        <v>462.43</v>
      </c>
      <c r="N15" s="16">
        <f t="shared" si="0"/>
        <v>5600.51</v>
      </c>
    </row>
    <row r="16" ht="45" customHeight="1" spans="1:14">
      <c r="A16" s="4">
        <v>10</v>
      </c>
      <c r="B16" s="4" t="s">
        <v>1664</v>
      </c>
      <c r="C16" s="4" t="s">
        <v>1665</v>
      </c>
      <c r="D16" s="8" t="s">
        <v>1666</v>
      </c>
      <c r="E16" s="4" t="s">
        <v>55</v>
      </c>
      <c r="F16" s="4">
        <v>1</v>
      </c>
      <c r="G16" s="9">
        <v>933.51</v>
      </c>
      <c r="H16" s="9">
        <v>35.9</v>
      </c>
      <c r="I16" s="9">
        <v>11.97</v>
      </c>
      <c r="J16" s="9">
        <v>47.87</v>
      </c>
      <c r="K16" s="9">
        <v>35.9</v>
      </c>
      <c r="L16" s="9">
        <v>131.65</v>
      </c>
      <c r="M16" s="9">
        <v>107.71</v>
      </c>
      <c r="N16" s="16">
        <f t="shared" si="0"/>
        <v>1304.51</v>
      </c>
    </row>
    <row r="17" ht="45" customHeight="1" spans="1:14">
      <c r="A17" s="4">
        <v>11</v>
      </c>
      <c r="B17" s="4" t="s">
        <v>1667</v>
      </c>
      <c r="C17" s="4" t="s">
        <v>1668</v>
      </c>
      <c r="D17" s="8" t="s">
        <v>1669</v>
      </c>
      <c r="E17" s="4" t="s">
        <v>93</v>
      </c>
      <c r="F17" s="4">
        <v>6</v>
      </c>
      <c r="G17" s="9">
        <v>2259.25</v>
      </c>
      <c r="H17" s="9">
        <v>188.27</v>
      </c>
      <c r="I17" s="9">
        <v>75.31</v>
      </c>
      <c r="J17" s="9">
        <v>564.81</v>
      </c>
      <c r="K17" s="9">
        <v>263.58</v>
      </c>
      <c r="L17" s="9">
        <v>414.2</v>
      </c>
      <c r="M17" s="9">
        <v>338.89</v>
      </c>
      <c r="N17" s="16">
        <f t="shared" si="0"/>
        <v>4104.31</v>
      </c>
    </row>
    <row r="18" ht="45" customHeight="1" spans="1:14">
      <c r="A18" s="4">
        <v>12</v>
      </c>
      <c r="B18" s="4" t="s">
        <v>1670</v>
      </c>
      <c r="C18" s="4" t="s">
        <v>1671</v>
      </c>
      <c r="D18" s="8" t="s">
        <v>1672</v>
      </c>
      <c r="E18" s="4" t="s">
        <v>55</v>
      </c>
      <c r="F18" s="4">
        <v>1</v>
      </c>
      <c r="G18" s="9">
        <v>499.16</v>
      </c>
      <c r="H18" s="9">
        <v>19.2</v>
      </c>
      <c r="I18" s="9">
        <v>6.4</v>
      </c>
      <c r="J18" s="9">
        <v>25.6</v>
      </c>
      <c r="K18" s="9">
        <v>19.2</v>
      </c>
      <c r="L18" s="9">
        <v>70.39</v>
      </c>
      <c r="M18" s="9">
        <v>57.6</v>
      </c>
      <c r="N18" s="16">
        <f t="shared" si="0"/>
        <v>697.55</v>
      </c>
    </row>
    <row r="19" ht="45" customHeight="1" spans="1:14">
      <c r="A19" s="4">
        <v>13</v>
      </c>
      <c r="B19" s="4" t="s">
        <v>1673</v>
      </c>
      <c r="C19" s="4" t="s">
        <v>1674</v>
      </c>
      <c r="D19" s="8" t="s">
        <v>1675</v>
      </c>
      <c r="E19" s="4" t="s">
        <v>93</v>
      </c>
      <c r="F19" s="4">
        <v>1</v>
      </c>
      <c r="G19" s="9">
        <v>396.06</v>
      </c>
      <c r="H19" s="9">
        <v>33.01</v>
      </c>
      <c r="I19" s="9">
        <v>13.2</v>
      </c>
      <c r="J19" s="9">
        <v>99.02</v>
      </c>
      <c r="K19" s="9">
        <v>46.21</v>
      </c>
      <c r="L19" s="9">
        <v>72.61</v>
      </c>
      <c r="M19" s="9">
        <v>59.41</v>
      </c>
      <c r="N19" s="16">
        <f t="shared" si="0"/>
        <v>719.52</v>
      </c>
    </row>
    <row r="20" ht="25" customHeight="1" spans="1:14">
      <c r="A20" s="11" t="s">
        <v>50</v>
      </c>
      <c r="B20" s="12"/>
      <c r="C20" s="11"/>
      <c r="D20" s="13"/>
      <c r="E20" s="12"/>
      <c r="F20" s="11"/>
      <c r="G20" s="14"/>
      <c r="H20" s="14"/>
      <c r="I20" s="14"/>
      <c r="J20" s="14"/>
      <c r="K20" s="14"/>
      <c r="L20" s="14"/>
      <c r="M20" s="14"/>
      <c r="N20" s="14">
        <f>SUM(N15:N19)</f>
        <v>12426.4</v>
      </c>
    </row>
    <row r="21" ht="45" customHeight="1" spans="1:14">
      <c r="A21" s="4">
        <v>14</v>
      </c>
      <c r="B21" s="4" t="s">
        <v>1676</v>
      </c>
      <c r="C21" s="4" t="s">
        <v>68</v>
      </c>
      <c r="D21" s="8" t="s">
        <v>1677</v>
      </c>
      <c r="E21" s="4" t="s">
        <v>55</v>
      </c>
      <c r="F21" s="4">
        <v>1</v>
      </c>
      <c r="G21" s="9">
        <v>662.89</v>
      </c>
      <c r="H21" s="9">
        <v>25.5</v>
      </c>
      <c r="I21" s="9">
        <v>8.5</v>
      </c>
      <c r="J21" s="9">
        <v>33.99</v>
      </c>
      <c r="K21" s="9">
        <v>25.5</v>
      </c>
      <c r="L21" s="9">
        <v>93.48</v>
      </c>
      <c r="M21" s="9">
        <v>76.49</v>
      </c>
      <c r="N21" s="16">
        <f t="shared" si="0"/>
        <v>926.35</v>
      </c>
    </row>
    <row r="22" ht="45" customHeight="1" spans="1:14">
      <c r="A22" s="4">
        <v>15</v>
      </c>
      <c r="B22" s="4" t="s">
        <v>1678</v>
      </c>
      <c r="C22" s="4" t="s">
        <v>1679</v>
      </c>
      <c r="D22" s="8" t="s">
        <v>1680</v>
      </c>
      <c r="E22" s="4" t="s">
        <v>93</v>
      </c>
      <c r="F22" s="4">
        <v>1</v>
      </c>
      <c r="G22" s="9">
        <v>596.69</v>
      </c>
      <c r="H22" s="9">
        <v>49.72</v>
      </c>
      <c r="I22" s="9">
        <v>19.89</v>
      </c>
      <c r="J22" s="9">
        <v>149.17</v>
      </c>
      <c r="K22" s="9">
        <v>69.61</v>
      </c>
      <c r="L22" s="9">
        <v>109.39</v>
      </c>
      <c r="M22" s="9">
        <v>89.5</v>
      </c>
      <c r="N22" s="16">
        <f t="shared" si="0"/>
        <v>1083.97</v>
      </c>
    </row>
    <row r="23" ht="45" customHeight="1" spans="1:14">
      <c r="A23" s="4">
        <v>16</v>
      </c>
      <c r="B23" s="4" t="s">
        <v>1681</v>
      </c>
      <c r="C23" s="4" t="s">
        <v>1682</v>
      </c>
      <c r="D23" s="8" t="s">
        <v>1683</v>
      </c>
      <c r="E23" s="4" t="s">
        <v>55</v>
      </c>
      <c r="F23" s="4">
        <v>6</v>
      </c>
      <c r="G23" s="9">
        <v>1055.23</v>
      </c>
      <c r="H23" s="9">
        <v>40.59</v>
      </c>
      <c r="I23" s="9">
        <v>13.53</v>
      </c>
      <c r="J23" s="9">
        <v>54.11</v>
      </c>
      <c r="K23" s="9">
        <v>40.59</v>
      </c>
      <c r="L23" s="9">
        <v>148.81</v>
      </c>
      <c r="M23" s="9">
        <v>121.76</v>
      </c>
      <c r="N23" s="16">
        <f t="shared" si="0"/>
        <v>1474.62</v>
      </c>
    </row>
    <row r="24" ht="45" customHeight="1" spans="1:14">
      <c r="A24" s="4">
        <v>17</v>
      </c>
      <c r="B24" s="4" t="s">
        <v>1684</v>
      </c>
      <c r="C24" s="4" t="s">
        <v>1685</v>
      </c>
      <c r="D24" s="8" t="s">
        <v>1686</v>
      </c>
      <c r="E24" s="4" t="s">
        <v>55</v>
      </c>
      <c r="F24" s="4">
        <v>40</v>
      </c>
      <c r="G24" s="9">
        <v>13990.48</v>
      </c>
      <c r="H24" s="9">
        <v>538.1</v>
      </c>
      <c r="I24" s="9">
        <v>179.37</v>
      </c>
      <c r="J24" s="9">
        <v>717.46</v>
      </c>
      <c r="K24" s="9">
        <v>538.1</v>
      </c>
      <c r="L24" s="9">
        <v>1973.02</v>
      </c>
      <c r="M24" s="9">
        <v>1614.29</v>
      </c>
      <c r="N24" s="16">
        <f t="shared" si="0"/>
        <v>19550.82</v>
      </c>
    </row>
    <row r="25" ht="45" customHeight="1" spans="1:14">
      <c r="A25" s="4">
        <v>18</v>
      </c>
      <c r="B25" s="4" t="s">
        <v>1687</v>
      </c>
      <c r="C25" s="4" t="s">
        <v>1688</v>
      </c>
      <c r="D25" s="8" t="s">
        <v>1689</v>
      </c>
      <c r="E25" s="4" t="s">
        <v>93</v>
      </c>
      <c r="F25" s="4">
        <v>30</v>
      </c>
      <c r="G25" s="9">
        <v>3984.23</v>
      </c>
      <c r="H25" s="9">
        <v>153.24</v>
      </c>
      <c r="I25" s="9">
        <v>51.08</v>
      </c>
      <c r="J25" s="9">
        <v>204.32</v>
      </c>
      <c r="K25" s="9">
        <v>153.24</v>
      </c>
      <c r="L25" s="9">
        <v>561.88</v>
      </c>
      <c r="M25" s="9">
        <v>459.72</v>
      </c>
      <c r="N25" s="16">
        <f t="shared" si="0"/>
        <v>5567.71</v>
      </c>
    </row>
    <row r="26" ht="25" customHeight="1" spans="1:14">
      <c r="A26" s="11" t="s">
        <v>50</v>
      </c>
      <c r="B26" s="12"/>
      <c r="C26" s="11"/>
      <c r="D26" s="13"/>
      <c r="E26" s="12"/>
      <c r="F26" s="11"/>
      <c r="G26" s="14"/>
      <c r="H26" s="14"/>
      <c r="I26" s="14"/>
      <c r="J26" s="14"/>
      <c r="K26" s="14"/>
      <c r="L26" s="14"/>
      <c r="M26" s="14"/>
      <c r="N26" s="14">
        <f>SUM(N21:N25)</f>
        <v>28603.47</v>
      </c>
    </row>
    <row r="27" ht="45" customHeight="1" spans="1:14">
      <c r="A27" s="4">
        <v>19</v>
      </c>
      <c r="B27" s="4" t="s">
        <v>1690</v>
      </c>
      <c r="C27" s="4" t="s">
        <v>1691</v>
      </c>
      <c r="D27" s="8" t="s">
        <v>1692</v>
      </c>
      <c r="E27" s="4" t="s">
        <v>55</v>
      </c>
      <c r="F27" s="4">
        <v>1</v>
      </c>
      <c r="G27" s="9">
        <v>547.87</v>
      </c>
      <c r="H27" s="9">
        <v>45.66</v>
      </c>
      <c r="I27" s="9">
        <v>18.26</v>
      </c>
      <c r="J27" s="9">
        <v>136.97</v>
      </c>
      <c r="K27" s="9">
        <v>63.92</v>
      </c>
      <c r="L27" s="9">
        <v>100.44</v>
      </c>
      <c r="M27" s="9">
        <v>82.18</v>
      </c>
      <c r="N27" s="16">
        <f t="shared" si="0"/>
        <v>995.3</v>
      </c>
    </row>
    <row r="28" ht="89" customHeight="1" spans="1:14">
      <c r="A28" s="4">
        <v>20</v>
      </c>
      <c r="B28" s="4" t="s">
        <v>1693</v>
      </c>
      <c r="C28" s="4" t="s">
        <v>133</v>
      </c>
      <c r="D28" s="8" t="s">
        <v>134</v>
      </c>
      <c r="E28" s="4" t="s">
        <v>66</v>
      </c>
      <c r="F28" s="4">
        <v>1</v>
      </c>
      <c r="G28" s="9">
        <v>697.25</v>
      </c>
      <c r="H28" s="9">
        <v>183.49</v>
      </c>
      <c r="I28" s="9">
        <v>91.74</v>
      </c>
      <c r="J28" s="9">
        <v>513.76</v>
      </c>
      <c r="K28" s="9">
        <v>146.79</v>
      </c>
      <c r="L28" s="9">
        <v>201.83</v>
      </c>
      <c r="M28" s="9">
        <v>165.14</v>
      </c>
      <c r="N28" s="16">
        <f t="shared" si="0"/>
        <v>2000</v>
      </c>
    </row>
    <row r="29" ht="60" customHeight="1" spans="1:14">
      <c r="A29" s="4">
        <v>21</v>
      </c>
      <c r="B29" s="4" t="s">
        <v>1694</v>
      </c>
      <c r="C29" s="4" t="s">
        <v>95</v>
      </c>
      <c r="D29" s="8" t="s">
        <v>1695</v>
      </c>
      <c r="E29" s="4" t="s">
        <v>47</v>
      </c>
      <c r="F29" s="4">
        <v>80</v>
      </c>
      <c r="G29" s="9">
        <v>703.66</v>
      </c>
      <c r="H29" s="9">
        <v>185.17</v>
      </c>
      <c r="I29" s="9">
        <v>92.59</v>
      </c>
      <c r="J29" s="9">
        <v>518.49</v>
      </c>
      <c r="K29" s="9">
        <v>148.14</v>
      </c>
      <c r="L29" s="9">
        <v>203.69</v>
      </c>
      <c r="M29" s="9">
        <v>166.66</v>
      </c>
      <c r="N29" s="16">
        <f t="shared" si="0"/>
        <v>2018.4</v>
      </c>
    </row>
    <row r="30" ht="25" customHeight="1" spans="1:14">
      <c r="A30" s="11" t="s">
        <v>50</v>
      </c>
      <c r="B30" s="12"/>
      <c r="C30" s="11"/>
      <c r="D30" s="13"/>
      <c r="E30" s="12"/>
      <c r="F30" s="11"/>
      <c r="G30" s="14"/>
      <c r="H30" s="14"/>
      <c r="I30" s="14"/>
      <c r="J30" s="14"/>
      <c r="K30" s="14"/>
      <c r="L30" s="14"/>
      <c r="M30" s="14"/>
      <c r="N30" s="14">
        <f>SUM(N27:N29)</f>
        <v>5013.7</v>
      </c>
    </row>
    <row r="31" ht="60" customHeight="1" spans="1:14">
      <c r="A31" s="4">
        <v>22</v>
      </c>
      <c r="B31" s="4" t="s">
        <v>1696</v>
      </c>
      <c r="C31" s="4" t="s">
        <v>95</v>
      </c>
      <c r="D31" s="8" t="s">
        <v>1697</v>
      </c>
      <c r="E31" s="4" t="s">
        <v>47</v>
      </c>
      <c r="F31" s="4">
        <v>38.4</v>
      </c>
      <c r="G31" s="9">
        <v>375.24</v>
      </c>
      <c r="H31" s="9">
        <v>98.75</v>
      </c>
      <c r="I31" s="9">
        <v>49.37</v>
      </c>
      <c r="J31" s="9">
        <v>276.49</v>
      </c>
      <c r="K31" s="9">
        <v>79</v>
      </c>
      <c r="L31" s="9">
        <v>108.62</v>
      </c>
      <c r="M31" s="9">
        <v>88.87</v>
      </c>
      <c r="N31" s="16">
        <f t="shared" si="0"/>
        <v>1076.34</v>
      </c>
    </row>
    <row r="32" ht="45" customHeight="1" spans="1:14">
      <c r="A32" s="4">
        <v>23</v>
      </c>
      <c r="B32" s="4" t="s">
        <v>1698</v>
      </c>
      <c r="C32" s="4" t="s">
        <v>103</v>
      </c>
      <c r="D32" s="8" t="s">
        <v>287</v>
      </c>
      <c r="E32" s="4" t="s">
        <v>105</v>
      </c>
      <c r="F32" s="4">
        <v>14.29</v>
      </c>
      <c r="G32" s="9">
        <v>66.46</v>
      </c>
      <c r="H32" s="9">
        <v>17.49</v>
      </c>
      <c r="I32" s="9">
        <v>8.74</v>
      </c>
      <c r="J32" s="9">
        <v>48.97</v>
      </c>
      <c r="K32" s="9">
        <v>13.99</v>
      </c>
      <c r="L32" s="9">
        <v>19.24</v>
      </c>
      <c r="M32" s="9">
        <v>15.74</v>
      </c>
      <c r="N32" s="16">
        <f t="shared" si="0"/>
        <v>190.63</v>
      </c>
    </row>
    <row r="33" ht="45" customHeight="1" spans="1:14">
      <c r="A33" s="4">
        <v>24</v>
      </c>
      <c r="B33" s="4" t="s">
        <v>1699</v>
      </c>
      <c r="C33" s="4" t="s">
        <v>100</v>
      </c>
      <c r="D33" s="8" t="s">
        <v>285</v>
      </c>
      <c r="E33" s="4" t="s">
        <v>47</v>
      </c>
      <c r="F33" s="4">
        <v>11.6</v>
      </c>
      <c r="G33" s="9">
        <v>49.81</v>
      </c>
      <c r="H33" s="9">
        <v>4.15</v>
      </c>
      <c r="I33" s="9">
        <v>1.66</v>
      </c>
      <c r="J33" s="9">
        <v>12.45</v>
      </c>
      <c r="K33" s="9">
        <v>5.81</v>
      </c>
      <c r="L33" s="9">
        <v>9.13</v>
      </c>
      <c r="M33" s="9">
        <v>7.47</v>
      </c>
      <c r="N33" s="16">
        <f t="shared" si="0"/>
        <v>90.48</v>
      </c>
    </row>
    <row r="34" ht="45" customHeight="1" spans="1:14">
      <c r="A34" s="4">
        <v>25</v>
      </c>
      <c r="B34" s="4" t="s">
        <v>1700</v>
      </c>
      <c r="C34" s="4" t="s">
        <v>110</v>
      </c>
      <c r="D34" s="8" t="s">
        <v>422</v>
      </c>
      <c r="E34" s="4" t="s">
        <v>47</v>
      </c>
      <c r="F34" s="4">
        <v>200</v>
      </c>
      <c r="G34" s="9">
        <v>373.72</v>
      </c>
      <c r="H34" s="9">
        <v>98.35</v>
      </c>
      <c r="I34" s="9">
        <v>49.17</v>
      </c>
      <c r="J34" s="9">
        <v>275.38</v>
      </c>
      <c r="K34" s="9">
        <v>78.68</v>
      </c>
      <c r="L34" s="9">
        <v>108.18</v>
      </c>
      <c r="M34" s="9">
        <v>88.51</v>
      </c>
      <c r="N34" s="16">
        <f t="shared" si="0"/>
        <v>1071.99</v>
      </c>
    </row>
    <row r="35" ht="45" customHeight="1" spans="1:14">
      <c r="A35" s="4">
        <v>26</v>
      </c>
      <c r="B35" s="4" t="s">
        <v>1701</v>
      </c>
      <c r="C35" s="4" t="s">
        <v>107</v>
      </c>
      <c r="D35" s="8" t="s">
        <v>1702</v>
      </c>
      <c r="E35" s="4" t="s">
        <v>47</v>
      </c>
      <c r="F35" s="4">
        <v>100</v>
      </c>
      <c r="G35" s="9">
        <v>570.33</v>
      </c>
      <c r="H35" s="9">
        <v>21.94</v>
      </c>
      <c r="I35" s="9">
        <v>7.31</v>
      </c>
      <c r="J35" s="9">
        <v>29.25</v>
      </c>
      <c r="K35" s="9">
        <v>21.94</v>
      </c>
      <c r="L35" s="9">
        <v>80.43</v>
      </c>
      <c r="M35" s="9">
        <v>65.81</v>
      </c>
      <c r="N35" s="16">
        <f t="shared" si="0"/>
        <v>797.01</v>
      </c>
    </row>
    <row r="36" ht="25" customHeight="1" spans="1:14">
      <c r="A36" s="11" t="s">
        <v>50</v>
      </c>
      <c r="B36" s="12"/>
      <c r="C36" s="11"/>
      <c r="D36" s="13"/>
      <c r="E36" s="12"/>
      <c r="F36" s="11"/>
      <c r="G36" s="14"/>
      <c r="H36" s="14"/>
      <c r="I36" s="14"/>
      <c r="J36" s="14"/>
      <c r="K36" s="14"/>
      <c r="L36" s="14"/>
      <c r="M36" s="14"/>
      <c r="N36" s="14">
        <f>SUM(N31:N35)</f>
        <v>3226.45</v>
      </c>
    </row>
    <row r="37" ht="60" customHeight="1" spans="1:14">
      <c r="A37" s="4">
        <v>27</v>
      </c>
      <c r="B37" s="4" t="s">
        <v>1703</v>
      </c>
      <c r="C37" s="4" t="s">
        <v>45</v>
      </c>
      <c r="D37" s="8" t="s">
        <v>1704</v>
      </c>
      <c r="E37" s="4" t="s">
        <v>47</v>
      </c>
      <c r="F37" s="4">
        <v>118.4</v>
      </c>
      <c r="G37" s="9">
        <v>210.1</v>
      </c>
      <c r="H37" s="9">
        <v>55.29</v>
      </c>
      <c r="I37" s="9">
        <v>27.64</v>
      </c>
      <c r="J37" s="9">
        <v>154.81</v>
      </c>
      <c r="K37" s="9">
        <v>44.23</v>
      </c>
      <c r="L37" s="9">
        <v>60.82</v>
      </c>
      <c r="M37" s="9">
        <v>49.76</v>
      </c>
      <c r="N37" s="16">
        <f t="shared" si="0"/>
        <v>602.65</v>
      </c>
    </row>
    <row r="38" ht="60" customHeight="1" spans="1:14">
      <c r="A38" s="4">
        <v>28</v>
      </c>
      <c r="B38" s="4" t="s">
        <v>1705</v>
      </c>
      <c r="C38" s="4" t="s">
        <v>45</v>
      </c>
      <c r="D38" s="8" t="s">
        <v>1706</v>
      </c>
      <c r="E38" s="4" t="s">
        <v>47</v>
      </c>
      <c r="F38" s="4">
        <v>3201</v>
      </c>
      <c r="G38" s="9">
        <v>5680.16</v>
      </c>
      <c r="H38" s="9">
        <v>1494.78</v>
      </c>
      <c r="I38" s="9">
        <v>747.39</v>
      </c>
      <c r="J38" s="9">
        <v>4185.38</v>
      </c>
      <c r="K38" s="9">
        <v>1195.82</v>
      </c>
      <c r="L38" s="9">
        <v>1644.26</v>
      </c>
      <c r="M38" s="9">
        <v>1345.3</v>
      </c>
      <c r="N38" s="16">
        <f t="shared" si="0"/>
        <v>16293.09</v>
      </c>
    </row>
    <row r="39" ht="45" customHeight="1" spans="1:14">
      <c r="A39" s="4">
        <v>29</v>
      </c>
      <c r="B39" s="4" t="s">
        <v>1707</v>
      </c>
      <c r="C39" s="4" t="s">
        <v>64</v>
      </c>
      <c r="D39" s="8" t="s">
        <v>65</v>
      </c>
      <c r="E39" s="4" t="s">
        <v>66</v>
      </c>
      <c r="F39" s="4">
        <v>1</v>
      </c>
      <c r="G39" s="9">
        <v>150.66</v>
      </c>
      <c r="H39" s="9">
        <v>39.65</v>
      </c>
      <c r="I39" s="9">
        <v>19.82</v>
      </c>
      <c r="J39" s="9">
        <v>111.02</v>
      </c>
      <c r="K39" s="9">
        <v>31.72</v>
      </c>
      <c r="L39" s="9">
        <v>43.61</v>
      </c>
      <c r="M39" s="9">
        <v>35.68</v>
      </c>
      <c r="N39" s="16">
        <f t="shared" si="0"/>
        <v>432.16</v>
      </c>
    </row>
    <row r="40" ht="25" customHeight="1" spans="1:14">
      <c r="A40" s="4">
        <v>30</v>
      </c>
      <c r="B40" s="4" t="s">
        <v>1708</v>
      </c>
      <c r="C40" s="4" t="s">
        <v>319</v>
      </c>
      <c r="D40" s="8"/>
      <c r="E40" s="4" t="s">
        <v>66</v>
      </c>
      <c r="F40" s="4">
        <v>1</v>
      </c>
      <c r="G40" s="9">
        <v>1121.52</v>
      </c>
      <c r="H40" s="9">
        <v>93.46</v>
      </c>
      <c r="I40" s="9">
        <v>37.38</v>
      </c>
      <c r="J40" s="9">
        <v>280.38</v>
      </c>
      <c r="K40" s="9">
        <v>130.84</v>
      </c>
      <c r="L40" s="9">
        <v>205.61</v>
      </c>
      <c r="M40" s="9">
        <v>168.23</v>
      </c>
      <c r="N40" s="16">
        <f t="shared" si="0"/>
        <v>2037.42</v>
      </c>
    </row>
    <row r="41" ht="25" customHeight="1" spans="1:14">
      <c r="A41" s="11" t="s">
        <v>50</v>
      </c>
      <c r="B41" s="12"/>
      <c r="C41" s="11"/>
      <c r="D41" s="13"/>
      <c r="E41" s="12"/>
      <c r="F41" s="11"/>
      <c r="G41" s="14"/>
      <c r="H41" s="14"/>
      <c r="I41" s="14"/>
      <c r="J41" s="14"/>
      <c r="K41" s="14"/>
      <c r="L41" s="14"/>
      <c r="M41" s="14"/>
      <c r="N41" s="14">
        <f>SUM(N37:N40)</f>
        <v>19365.32</v>
      </c>
    </row>
    <row r="42" ht="25" customHeight="1" spans="1:14">
      <c r="A42" s="4" t="s">
        <v>188</v>
      </c>
      <c r="B42" s="4"/>
      <c r="C42" s="4"/>
      <c r="D42" s="8"/>
      <c r="E42" s="4"/>
      <c r="F42" s="4"/>
      <c r="G42" s="9"/>
      <c r="H42" s="9"/>
      <c r="I42" s="9"/>
      <c r="J42" s="9"/>
      <c r="K42" s="9"/>
      <c r="L42" s="9"/>
      <c r="M42" s="9"/>
      <c r="N42" s="16">
        <f>N8+N14+N20+N26+N30+N36+N41</f>
        <v>100300.06</v>
      </c>
    </row>
  </sheetData>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23"/>
  <sheetViews>
    <sheetView zoomScale="70" zoomScaleNormal="70" topLeftCell="A16" workbookViewId="0">
      <selection activeCell="N23" sqref="N23"/>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9.53097345132743"/>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ht="45" customHeight="1" spans="1:14">
      <c r="A5" s="4">
        <v>1</v>
      </c>
      <c r="B5" s="4" t="s">
        <v>1709</v>
      </c>
      <c r="C5" s="4" t="s">
        <v>1710</v>
      </c>
      <c r="D5" s="8" t="s">
        <v>1711</v>
      </c>
      <c r="E5" s="4" t="s">
        <v>55</v>
      </c>
      <c r="F5" s="4">
        <v>1</v>
      </c>
      <c r="G5" s="9">
        <v>4651.38</v>
      </c>
      <c r="H5" s="9">
        <v>178.9</v>
      </c>
      <c r="I5" s="9">
        <v>59.63</v>
      </c>
      <c r="J5" s="9">
        <v>238.53</v>
      </c>
      <c r="K5" s="9">
        <v>178.9</v>
      </c>
      <c r="L5" s="9">
        <v>655.96</v>
      </c>
      <c r="M5" s="9">
        <v>536.7</v>
      </c>
      <c r="N5" s="16">
        <f t="shared" ref="N5:N23" si="0">SUM(G5:M5)</f>
        <v>6500</v>
      </c>
    </row>
    <row r="6" ht="45" customHeight="1" spans="1:14">
      <c r="A6" s="4">
        <v>2</v>
      </c>
      <c r="B6" s="4" t="s">
        <v>1712</v>
      </c>
      <c r="C6" s="4" t="s">
        <v>1713</v>
      </c>
      <c r="D6" s="8" t="s">
        <v>1714</v>
      </c>
      <c r="E6" s="4" t="s">
        <v>55</v>
      </c>
      <c r="F6" s="4">
        <v>3</v>
      </c>
      <c r="G6" s="9">
        <v>1981.65</v>
      </c>
      <c r="H6" s="9">
        <v>165.14</v>
      </c>
      <c r="I6" s="9">
        <v>66.06</v>
      </c>
      <c r="J6" s="9">
        <v>495.41</v>
      </c>
      <c r="K6" s="9">
        <v>231.19</v>
      </c>
      <c r="L6" s="9">
        <v>363.3</v>
      </c>
      <c r="M6" s="9">
        <v>297.25</v>
      </c>
      <c r="N6" s="16">
        <f t="shared" si="0"/>
        <v>3600</v>
      </c>
    </row>
    <row r="7" ht="45" customHeight="1" spans="1:14">
      <c r="A7" s="4">
        <v>3</v>
      </c>
      <c r="B7" s="4" t="s">
        <v>1715</v>
      </c>
      <c r="C7" s="4" t="s">
        <v>1716</v>
      </c>
      <c r="D7" s="8" t="s">
        <v>1717</v>
      </c>
      <c r="E7" s="4" t="s">
        <v>55</v>
      </c>
      <c r="F7" s="4">
        <v>104</v>
      </c>
      <c r="G7" s="9">
        <v>8037.58</v>
      </c>
      <c r="H7" s="9">
        <v>309.14</v>
      </c>
      <c r="I7" s="9">
        <v>103.05</v>
      </c>
      <c r="J7" s="9">
        <v>412.18</v>
      </c>
      <c r="K7" s="9">
        <v>309.14</v>
      </c>
      <c r="L7" s="9">
        <v>1133.5</v>
      </c>
      <c r="M7" s="9">
        <v>927.41</v>
      </c>
      <c r="N7" s="16">
        <f t="shared" si="0"/>
        <v>11232</v>
      </c>
    </row>
    <row r="8" ht="45" customHeight="1" spans="1:14">
      <c r="A8" s="4">
        <v>4</v>
      </c>
      <c r="B8" s="4" t="s">
        <v>1718</v>
      </c>
      <c r="C8" s="4" t="s">
        <v>1719</v>
      </c>
      <c r="D8" s="8" t="s">
        <v>1720</v>
      </c>
      <c r="E8" s="4" t="s">
        <v>55</v>
      </c>
      <c r="F8" s="4">
        <v>24</v>
      </c>
      <c r="G8" s="9">
        <v>30913.76</v>
      </c>
      <c r="H8" s="9">
        <v>1188.99</v>
      </c>
      <c r="I8" s="9">
        <v>396.33</v>
      </c>
      <c r="J8" s="9">
        <v>1585.32</v>
      </c>
      <c r="K8" s="9">
        <v>1188.99</v>
      </c>
      <c r="L8" s="9">
        <v>4359.63</v>
      </c>
      <c r="M8" s="9">
        <v>3566.97</v>
      </c>
      <c r="N8" s="16">
        <f t="shared" si="0"/>
        <v>43199.99</v>
      </c>
    </row>
    <row r="9" ht="45" customHeight="1" spans="1:14">
      <c r="A9" s="4">
        <v>5</v>
      </c>
      <c r="B9" s="4" t="s">
        <v>1721</v>
      </c>
      <c r="C9" s="4" t="s">
        <v>601</v>
      </c>
      <c r="D9" s="8" t="s">
        <v>602</v>
      </c>
      <c r="E9" s="4" t="s">
        <v>55</v>
      </c>
      <c r="F9" s="4">
        <v>1</v>
      </c>
      <c r="G9" s="9">
        <v>46.79</v>
      </c>
      <c r="H9" s="9">
        <v>3.9</v>
      </c>
      <c r="I9" s="9">
        <v>1.56</v>
      </c>
      <c r="J9" s="9">
        <v>11.7</v>
      </c>
      <c r="K9" s="9">
        <v>5.46</v>
      </c>
      <c r="L9" s="9">
        <v>8.58</v>
      </c>
      <c r="M9" s="9">
        <v>7.02</v>
      </c>
      <c r="N9" s="16">
        <f t="shared" si="0"/>
        <v>85.01</v>
      </c>
    </row>
    <row r="10" ht="25" customHeight="1" spans="1:14">
      <c r="A10" s="11" t="s">
        <v>50</v>
      </c>
      <c r="B10" s="12"/>
      <c r="C10" s="11"/>
      <c r="D10" s="13"/>
      <c r="E10" s="12"/>
      <c r="F10" s="11"/>
      <c r="G10" s="14"/>
      <c r="H10" s="14"/>
      <c r="I10" s="14"/>
      <c r="J10" s="14"/>
      <c r="K10" s="14"/>
      <c r="L10" s="14"/>
      <c r="M10" s="14"/>
      <c r="N10" s="14">
        <f>SUM(N5:N9)</f>
        <v>64617</v>
      </c>
    </row>
    <row r="11" ht="89" customHeight="1" spans="1:14">
      <c r="A11" s="4">
        <v>6</v>
      </c>
      <c r="B11" s="4" t="s">
        <v>1722</v>
      </c>
      <c r="C11" s="4" t="s">
        <v>133</v>
      </c>
      <c r="D11" s="8" t="s">
        <v>134</v>
      </c>
      <c r="E11" s="4" t="s">
        <v>66</v>
      </c>
      <c r="F11" s="4">
        <v>1</v>
      </c>
      <c r="G11" s="9">
        <v>697.25</v>
      </c>
      <c r="H11" s="9">
        <v>183.49</v>
      </c>
      <c r="I11" s="9">
        <v>91.74</v>
      </c>
      <c r="J11" s="9">
        <v>513.76</v>
      </c>
      <c r="K11" s="9">
        <v>146.79</v>
      </c>
      <c r="L11" s="9">
        <v>201.83</v>
      </c>
      <c r="M11" s="9">
        <v>165.14</v>
      </c>
      <c r="N11" s="16">
        <f t="shared" si="0"/>
        <v>2000</v>
      </c>
    </row>
    <row r="12" ht="45" customHeight="1" spans="1:14">
      <c r="A12" s="4">
        <v>7</v>
      </c>
      <c r="B12" s="4" t="s">
        <v>1723</v>
      </c>
      <c r="C12" s="4" t="s">
        <v>347</v>
      </c>
      <c r="D12" s="8" t="s">
        <v>348</v>
      </c>
      <c r="E12" s="4" t="s">
        <v>66</v>
      </c>
      <c r="F12" s="4">
        <v>1</v>
      </c>
      <c r="G12" s="9">
        <v>605.5</v>
      </c>
      <c r="H12" s="9">
        <v>50.46</v>
      </c>
      <c r="I12" s="9">
        <v>20.18</v>
      </c>
      <c r="J12" s="9">
        <v>151.38</v>
      </c>
      <c r="K12" s="9">
        <v>70.64</v>
      </c>
      <c r="L12" s="9">
        <v>111.01</v>
      </c>
      <c r="M12" s="9">
        <v>90.83</v>
      </c>
      <c r="N12" s="16">
        <f t="shared" si="0"/>
        <v>1100</v>
      </c>
    </row>
    <row r="13" ht="45" customHeight="1" spans="1:14">
      <c r="A13" s="4">
        <v>8</v>
      </c>
      <c r="B13" s="4" t="s">
        <v>1724</v>
      </c>
      <c r="C13" s="4" t="s">
        <v>95</v>
      </c>
      <c r="D13" s="8" t="s">
        <v>283</v>
      </c>
      <c r="E13" s="4" t="s">
        <v>47</v>
      </c>
      <c r="F13" s="4">
        <v>106.7</v>
      </c>
      <c r="G13" s="9">
        <v>167.39</v>
      </c>
      <c r="H13" s="9">
        <v>44.05</v>
      </c>
      <c r="I13" s="9">
        <v>22.03</v>
      </c>
      <c r="J13" s="9">
        <v>123.34</v>
      </c>
      <c r="K13" s="9">
        <v>35.24</v>
      </c>
      <c r="L13" s="9">
        <v>48.46</v>
      </c>
      <c r="M13" s="9">
        <v>39.65</v>
      </c>
      <c r="N13" s="16">
        <f t="shared" si="0"/>
        <v>480.16</v>
      </c>
    </row>
    <row r="14" ht="25" customHeight="1" spans="1:14">
      <c r="A14" s="11" t="s">
        <v>50</v>
      </c>
      <c r="B14" s="12"/>
      <c r="C14" s="11"/>
      <c r="D14" s="13"/>
      <c r="E14" s="12"/>
      <c r="F14" s="11"/>
      <c r="G14" s="14"/>
      <c r="H14" s="14"/>
      <c r="I14" s="14"/>
      <c r="J14" s="14"/>
      <c r="K14" s="14"/>
      <c r="L14" s="14"/>
      <c r="M14" s="14"/>
      <c r="N14" s="14">
        <f>SUM(N11:N13)</f>
        <v>3580.16</v>
      </c>
    </row>
    <row r="15" ht="45" customHeight="1" spans="1:14">
      <c r="A15" s="4">
        <v>9</v>
      </c>
      <c r="B15" s="4" t="s">
        <v>1725</v>
      </c>
      <c r="C15" s="4" t="s">
        <v>95</v>
      </c>
      <c r="D15" s="8" t="s">
        <v>281</v>
      </c>
      <c r="E15" s="4" t="s">
        <v>47</v>
      </c>
      <c r="F15" s="4">
        <v>279.86</v>
      </c>
      <c r="G15" s="9">
        <v>439.05</v>
      </c>
      <c r="H15" s="9">
        <v>115.54</v>
      </c>
      <c r="I15" s="9">
        <v>57.77</v>
      </c>
      <c r="J15" s="9">
        <v>323.51</v>
      </c>
      <c r="K15" s="9">
        <v>92.43</v>
      </c>
      <c r="L15" s="9">
        <v>127.09</v>
      </c>
      <c r="M15" s="9">
        <v>103.98</v>
      </c>
      <c r="N15" s="16">
        <f t="shared" si="0"/>
        <v>1259.37</v>
      </c>
    </row>
    <row r="16" ht="45" customHeight="1" spans="1:14">
      <c r="A16" s="4">
        <v>10</v>
      </c>
      <c r="B16" s="4" t="s">
        <v>1726</v>
      </c>
      <c r="C16" s="4" t="s">
        <v>103</v>
      </c>
      <c r="D16" s="8" t="s">
        <v>287</v>
      </c>
      <c r="E16" s="4" t="s">
        <v>105</v>
      </c>
      <c r="F16" s="4">
        <v>11.2</v>
      </c>
      <c r="G16" s="9">
        <v>18.74</v>
      </c>
      <c r="H16" s="9">
        <v>4.93</v>
      </c>
      <c r="I16" s="9">
        <v>2.47</v>
      </c>
      <c r="J16" s="9">
        <v>13.81</v>
      </c>
      <c r="K16" s="9">
        <v>3.95</v>
      </c>
      <c r="L16" s="9">
        <v>5.43</v>
      </c>
      <c r="M16" s="9">
        <v>4.44</v>
      </c>
      <c r="N16" s="16">
        <f t="shared" si="0"/>
        <v>53.77</v>
      </c>
    </row>
    <row r="17" ht="45" customHeight="1" spans="1:14">
      <c r="A17" s="4">
        <v>11</v>
      </c>
      <c r="B17" s="4" t="s">
        <v>1727</v>
      </c>
      <c r="C17" s="4" t="s">
        <v>100</v>
      </c>
      <c r="D17" s="8" t="s">
        <v>285</v>
      </c>
      <c r="E17" s="4" t="s">
        <v>47</v>
      </c>
      <c r="F17" s="4">
        <v>139.1</v>
      </c>
      <c r="G17" s="9">
        <v>2297.06</v>
      </c>
      <c r="H17" s="9">
        <v>191.42</v>
      </c>
      <c r="I17" s="9">
        <v>76.57</v>
      </c>
      <c r="J17" s="9">
        <v>574.27</v>
      </c>
      <c r="K17" s="9">
        <v>267.99</v>
      </c>
      <c r="L17" s="9">
        <v>421.13</v>
      </c>
      <c r="M17" s="9">
        <v>344.56</v>
      </c>
      <c r="N17" s="16">
        <f t="shared" si="0"/>
        <v>4173</v>
      </c>
    </row>
    <row r="18" ht="45" customHeight="1" spans="1:14">
      <c r="A18" s="4">
        <v>12</v>
      </c>
      <c r="B18" s="4" t="s">
        <v>1728</v>
      </c>
      <c r="C18" s="4" t="s">
        <v>45</v>
      </c>
      <c r="D18" s="8" t="s">
        <v>1729</v>
      </c>
      <c r="E18" s="4" t="s">
        <v>47</v>
      </c>
      <c r="F18" s="4">
        <v>389.56</v>
      </c>
      <c r="G18" s="9">
        <v>543.24</v>
      </c>
      <c r="H18" s="9">
        <v>142.96</v>
      </c>
      <c r="I18" s="9">
        <v>71.48</v>
      </c>
      <c r="J18" s="9">
        <v>400.28</v>
      </c>
      <c r="K18" s="9">
        <v>114.37</v>
      </c>
      <c r="L18" s="9">
        <v>157.25</v>
      </c>
      <c r="M18" s="9">
        <v>128.66</v>
      </c>
      <c r="N18" s="16">
        <f t="shared" si="0"/>
        <v>1558.24</v>
      </c>
    </row>
    <row r="19" ht="45" customHeight="1" spans="1:14">
      <c r="A19" s="4">
        <v>13</v>
      </c>
      <c r="B19" s="4" t="s">
        <v>1730</v>
      </c>
      <c r="C19" s="4" t="s">
        <v>64</v>
      </c>
      <c r="D19" s="8" t="s">
        <v>65</v>
      </c>
      <c r="E19" s="4" t="s">
        <v>66</v>
      </c>
      <c r="F19" s="4">
        <v>1</v>
      </c>
      <c r="G19" s="9">
        <v>174.31</v>
      </c>
      <c r="H19" s="9">
        <v>45.87</v>
      </c>
      <c r="I19" s="9">
        <v>22.94</v>
      </c>
      <c r="J19" s="9">
        <v>128.44</v>
      </c>
      <c r="K19" s="9">
        <v>36.7</v>
      </c>
      <c r="L19" s="9">
        <v>50.46</v>
      </c>
      <c r="M19" s="9">
        <v>41.28</v>
      </c>
      <c r="N19" s="16">
        <f t="shared" si="0"/>
        <v>500</v>
      </c>
    </row>
    <row r="20" ht="25" customHeight="1" spans="1:14">
      <c r="A20" s="11" t="s">
        <v>50</v>
      </c>
      <c r="B20" s="12"/>
      <c r="C20" s="11"/>
      <c r="D20" s="13"/>
      <c r="E20" s="12"/>
      <c r="F20" s="11"/>
      <c r="G20" s="14"/>
      <c r="H20" s="14"/>
      <c r="I20" s="14"/>
      <c r="J20" s="14"/>
      <c r="K20" s="14"/>
      <c r="L20" s="14"/>
      <c r="M20" s="14"/>
      <c r="N20" s="14">
        <f>SUM(N15:N19)</f>
        <v>7544.38</v>
      </c>
    </row>
    <row r="21" ht="25" customHeight="1" spans="1:14">
      <c r="A21" s="4">
        <v>14</v>
      </c>
      <c r="B21" s="4" t="s">
        <v>1731</v>
      </c>
      <c r="C21" s="4" t="s">
        <v>319</v>
      </c>
      <c r="D21" s="8"/>
      <c r="E21" s="4" t="s">
        <v>66</v>
      </c>
      <c r="F21" s="4">
        <v>1</v>
      </c>
      <c r="G21" s="9">
        <v>165.14</v>
      </c>
      <c r="H21" s="9">
        <v>13.76</v>
      </c>
      <c r="I21" s="9">
        <v>5.5</v>
      </c>
      <c r="J21" s="9">
        <v>41.28</v>
      </c>
      <c r="K21" s="9">
        <v>19.27</v>
      </c>
      <c r="L21" s="9">
        <v>30.28</v>
      </c>
      <c r="M21" s="9">
        <v>24.77</v>
      </c>
      <c r="N21" s="16">
        <f t="shared" si="0"/>
        <v>300</v>
      </c>
    </row>
    <row r="22" ht="25" customHeight="1" spans="1:14">
      <c r="A22" s="11" t="s">
        <v>50</v>
      </c>
      <c r="B22" s="12"/>
      <c r="C22" s="11"/>
      <c r="D22" s="13"/>
      <c r="E22" s="12"/>
      <c r="F22" s="11"/>
      <c r="G22" s="14"/>
      <c r="H22" s="14"/>
      <c r="I22" s="14"/>
      <c r="J22" s="14"/>
      <c r="K22" s="14"/>
      <c r="L22" s="14"/>
      <c r="M22" s="14"/>
      <c r="N22" s="14">
        <f>N21</f>
        <v>300</v>
      </c>
    </row>
    <row r="23" ht="25" customHeight="1" spans="1:14">
      <c r="A23" s="4" t="s">
        <v>188</v>
      </c>
      <c r="B23" s="4"/>
      <c r="C23" s="4"/>
      <c r="D23" s="8"/>
      <c r="E23" s="4"/>
      <c r="F23" s="4"/>
      <c r="G23" s="9"/>
      <c r="H23" s="9"/>
      <c r="I23" s="9"/>
      <c r="J23" s="9"/>
      <c r="K23" s="9"/>
      <c r="L23" s="9"/>
      <c r="M23" s="9"/>
      <c r="N23" s="16">
        <f>N10+N14+N20+N22</f>
        <v>76041.54</v>
      </c>
    </row>
  </sheetData>
  <autoFilter xmlns:etc="http://www.wps.cn/officeDocument/2017/etCustomData" ref="A4:N23" etc:filterBottomFollowUsedRange="0">
    <extLst/>
  </autoFilter>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41"/>
  <sheetViews>
    <sheetView zoomScale="70" zoomScaleNormal="70" topLeftCell="C1" workbookViewId="0">
      <selection activeCell="N4" sqref="N4"/>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0.5309734513274"/>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ht="45" customHeight="1" spans="1:14">
      <c r="A5" s="4">
        <v>1</v>
      </c>
      <c r="B5" s="4" t="s">
        <v>1732</v>
      </c>
      <c r="C5" s="4" t="s">
        <v>1638</v>
      </c>
      <c r="D5" s="8" t="s">
        <v>1733</v>
      </c>
      <c r="E5" s="4" t="s">
        <v>55</v>
      </c>
      <c r="F5" s="4">
        <v>1</v>
      </c>
      <c r="G5" s="9">
        <v>2617.65</v>
      </c>
      <c r="H5" s="9">
        <v>100.68</v>
      </c>
      <c r="I5" s="9">
        <v>33.56</v>
      </c>
      <c r="J5" s="9">
        <v>134.24</v>
      </c>
      <c r="K5" s="9">
        <v>100.68</v>
      </c>
      <c r="L5" s="9">
        <v>369.16</v>
      </c>
      <c r="M5" s="9">
        <v>302.04</v>
      </c>
      <c r="N5" s="16">
        <f t="shared" ref="N5:N41" si="0">SUM(G5:M5)</f>
        <v>3658.01</v>
      </c>
    </row>
    <row r="6" ht="170" customHeight="1" spans="1:14">
      <c r="A6" s="4">
        <v>2</v>
      </c>
      <c r="B6" s="4" t="s">
        <v>1734</v>
      </c>
      <c r="C6" s="4" t="s">
        <v>1641</v>
      </c>
      <c r="D6" s="8" t="s">
        <v>1735</v>
      </c>
      <c r="E6" s="4" t="s">
        <v>55</v>
      </c>
      <c r="F6" s="4">
        <v>1</v>
      </c>
      <c r="G6" s="9">
        <v>6557.72</v>
      </c>
      <c r="H6" s="9">
        <v>252.22</v>
      </c>
      <c r="I6" s="9">
        <v>84.07</v>
      </c>
      <c r="J6" s="9">
        <v>336.29</v>
      </c>
      <c r="K6" s="9">
        <v>252.22</v>
      </c>
      <c r="L6" s="9">
        <v>924.81</v>
      </c>
      <c r="M6" s="9">
        <v>756.66</v>
      </c>
      <c r="N6" s="16">
        <f t="shared" si="0"/>
        <v>9163.99</v>
      </c>
    </row>
    <row r="7" ht="45" customHeight="1" spans="1:14">
      <c r="A7" s="4">
        <v>3</v>
      </c>
      <c r="B7" s="4" t="s">
        <v>1736</v>
      </c>
      <c r="C7" s="4" t="s">
        <v>1644</v>
      </c>
      <c r="D7" s="8" t="s">
        <v>1737</v>
      </c>
      <c r="E7" s="4" t="s">
        <v>248</v>
      </c>
      <c r="F7" s="4">
        <v>1</v>
      </c>
      <c r="G7" s="9">
        <v>1022.2</v>
      </c>
      <c r="H7" s="9">
        <v>85.18</v>
      </c>
      <c r="I7" s="9">
        <v>34.07</v>
      </c>
      <c r="J7" s="9">
        <v>255.55</v>
      </c>
      <c r="K7" s="9">
        <v>119.26</v>
      </c>
      <c r="L7" s="9">
        <v>187.4</v>
      </c>
      <c r="M7" s="9">
        <v>153.33</v>
      </c>
      <c r="N7" s="16">
        <f t="shared" si="0"/>
        <v>1856.99</v>
      </c>
    </row>
    <row r="8" ht="25" customHeight="1" spans="1:14">
      <c r="A8" s="11" t="s">
        <v>50</v>
      </c>
      <c r="B8" s="12"/>
      <c r="C8" s="11"/>
      <c r="D8" s="13"/>
      <c r="E8" s="12"/>
      <c r="F8" s="11"/>
      <c r="G8" s="14"/>
      <c r="H8" s="14"/>
      <c r="I8" s="14"/>
      <c r="J8" s="14"/>
      <c r="K8" s="14"/>
      <c r="L8" s="14"/>
      <c r="M8" s="14"/>
      <c r="N8" s="14">
        <f>SUM(N5:N7)</f>
        <v>14678.99</v>
      </c>
    </row>
    <row r="9" ht="60" customHeight="1" spans="1:14">
      <c r="A9" s="4">
        <v>4</v>
      </c>
      <c r="B9" s="4" t="s">
        <v>1738</v>
      </c>
      <c r="C9" s="4" t="s">
        <v>1647</v>
      </c>
      <c r="D9" s="8" t="s">
        <v>1739</v>
      </c>
      <c r="E9" s="4" t="s">
        <v>248</v>
      </c>
      <c r="F9" s="4">
        <v>1</v>
      </c>
      <c r="G9" s="9">
        <v>4568.04</v>
      </c>
      <c r="H9" s="9">
        <v>175.69</v>
      </c>
      <c r="I9" s="9">
        <v>58.56</v>
      </c>
      <c r="J9" s="9">
        <v>234.26</v>
      </c>
      <c r="K9" s="9">
        <v>175.69</v>
      </c>
      <c r="L9" s="9">
        <v>644.21</v>
      </c>
      <c r="M9" s="9">
        <v>527.08</v>
      </c>
      <c r="N9" s="16">
        <f t="shared" si="0"/>
        <v>6383.53</v>
      </c>
    </row>
    <row r="10" ht="45" customHeight="1" spans="1:14">
      <c r="A10" s="4">
        <v>5</v>
      </c>
      <c r="B10" s="4" t="s">
        <v>1740</v>
      </c>
      <c r="C10" s="4" t="s">
        <v>1650</v>
      </c>
      <c r="D10" s="8" t="s">
        <v>1741</v>
      </c>
      <c r="E10" s="4" t="s">
        <v>55</v>
      </c>
      <c r="F10" s="4">
        <v>1</v>
      </c>
      <c r="G10" s="9">
        <v>1320.71</v>
      </c>
      <c r="H10" s="9">
        <v>50.8</v>
      </c>
      <c r="I10" s="9">
        <v>16.93</v>
      </c>
      <c r="J10" s="9">
        <v>67.73</v>
      </c>
      <c r="K10" s="9">
        <v>50.8</v>
      </c>
      <c r="L10" s="9">
        <v>186.25</v>
      </c>
      <c r="M10" s="9">
        <v>152.39</v>
      </c>
      <c r="N10" s="16">
        <f t="shared" si="0"/>
        <v>1845.61</v>
      </c>
    </row>
    <row r="11" ht="45" customHeight="1" spans="1:14">
      <c r="A11" s="4">
        <v>6</v>
      </c>
      <c r="B11" s="4" t="s">
        <v>1742</v>
      </c>
      <c r="C11" s="4" t="s">
        <v>1653</v>
      </c>
      <c r="D11" s="8" t="s">
        <v>1743</v>
      </c>
      <c r="E11" s="4" t="s">
        <v>55</v>
      </c>
      <c r="F11" s="4">
        <v>1</v>
      </c>
      <c r="G11" s="9">
        <v>1288.07</v>
      </c>
      <c r="H11" s="9">
        <v>49.54</v>
      </c>
      <c r="I11" s="9">
        <v>16.51</v>
      </c>
      <c r="J11" s="9">
        <v>66.06</v>
      </c>
      <c r="K11" s="9">
        <v>49.54</v>
      </c>
      <c r="L11" s="9">
        <v>181.65</v>
      </c>
      <c r="M11" s="9">
        <v>148.62</v>
      </c>
      <c r="N11" s="16">
        <f t="shared" si="0"/>
        <v>1799.99</v>
      </c>
    </row>
    <row r="12" ht="45" customHeight="1" spans="1:14">
      <c r="A12" s="4">
        <v>7</v>
      </c>
      <c r="B12" s="4" t="s">
        <v>1744</v>
      </c>
      <c r="C12" s="4" t="s">
        <v>1656</v>
      </c>
      <c r="D12" s="8" t="s">
        <v>1745</v>
      </c>
      <c r="E12" s="4" t="s">
        <v>93</v>
      </c>
      <c r="F12" s="4">
        <v>1</v>
      </c>
      <c r="G12" s="9">
        <v>3197.17</v>
      </c>
      <c r="H12" s="9">
        <v>266.43</v>
      </c>
      <c r="I12" s="9">
        <v>106.57</v>
      </c>
      <c r="J12" s="9">
        <v>799.29</v>
      </c>
      <c r="K12" s="9">
        <v>373</v>
      </c>
      <c r="L12" s="9">
        <v>586.15</v>
      </c>
      <c r="M12" s="9">
        <v>479.58</v>
      </c>
      <c r="N12" s="16">
        <f t="shared" si="0"/>
        <v>5808.19</v>
      </c>
    </row>
    <row r="13" ht="45" customHeight="1" spans="1:14">
      <c r="A13" s="4">
        <v>8</v>
      </c>
      <c r="B13" s="4" t="s">
        <v>1746</v>
      </c>
      <c r="C13" s="4" t="s">
        <v>1659</v>
      </c>
      <c r="D13" s="8" t="s">
        <v>1747</v>
      </c>
      <c r="E13" s="4" t="s">
        <v>93</v>
      </c>
      <c r="F13" s="4">
        <v>2</v>
      </c>
      <c r="G13" s="9">
        <v>779.67</v>
      </c>
      <c r="H13" s="9">
        <v>64.97</v>
      </c>
      <c r="I13" s="9">
        <v>25.99</v>
      </c>
      <c r="J13" s="9">
        <v>194.92</v>
      </c>
      <c r="K13" s="9">
        <v>90.96</v>
      </c>
      <c r="L13" s="9">
        <v>142.94</v>
      </c>
      <c r="M13" s="9">
        <v>116.95</v>
      </c>
      <c r="N13" s="16">
        <f t="shared" si="0"/>
        <v>1416.4</v>
      </c>
    </row>
    <row r="14" ht="25" customHeight="1" spans="1:14">
      <c r="A14" s="11" t="s">
        <v>50</v>
      </c>
      <c r="B14" s="12"/>
      <c r="C14" s="11"/>
      <c r="D14" s="13"/>
      <c r="E14" s="12"/>
      <c r="F14" s="11"/>
      <c r="G14" s="14"/>
      <c r="H14" s="14"/>
      <c r="I14" s="14"/>
      <c r="J14" s="14"/>
      <c r="K14" s="14"/>
      <c r="L14" s="14"/>
      <c r="M14" s="14"/>
      <c r="N14" s="14">
        <f>SUM(N9:N13)</f>
        <v>17253.72</v>
      </c>
    </row>
    <row r="15" ht="45" customHeight="1" spans="1:14">
      <c r="A15" s="4">
        <v>9</v>
      </c>
      <c r="B15" s="4" t="s">
        <v>1748</v>
      </c>
      <c r="C15" s="4" t="s">
        <v>1662</v>
      </c>
      <c r="D15" s="8" t="s">
        <v>1749</v>
      </c>
      <c r="E15" s="4" t="s">
        <v>55</v>
      </c>
      <c r="F15" s="4">
        <v>4</v>
      </c>
      <c r="G15" s="9">
        <v>2671.81</v>
      </c>
      <c r="H15" s="9">
        <v>102.76</v>
      </c>
      <c r="I15" s="9">
        <v>34.25</v>
      </c>
      <c r="J15" s="9">
        <v>137.02</v>
      </c>
      <c r="K15" s="9">
        <v>102.76</v>
      </c>
      <c r="L15" s="9">
        <v>376.79</v>
      </c>
      <c r="M15" s="9">
        <v>308.29</v>
      </c>
      <c r="N15" s="16">
        <f t="shared" si="0"/>
        <v>3733.68</v>
      </c>
    </row>
    <row r="16" ht="45" customHeight="1" spans="1:14">
      <c r="A16" s="4">
        <v>10</v>
      </c>
      <c r="B16" s="4" t="s">
        <v>1750</v>
      </c>
      <c r="C16" s="4" t="s">
        <v>1665</v>
      </c>
      <c r="D16" s="8" t="s">
        <v>1751</v>
      </c>
      <c r="E16" s="4" t="s">
        <v>55</v>
      </c>
      <c r="F16" s="4">
        <v>1</v>
      </c>
      <c r="G16" s="9">
        <v>933.51</v>
      </c>
      <c r="H16" s="9">
        <v>35.9</v>
      </c>
      <c r="I16" s="9">
        <v>11.97</v>
      </c>
      <c r="J16" s="9">
        <v>47.87</v>
      </c>
      <c r="K16" s="9">
        <v>35.9</v>
      </c>
      <c r="L16" s="9">
        <v>131.65</v>
      </c>
      <c r="M16" s="9">
        <v>107.71</v>
      </c>
      <c r="N16" s="16">
        <f t="shared" si="0"/>
        <v>1304.51</v>
      </c>
    </row>
    <row r="17" ht="45" customHeight="1" spans="1:14">
      <c r="A17" s="4">
        <v>11</v>
      </c>
      <c r="B17" s="4" t="s">
        <v>1752</v>
      </c>
      <c r="C17" s="4" t="s">
        <v>1668</v>
      </c>
      <c r="D17" s="8" t="s">
        <v>1753</v>
      </c>
      <c r="E17" s="4" t="s">
        <v>93</v>
      </c>
      <c r="F17" s="4">
        <v>10</v>
      </c>
      <c r="G17" s="9">
        <v>3765.41</v>
      </c>
      <c r="H17" s="9">
        <v>313.78</v>
      </c>
      <c r="I17" s="9">
        <v>125.51</v>
      </c>
      <c r="J17" s="9">
        <v>941.35</v>
      </c>
      <c r="K17" s="9">
        <v>439.3</v>
      </c>
      <c r="L17" s="9">
        <v>690.33</v>
      </c>
      <c r="M17" s="9">
        <v>564.81</v>
      </c>
      <c r="N17" s="16">
        <f t="shared" si="0"/>
        <v>6840.49</v>
      </c>
    </row>
    <row r="18" ht="45" customHeight="1" spans="1:14">
      <c r="A18" s="4">
        <v>12</v>
      </c>
      <c r="B18" s="4" t="s">
        <v>1754</v>
      </c>
      <c r="C18" s="4" t="s">
        <v>1671</v>
      </c>
      <c r="D18" s="8" t="s">
        <v>1755</v>
      </c>
      <c r="E18" s="4" t="s">
        <v>55</v>
      </c>
      <c r="F18" s="4">
        <v>1</v>
      </c>
      <c r="G18" s="9">
        <v>499.16</v>
      </c>
      <c r="H18" s="9">
        <v>19.2</v>
      </c>
      <c r="I18" s="9">
        <v>6.4</v>
      </c>
      <c r="J18" s="9">
        <v>25.6</v>
      </c>
      <c r="K18" s="9">
        <v>19.2</v>
      </c>
      <c r="L18" s="9">
        <v>70.39</v>
      </c>
      <c r="M18" s="9">
        <v>57.6</v>
      </c>
      <c r="N18" s="16">
        <f t="shared" si="0"/>
        <v>697.55</v>
      </c>
    </row>
    <row r="19" ht="45" customHeight="1" spans="1:14">
      <c r="A19" s="4">
        <v>13</v>
      </c>
      <c r="B19" s="4" t="s">
        <v>1756</v>
      </c>
      <c r="C19" s="4" t="s">
        <v>1674</v>
      </c>
      <c r="D19" s="8" t="s">
        <v>1757</v>
      </c>
      <c r="E19" s="4" t="s">
        <v>93</v>
      </c>
      <c r="F19" s="4">
        <v>1</v>
      </c>
      <c r="G19" s="9">
        <v>396.06</v>
      </c>
      <c r="H19" s="9">
        <v>33.01</v>
      </c>
      <c r="I19" s="9">
        <v>13.2</v>
      </c>
      <c r="J19" s="9">
        <v>99.02</v>
      </c>
      <c r="K19" s="9">
        <v>46.21</v>
      </c>
      <c r="L19" s="9">
        <v>72.61</v>
      </c>
      <c r="M19" s="9">
        <v>59.41</v>
      </c>
      <c r="N19" s="16">
        <f t="shared" si="0"/>
        <v>719.52</v>
      </c>
    </row>
    <row r="20" ht="25" customHeight="1" spans="1:14">
      <c r="A20" s="11" t="s">
        <v>50</v>
      </c>
      <c r="B20" s="12"/>
      <c r="C20" s="11"/>
      <c r="D20" s="13"/>
      <c r="E20" s="12"/>
      <c r="F20" s="11"/>
      <c r="G20" s="14"/>
      <c r="H20" s="14"/>
      <c r="I20" s="14"/>
      <c r="J20" s="14"/>
      <c r="K20" s="14"/>
      <c r="L20" s="14"/>
      <c r="M20" s="14"/>
      <c r="N20" s="14">
        <f>SUM(N15:N19)</f>
        <v>13295.75</v>
      </c>
    </row>
    <row r="21" ht="45" customHeight="1" spans="1:14">
      <c r="A21" s="4">
        <v>14</v>
      </c>
      <c r="B21" s="4" t="s">
        <v>1758</v>
      </c>
      <c r="C21" s="4" t="s">
        <v>68</v>
      </c>
      <c r="D21" s="8" t="s">
        <v>1759</v>
      </c>
      <c r="E21" s="4" t="s">
        <v>55</v>
      </c>
      <c r="F21" s="4">
        <v>1</v>
      </c>
      <c r="G21" s="9">
        <v>662.89</v>
      </c>
      <c r="H21" s="9">
        <v>25.5</v>
      </c>
      <c r="I21" s="9">
        <v>8.5</v>
      </c>
      <c r="J21" s="9">
        <v>33.99</v>
      </c>
      <c r="K21" s="9">
        <v>25.5</v>
      </c>
      <c r="L21" s="9">
        <v>93.48</v>
      </c>
      <c r="M21" s="9">
        <v>76.49</v>
      </c>
      <c r="N21" s="16">
        <f t="shared" si="0"/>
        <v>926.35</v>
      </c>
    </row>
    <row r="22" ht="45" customHeight="1" spans="1:14">
      <c r="A22" s="4">
        <v>15</v>
      </c>
      <c r="B22" s="4" t="s">
        <v>1760</v>
      </c>
      <c r="C22" s="4" t="s">
        <v>1679</v>
      </c>
      <c r="D22" s="8" t="s">
        <v>1761</v>
      </c>
      <c r="E22" s="4" t="s">
        <v>93</v>
      </c>
      <c r="F22" s="4">
        <v>1</v>
      </c>
      <c r="G22" s="9">
        <v>596.69</v>
      </c>
      <c r="H22" s="9">
        <v>49.72</v>
      </c>
      <c r="I22" s="9">
        <v>19.89</v>
      </c>
      <c r="J22" s="9">
        <v>149.17</v>
      </c>
      <c r="K22" s="9">
        <v>69.61</v>
      </c>
      <c r="L22" s="9">
        <v>109.39</v>
      </c>
      <c r="M22" s="9">
        <v>89.5</v>
      </c>
      <c r="N22" s="16">
        <f t="shared" si="0"/>
        <v>1083.97</v>
      </c>
    </row>
    <row r="23" ht="45" customHeight="1" spans="1:14">
      <c r="A23" s="4">
        <v>16</v>
      </c>
      <c r="B23" s="4" t="s">
        <v>1762</v>
      </c>
      <c r="C23" s="4" t="s">
        <v>1685</v>
      </c>
      <c r="D23" s="8" t="s">
        <v>1763</v>
      </c>
      <c r="E23" s="4" t="s">
        <v>55</v>
      </c>
      <c r="F23" s="4">
        <v>63</v>
      </c>
      <c r="G23" s="9">
        <v>11079.94</v>
      </c>
      <c r="H23" s="9">
        <v>426.15</v>
      </c>
      <c r="I23" s="9">
        <v>142.05</v>
      </c>
      <c r="J23" s="9">
        <v>568.2</v>
      </c>
      <c r="K23" s="9">
        <v>426.15</v>
      </c>
      <c r="L23" s="9">
        <v>1562.56</v>
      </c>
      <c r="M23" s="9">
        <v>1278.45</v>
      </c>
      <c r="N23" s="16">
        <f t="shared" si="0"/>
        <v>15483.5</v>
      </c>
    </row>
    <row r="24" ht="45" customHeight="1" spans="1:14">
      <c r="A24" s="4">
        <v>17</v>
      </c>
      <c r="B24" s="4" t="s">
        <v>1764</v>
      </c>
      <c r="C24" s="4" t="s">
        <v>1688</v>
      </c>
      <c r="D24" s="8" t="s">
        <v>1765</v>
      </c>
      <c r="E24" s="4" t="s">
        <v>93</v>
      </c>
      <c r="F24" s="4">
        <v>31</v>
      </c>
      <c r="G24" s="9">
        <v>10842.62</v>
      </c>
      <c r="H24" s="9">
        <v>417.02</v>
      </c>
      <c r="I24" s="9">
        <v>139.01</v>
      </c>
      <c r="J24" s="9">
        <v>556.03</v>
      </c>
      <c r="K24" s="9">
        <v>417.02</v>
      </c>
      <c r="L24" s="9">
        <v>1529.09</v>
      </c>
      <c r="M24" s="9">
        <v>1251.07</v>
      </c>
      <c r="N24" s="16">
        <f t="shared" si="0"/>
        <v>15151.86</v>
      </c>
    </row>
    <row r="25" ht="45" customHeight="1" spans="1:14">
      <c r="A25" s="4">
        <v>18</v>
      </c>
      <c r="B25" s="4" t="s">
        <v>1766</v>
      </c>
      <c r="C25" s="4" t="s">
        <v>1691</v>
      </c>
      <c r="D25" s="8" t="s">
        <v>1767</v>
      </c>
      <c r="E25" s="4" t="s">
        <v>55</v>
      </c>
      <c r="F25" s="4">
        <v>1</v>
      </c>
      <c r="G25" s="9">
        <v>102.16</v>
      </c>
      <c r="H25" s="9">
        <v>8.51</v>
      </c>
      <c r="I25" s="9">
        <v>3.41</v>
      </c>
      <c r="J25" s="9">
        <v>25.54</v>
      </c>
      <c r="K25" s="9">
        <v>11.92</v>
      </c>
      <c r="L25" s="9">
        <v>18.73</v>
      </c>
      <c r="M25" s="9">
        <v>15.32</v>
      </c>
      <c r="N25" s="16">
        <f t="shared" si="0"/>
        <v>185.59</v>
      </c>
    </row>
    <row r="26" ht="25" customHeight="1" spans="1:14">
      <c r="A26" s="11" t="s">
        <v>50</v>
      </c>
      <c r="B26" s="12"/>
      <c r="C26" s="11"/>
      <c r="D26" s="13"/>
      <c r="E26" s="12"/>
      <c r="F26" s="11"/>
      <c r="G26" s="14"/>
      <c r="H26" s="14"/>
      <c r="I26" s="14"/>
      <c r="J26" s="14"/>
      <c r="K26" s="14"/>
      <c r="L26" s="14"/>
      <c r="M26" s="14"/>
      <c r="N26" s="14">
        <f>SUM(N21:N25)</f>
        <v>32831.27</v>
      </c>
    </row>
    <row r="27" ht="89" customHeight="1" spans="1:14">
      <c r="A27" s="4">
        <v>19</v>
      </c>
      <c r="B27" s="4" t="s">
        <v>1693</v>
      </c>
      <c r="C27" s="4" t="s">
        <v>133</v>
      </c>
      <c r="D27" s="8" t="s">
        <v>134</v>
      </c>
      <c r="E27" s="4" t="s">
        <v>66</v>
      </c>
      <c r="F27" s="4">
        <v>1</v>
      </c>
      <c r="G27" s="9">
        <v>697.25</v>
      </c>
      <c r="H27" s="9">
        <v>183.49</v>
      </c>
      <c r="I27" s="9">
        <v>91.74</v>
      </c>
      <c r="J27" s="9">
        <v>513.76</v>
      </c>
      <c r="K27" s="9">
        <v>146.79</v>
      </c>
      <c r="L27" s="9">
        <v>201.83</v>
      </c>
      <c r="M27" s="9">
        <v>165.14</v>
      </c>
      <c r="N27" s="16">
        <f t="shared" si="0"/>
        <v>2000</v>
      </c>
    </row>
    <row r="28" ht="60" customHeight="1" spans="1:14">
      <c r="A28" s="4">
        <v>20</v>
      </c>
      <c r="B28" s="4" t="s">
        <v>1768</v>
      </c>
      <c r="C28" s="4" t="s">
        <v>95</v>
      </c>
      <c r="D28" s="8" t="s">
        <v>1769</v>
      </c>
      <c r="E28" s="4" t="s">
        <v>47</v>
      </c>
      <c r="F28" s="4">
        <v>10</v>
      </c>
      <c r="G28" s="9">
        <v>87.96</v>
      </c>
      <c r="H28" s="9">
        <v>23.15</v>
      </c>
      <c r="I28" s="9">
        <v>11.57</v>
      </c>
      <c r="J28" s="9">
        <v>64.81</v>
      </c>
      <c r="K28" s="9">
        <v>18.52</v>
      </c>
      <c r="L28" s="9">
        <v>25.46</v>
      </c>
      <c r="M28" s="9">
        <v>20.83</v>
      </c>
      <c r="N28" s="16">
        <f t="shared" si="0"/>
        <v>252.3</v>
      </c>
    </row>
    <row r="29" ht="60" customHeight="1" spans="1:14">
      <c r="A29" s="4">
        <v>21</v>
      </c>
      <c r="B29" s="4" t="s">
        <v>1770</v>
      </c>
      <c r="C29" s="4" t="s">
        <v>95</v>
      </c>
      <c r="D29" s="8" t="s">
        <v>1771</v>
      </c>
      <c r="E29" s="4" t="s">
        <v>47</v>
      </c>
      <c r="F29" s="4">
        <v>547.91</v>
      </c>
      <c r="G29" s="9">
        <v>4775.36</v>
      </c>
      <c r="H29" s="9">
        <v>1256.67</v>
      </c>
      <c r="I29" s="9">
        <v>628.34</v>
      </c>
      <c r="J29" s="9">
        <v>3518.69</v>
      </c>
      <c r="K29" s="9">
        <v>1005.34</v>
      </c>
      <c r="L29" s="9">
        <v>1382.34</v>
      </c>
      <c r="M29" s="9">
        <v>1131.01</v>
      </c>
      <c r="N29" s="16">
        <f t="shared" si="0"/>
        <v>13697.75</v>
      </c>
    </row>
    <row r="30" ht="25" customHeight="1" spans="1:14">
      <c r="A30" s="11" t="s">
        <v>50</v>
      </c>
      <c r="B30" s="12"/>
      <c r="C30" s="11"/>
      <c r="D30" s="13"/>
      <c r="E30" s="12"/>
      <c r="F30" s="11"/>
      <c r="G30" s="14"/>
      <c r="H30" s="14"/>
      <c r="I30" s="14"/>
      <c r="J30" s="14"/>
      <c r="K30" s="14"/>
      <c r="L30" s="14"/>
      <c r="M30" s="14"/>
      <c r="N30" s="14">
        <f>SUM(N27:N29)</f>
        <v>15950.05</v>
      </c>
    </row>
    <row r="31" ht="45" customHeight="1" spans="1:14">
      <c r="A31" s="4">
        <v>22</v>
      </c>
      <c r="B31" s="4" t="s">
        <v>1772</v>
      </c>
      <c r="C31" s="4" t="s">
        <v>103</v>
      </c>
      <c r="D31" s="8" t="s">
        <v>1773</v>
      </c>
      <c r="E31" s="4" t="s">
        <v>105</v>
      </c>
      <c r="F31" s="4">
        <v>97.89</v>
      </c>
      <c r="G31" s="9">
        <v>453.89</v>
      </c>
      <c r="H31" s="9">
        <v>119.44</v>
      </c>
      <c r="I31" s="9">
        <v>59.72</v>
      </c>
      <c r="J31" s="9">
        <v>334.44</v>
      </c>
      <c r="K31" s="9">
        <v>95.56</v>
      </c>
      <c r="L31" s="9">
        <v>131.39</v>
      </c>
      <c r="M31" s="9">
        <v>107.5</v>
      </c>
      <c r="N31" s="16">
        <f t="shared" si="0"/>
        <v>1301.94</v>
      </c>
    </row>
    <row r="32" ht="45" customHeight="1" spans="1:14">
      <c r="A32" s="4">
        <v>23</v>
      </c>
      <c r="B32" s="4" t="s">
        <v>1774</v>
      </c>
      <c r="C32" s="4" t="s">
        <v>100</v>
      </c>
      <c r="D32" s="8" t="s">
        <v>1775</v>
      </c>
      <c r="E32" s="4" t="s">
        <v>47</v>
      </c>
      <c r="F32" s="4">
        <v>112</v>
      </c>
      <c r="G32" s="9">
        <v>480.88</v>
      </c>
      <c r="H32" s="9">
        <v>40.07</v>
      </c>
      <c r="I32" s="9">
        <v>16.03</v>
      </c>
      <c r="J32" s="9">
        <v>120.22</v>
      </c>
      <c r="K32" s="9">
        <v>56.1</v>
      </c>
      <c r="L32" s="9">
        <v>88.16</v>
      </c>
      <c r="M32" s="9">
        <v>72.13</v>
      </c>
      <c r="N32" s="16">
        <f t="shared" si="0"/>
        <v>873.59</v>
      </c>
    </row>
    <row r="33" ht="45" customHeight="1" spans="1:14">
      <c r="A33" s="4">
        <v>24</v>
      </c>
      <c r="B33" s="4" t="s">
        <v>1776</v>
      </c>
      <c r="C33" s="4" t="s">
        <v>110</v>
      </c>
      <c r="D33" s="8" t="s">
        <v>1777</v>
      </c>
      <c r="E33" s="4" t="s">
        <v>47</v>
      </c>
      <c r="F33" s="4">
        <v>200</v>
      </c>
      <c r="G33" s="9">
        <v>209.17</v>
      </c>
      <c r="H33" s="9">
        <v>55.05</v>
      </c>
      <c r="I33" s="9">
        <v>27.52</v>
      </c>
      <c r="J33" s="9">
        <v>154.13</v>
      </c>
      <c r="K33" s="9">
        <v>44.04</v>
      </c>
      <c r="L33" s="9">
        <v>60.55</v>
      </c>
      <c r="M33" s="9">
        <v>49.54</v>
      </c>
      <c r="N33" s="16">
        <f t="shared" si="0"/>
        <v>600</v>
      </c>
    </row>
    <row r="34" ht="45" customHeight="1" spans="1:14">
      <c r="A34" s="4">
        <v>25</v>
      </c>
      <c r="B34" s="4" t="s">
        <v>1778</v>
      </c>
      <c r="C34" s="4" t="s">
        <v>107</v>
      </c>
      <c r="D34" s="8" t="s">
        <v>1779</v>
      </c>
      <c r="E34" s="4" t="s">
        <v>47</v>
      </c>
      <c r="F34" s="4">
        <v>100</v>
      </c>
      <c r="G34" s="9">
        <v>565.32</v>
      </c>
      <c r="H34" s="9">
        <v>21.74</v>
      </c>
      <c r="I34" s="9">
        <v>7.25</v>
      </c>
      <c r="J34" s="9">
        <v>28.99</v>
      </c>
      <c r="K34" s="9">
        <v>21.74</v>
      </c>
      <c r="L34" s="9">
        <v>79.72</v>
      </c>
      <c r="M34" s="9">
        <v>65.23</v>
      </c>
      <c r="N34" s="16">
        <f t="shared" si="0"/>
        <v>789.99</v>
      </c>
    </row>
    <row r="35" ht="60" customHeight="1" spans="1:14">
      <c r="A35" s="4">
        <v>26</v>
      </c>
      <c r="B35" s="4" t="s">
        <v>1780</v>
      </c>
      <c r="C35" s="4" t="s">
        <v>45</v>
      </c>
      <c r="D35" s="8" t="s">
        <v>1781</v>
      </c>
      <c r="E35" s="4" t="s">
        <v>47</v>
      </c>
      <c r="F35" s="4">
        <v>1019.64</v>
      </c>
      <c r="G35" s="9">
        <v>1777.35</v>
      </c>
      <c r="H35" s="9">
        <v>467.72</v>
      </c>
      <c r="I35" s="9">
        <v>233.86</v>
      </c>
      <c r="J35" s="9">
        <v>1309.63</v>
      </c>
      <c r="K35" s="9">
        <v>374.18</v>
      </c>
      <c r="L35" s="9">
        <v>514.5</v>
      </c>
      <c r="M35" s="9">
        <v>420.95</v>
      </c>
      <c r="N35" s="16">
        <f t="shared" si="0"/>
        <v>5098.19</v>
      </c>
    </row>
    <row r="36" ht="25" customHeight="1" spans="1:14">
      <c r="A36" s="11" t="s">
        <v>50</v>
      </c>
      <c r="B36" s="12"/>
      <c r="C36" s="11"/>
      <c r="D36" s="13"/>
      <c r="E36" s="12"/>
      <c r="F36" s="11"/>
      <c r="G36" s="14"/>
      <c r="H36" s="14"/>
      <c r="I36" s="14"/>
      <c r="J36" s="14"/>
      <c r="K36" s="14"/>
      <c r="L36" s="14"/>
      <c r="M36" s="14"/>
      <c r="N36" s="14">
        <f>SUM(N31:N35)</f>
        <v>8663.71</v>
      </c>
    </row>
    <row r="37" ht="60" customHeight="1" spans="1:14">
      <c r="A37" s="4">
        <v>27</v>
      </c>
      <c r="B37" s="4" t="s">
        <v>1782</v>
      </c>
      <c r="C37" s="4" t="s">
        <v>45</v>
      </c>
      <c r="D37" s="8" t="s">
        <v>1783</v>
      </c>
      <c r="E37" s="4" t="s">
        <v>47</v>
      </c>
      <c r="F37" s="4">
        <v>179.85</v>
      </c>
      <c r="G37" s="9">
        <v>369.93</v>
      </c>
      <c r="H37" s="9">
        <v>97.35</v>
      </c>
      <c r="I37" s="9">
        <v>48.67</v>
      </c>
      <c r="J37" s="9">
        <v>272.58</v>
      </c>
      <c r="K37" s="9">
        <v>77.88</v>
      </c>
      <c r="L37" s="9">
        <v>107.08</v>
      </c>
      <c r="M37" s="9">
        <v>87.62</v>
      </c>
      <c r="N37" s="16">
        <f t="shared" si="0"/>
        <v>1061.11</v>
      </c>
    </row>
    <row r="38" ht="25" customHeight="1" spans="1:14">
      <c r="A38" s="4">
        <v>28</v>
      </c>
      <c r="B38" s="4" t="s">
        <v>1784</v>
      </c>
      <c r="C38" s="4" t="s">
        <v>64</v>
      </c>
      <c r="D38" s="8"/>
      <c r="E38" s="4" t="s">
        <v>66</v>
      </c>
      <c r="F38" s="4">
        <v>1</v>
      </c>
      <c r="G38" s="9">
        <v>149.91</v>
      </c>
      <c r="H38" s="9">
        <v>39.45</v>
      </c>
      <c r="I38" s="9">
        <v>19.72</v>
      </c>
      <c r="J38" s="9">
        <v>110.46</v>
      </c>
      <c r="K38" s="9">
        <v>31.56</v>
      </c>
      <c r="L38" s="9">
        <v>43.39</v>
      </c>
      <c r="M38" s="9">
        <v>35.5</v>
      </c>
      <c r="N38" s="16">
        <f t="shared" si="0"/>
        <v>429.99</v>
      </c>
    </row>
    <row r="39" ht="25" customHeight="1" spans="1:14">
      <c r="A39" s="4">
        <v>29</v>
      </c>
      <c r="B39" s="4" t="s">
        <v>1708</v>
      </c>
      <c r="C39" s="4" t="s">
        <v>319</v>
      </c>
      <c r="D39" s="8"/>
      <c r="E39" s="4" t="s">
        <v>66</v>
      </c>
      <c r="F39" s="4">
        <v>1</v>
      </c>
      <c r="G39" s="9">
        <v>1100.92</v>
      </c>
      <c r="H39" s="9">
        <v>91.74</v>
      </c>
      <c r="I39" s="9">
        <v>36.7</v>
      </c>
      <c r="J39" s="9">
        <v>275.23</v>
      </c>
      <c r="K39" s="9">
        <v>128.44</v>
      </c>
      <c r="L39" s="9">
        <v>201.83</v>
      </c>
      <c r="M39" s="9">
        <v>165.14</v>
      </c>
      <c r="N39" s="16">
        <f t="shared" si="0"/>
        <v>2000</v>
      </c>
    </row>
    <row r="40" ht="25" customHeight="1" spans="1:14">
      <c r="A40" s="11" t="s">
        <v>50</v>
      </c>
      <c r="B40" s="12"/>
      <c r="C40" s="11"/>
      <c r="D40" s="13"/>
      <c r="E40" s="12"/>
      <c r="F40" s="11"/>
      <c r="G40" s="14"/>
      <c r="H40" s="14"/>
      <c r="I40" s="14"/>
      <c r="J40" s="14"/>
      <c r="K40" s="14"/>
      <c r="L40" s="14"/>
      <c r="M40" s="14"/>
      <c r="N40" s="14">
        <f>SUM(N37:N39)</f>
        <v>3491.1</v>
      </c>
    </row>
    <row r="41" ht="25" customHeight="1" spans="1:14">
      <c r="A41" s="4" t="s">
        <v>188</v>
      </c>
      <c r="B41" s="4"/>
      <c r="C41" s="4"/>
      <c r="D41" s="8"/>
      <c r="E41" s="4"/>
      <c r="F41" s="4"/>
      <c r="G41" s="9"/>
      <c r="H41" s="9"/>
      <c r="I41" s="9"/>
      <c r="J41" s="9"/>
      <c r="K41" s="9"/>
      <c r="L41" s="9"/>
      <c r="M41" s="9"/>
      <c r="N41" s="16">
        <f>N8+N14+N20+N26+N30+N36+N40</f>
        <v>106164.59</v>
      </c>
    </row>
  </sheetData>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24"/>
  <sheetViews>
    <sheetView zoomScale="70" zoomScaleNormal="70" topLeftCell="A37" workbookViewId="0">
      <selection activeCell="N4" sqref="N4"/>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0.5309734513274"/>
  </cols>
  <sheetData>
    <row r="1" ht="30" customHeight="1" spans="1:14">
      <c r="A1" s="2" t="s">
        <v>27</v>
      </c>
      <c r="B1" s="2"/>
      <c r="C1" s="2"/>
      <c r="D1" s="2"/>
      <c r="E1" s="2"/>
      <c r="F1" s="2"/>
      <c r="G1" s="2"/>
      <c r="H1" s="2"/>
      <c r="I1" s="2"/>
      <c r="J1" s="2"/>
      <c r="K1" s="2"/>
      <c r="L1" s="2"/>
      <c r="M1" s="2"/>
      <c r="N1" s="17"/>
    </row>
    <row r="2" ht="25" customHeight="1" spans="1:14">
      <c r="A2" s="4" t="s">
        <v>27</v>
      </c>
      <c r="B2" s="4"/>
      <c r="C2" s="4"/>
      <c r="D2" s="4"/>
      <c r="E2" s="4"/>
      <c r="F2" s="4"/>
      <c r="G2" s="4"/>
      <c r="H2" s="4"/>
      <c r="I2" s="4"/>
      <c r="J2" s="4"/>
      <c r="K2" s="4"/>
      <c r="L2" s="4"/>
      <c r="M2" s="4"/>
      <c r="N2" s="18"/>
    </row>
    <row r="3" ht="25" customHeight="1" spans="1:14">
      <c r="A3" s="6" t="s">
        <v>1</v>
      </c>
      <c r="B3" s="6" t="s">
        <v>31</v>
      </c>
      <c r="C3" s="6" t="s">
        <v>32</v>
      </c>
      <c r="D3" s="6" t="s">
        <v>33</v>
      </c>
      <c r="E3" s="6" t="s">
        <v>34</v>
      </c>
      <c r="F3" s="6" t="s">
        <v>35</v>
      </c>
      <c r="G3" s="6" t="s">
        <v>3</v>
      </c>
      <c r="H3" s="6"/>
      <c r="I3" s="6"/>
      <c r="J3" s="6"/>
      <c r="K3" s="6"/>
      <c r="L3" s="6"/>
      <c r="M3" s="6"/>
      <c r="N3" s="19"/>
    </row>
    <row r="4" ht="25" customHeight="1" spans="1:14">
      <c r="A4" s="7"/>
      <c r="B4" s="7"/>
      <c r="C4" s="7"/>
      <c r="D4" s="7"/>
      <c r="E4" s="7"/>
      <c r="F4" s="7"/>
      <c r="G4" s="6" t="s">
        <v>36</v>
      </c>
      <c r="H4" s="6" t="s">
        <v>37</v>
      </c>
      <c r="I4" s="6" t="s">
        <v>38</v>
      </c>
      <c r="J4" s="6" t="s">
        <v>39</v>
      </c>
      <c r="K4" s="6" t="s">
        <v>40</v>
      </c>
      <c r="L4" s="6" t="s">
        <v>41</v>
      </c>
      <c r="M4" s="6" t="s">
        <v>42</v>
      </c>
      <c r="N4" s="6" t="s">
        <v>43</v>
      </c>
    </row>
    <row r="5" ht="45" customHeight="1" spans="1:14">
      <c r="A5" s="4">
        <v>1</v>
      </c>
      <c r="B5" s="4" t="s">
        <v>1785</v>
      </c>
      <c r="C5" s="4" t="s">
        <v>1710</v>
      </c>
      <c r="D5" s="8" t="s">
        <v>1786</v>
      </c>
      <c r="E5" s="4" t="s">
        <v>55</v>
      </c>
      <c r="F5" s="4">
        <v>1</v>
      </c>
      <c r="G5" s="9">
        <v>3220.18</v>
      </c>
      <c r="H5" s="9">
        <v>123.85</v>
      </c>
      <c r="I5" s="9">
        <v>41.28</v>
      </c>
      <c r="J5" s="9">
        <v>165.14</v>
      </c>
      <c r="K5" s="9">
        <v>123.85</v>
      </c>
      <c r="L5" s="9">
        <v>454.13</v>
      </c>
      <c r="M5" s="9">
        <v>371.56</v>
      </c>
      <c r="N5" s="16">
        <f t="shared" ref="N5:N24" si="0">SUM(G5:M5)</f>
        <v>4499.99</v>
      </c>
    </row>
    <row r="6" ht="45" customHeight="1" spans="1:14">
      <c r="A6" s="4">
        <v>2</v>
      </c>
      <c r="B6" s="4" t="s">
        <v>1787</v>
      </c>
      <c r="C6" s="4" t="s">
        <v>1713</v>
      </c>
      <c r="D6" s="8" t="s">
        <v>1788</v>
      </c>
      <c r="E6" s="4" t="s">
        <v>55</v>
      </c>
      <c r="F6" s="4">
        <v>18</v>
      </c>
      <c r="G6" s="9">
        <v>11889.91</v>
      </c>
      <c r="H6" s="9">
        <v>990.83</v>
      </c>
      <c r="I6" s="9">
        <v>396.33</v>
      </c>
      <c r="J6" s="9">
        <v>2972.48</v>
      </c>
      <c r="K6" s="9">
        <v>1387.16</v>
      </c>
      <c r="L6" s="9">
        <v>2179.82</v>
      </c>
      <c r="M6" s="9">
        <v>1783.49</v>
      </c>
      <c r="N6" s="16">
        <f t="shared" si="0"/>
        <v>21600.02</v>
      </c>
    </row>
    <row r="7" ht="45" customHeight="1" spans="1:14">
      <c r="A7" s="4">
        <v>3</v>
      </c>
      <c r="B7" s="4" t="s">
        <v>1789</v>
      </c>
      <c r="C7" s="4" t="s">
        <v>1716</v>
      </c>
      <c r="D7" s="8" t="s">
        <v>1790</v>
      </c>
      <c r="E7" s="4" t="s">
        <v>55</v>
      </c>
      <c r="F7" s="4">
        <v>450</v>
      </c>
      <c r="G7" s="9">
        <v>38642.2</v>
      </c>
      <c r="H7" s="9">
        <v>1486.24</v>
      </c>
      <c r="I7" s="9">
        <v>495.41</v>
      </c>
      <c r="J7" s="9">
        <v>1981.65</v>
      </c>
      <c r="K7" s="9">
        <v>1486.24</v>
      </c>
      <c r="L7" s="9">
        <v>5449.54</v>
      </c>
      <c r="M7" s="9">
        <v>4458.72</v>
      </c>
      <c r="N7" s="16">
        <f t="shared" si="0"/>
        <v>54000</v>
      </c>
    </row>
    <row r="8" ht="45" customHeight="1" spans="1:14">
      <c r="A8" s="4">
        <v>4</v>
      </c>
      <c r="B8" s="4" t="s">
        <v>1791</v>
      </c>
      <c r="C8" s="4" t="s">
        <v>1719</v>
      </c>
      <c r="D8" s="8" t="s">
        <v>1792</v>
      </c>
      <c r="E8" s="4" t="s">
        <v>55</v>
      </c>
      <c r="F8" s="4">
        <v>90</v>
      </c>
      <c r="G8" s="9">
        <v>22541.28</v>
      </c>
      <c r="H8" s="9">
        <v>866.97</v>
      </c>
      <c r="I8" s="9">
        <v>288.99</v>
      </c>
      <c r="J8" s="9">
        <v>1155.96</v>
      </c>
      <c r="K8" s="9">
        <v>866.97</v>
      </c>
      <c r="L8" s="9">
        <v>3178.9</v>
      </c>
      <c r="M8" s="9">
        <v>2600.92</v>
      </c>
      <c r="N8" s="16">
        <f t="shared" si="0"/>
        <v>31499.99</v>
      </c>
    </row>
    <row r="9" ht="45" customHeight="1" spans="1:14">
      <c r="A9" s="4">
        <v>5</v>
      </c>
      <c r="B9" s="4" t="s">
        <v>1793</v>
      </c>
      <c r="C9" s="4" t="s">
        <v>601</v>
      </c>
      <c r="D9" s="8" t="s">
        <v>1794</v>
      </c>
      <c r="E9" s="4" t="s">
        <v>55</v>
      </c>
      <c r="F9" s="4">
        <v>1</v>
      </c>
      <c r="G9" s="9">
        <v>154.13</v>
      </c>
      <c r="H9" s="9">
        <v>12.84</v>
      </c>
      <c r="I9" s="9">
        <v>5.14</v>
      </c>
      <c r="J9" s="9">
        <v>38.53</v>
      </c>
      <c r="K9" s="9">
        <v>17.98</v>
      </c>
      <c r="L9" s="9">
        <v>28.26</v>
      </c>
      <c r="M9" s="9">
        <v>23.12</v>
      </c>
      <c r="N9" s="16">
        <f t="shared" si="0"/>
        <v>280</v>
      </c>
    </row>
    <row r="10" ht="25" customHeight="1" spans="1:14">
      <c r="A10" s="11" t="s">
        <v>50</v>
      </c>
      <c r="B10" s="12"/>
      <c r="C10" s="11"/>
      <c r="D10" s="13"/>
      <c r="E10" s="12"/>
      <c r="F10" s="11"/>
      <c r="G10" s="14"/>
      <c r="H10" s="14"/>
      <c r="I10" s="14"/>
      <c r="J10" s="14"/>
      <c r="K10" s="14"/>
      <c r="L10" s="14"/>
      <c r="M10" s="14"/>
      <c r="N10" s="14">
        <f>SUM(N5:N9)</f>
        <v>111880</v>
      </c>
    </row>
    <row r="11" ht="89" customHeight="1" spans="1:14">
      <c r="A11" s="4">
        <v>6</v>
      </c>
      <c r="B11" s="4" t="s">
        <v>1693</v>
      </c>
      <c r="C11" s="4" t="s">
        <v>133</v>
      </c>
      <c r="D11" s="8" t="s">
        <v>134</v>
      </c>
      <c r="E11" s="4" t="s">
        <v>66</v>
      </c>
      <c r="F11" s="4">
        <v>1</v>
      </c>
      <c r="G11" s="9">
        <v>1045.87</v>
      </c>
      <c r="H11" s="9">
        <v>275.23</v>
      </c>
      <c r="I11" s="9">
        <v>137.61</v>
      </c>
      <c r="J11" s="9">
        <v>770.64</v>
      </c>
      <c r="K11" s="9">
        <v>220.18</v>
      </c>
      <c r="L11" s="9">
        <v>302.75</v>
      </c>
      <c r="M11" s="9">
        <v>247.71</v>
      </c>
      <c r="N11" s="16">
        <f t="shared" si="0"/>
        <v>2999.99</v>
      </c>
    </row>
    <row r="12" ht="45" customHeight="1" spans="1:14">
      <c r="A12" s="4">
        <v>7</v>
      </c>
      <c r="B12" s="4" t="s">
        <v>1795</v>
      </c>
      <c r="C12" s="4" t="s">
        <v>347</v>
      </c>
      <c r="D12" s="8" t="s">
        <v>1796</v>
      </c>
      <c r="E12" s="4" t="s">
        <v>66</v>
      </c>
      <c r="F12" s="4">
        <v>1</v>
      </c>
      <c r="G12" s="9">
        <v>550.46</v>
      </c>
      <c r="H12" s="9">
        <v>45.87</v>
      </c>
      <c r="I12" s="9">
        <v>18.35</v>
      </c>
      <c r="J12" s="9">
        <v>137.61</v>
      </c>
      <c r="K12" s="9">
        <v>64.22</v>
      </c>
      <c r="L12" s="9">
        <v>100.92</v>
      </c>
      <c r="M12" s="9">
        <v>82.57</v>
      </c>
      <c r="N12" s="16">
        <f t="shared" si="0"/>
        <v>1000</v>
      </c>
    </row>
    <row r="13" ht="45" customHeight="1" spans="1:14">
      <c r="A13" s="4">
        <v>8</v>
      </c>
      <c r="B13" s="4" t="s">
        <v>1797</v>
      </c>
      <c r="C13" s="4" t="s">
        <v>95</v>
      </c>
      <c r="D13" s="8" t="s">
        <v>1798</v>
      </c>
      <c r="E13" s="4" t="s">
        <v>47</v>
      </c>
      <c r="F13" s="4">
        <v>163.5</v>
      </c>
      <c r="G13" s="9">
        <v>256.5</v>
      </c>
      <c r="H13" s="9">
        <v>67.5</v>
      </c>
      <c r="I13" s="9">
        <v>33.75</v>
      </c>
      <c r="J13" s="9">
        <v>189</v>
      </c>
      <c r="K13" s="9">
        <v>54</v>
      </c>
      <c r="L13" s="9">
        <v>74.25</v>
      </c>
      <c r="M13" s="9">
        <v>60.75</v>
      </c>
      <c r="N13" s="16">
        <f t="shared" si="0"/>
        <v>735.75</v>
      </c>
    </row>
    <row r="14" ht="25" customHeight="1" spans="1:14">
      <c r="A14" s="11" t="s">
        <v>50</v>
      </c>
      <c r="B14" s="12"/>
      <c r="C14" s="11"/>
      <c r="D14" s="13"/>
      <c r="E14" s="12"/>
      <c r="F14" s="11"/>
      <c r="G14" s="14"/>
      <c r="H14" s="14"/>
      <c r="I14" s="14"/>
      <c r="J14" s="14"/>
      <c r="K14" s="14"/>
      <c r="L14" s="14"/>
      <c r="M14" s="14"/>
      <c r="N14" s="14">
        <f>SUM(N11:N13)</f>
        <v>4735.74</v>
      </c>
    </row>
    <row r="15" ht="45" customHeight="1" spans="1:14">
      <c r="A15" s="4">
        <v>9</v>
      </c>
      <c r="B15" s="4" t="s">
        <v>1799</v>
      </c>
      <c r="C15" s="4" t="s">
        <v>95</v>
      </c>
      <c r="D15" s="8" t="s">
        <v>1800</v>
      </c>
      <c r="E15" s="4" t="s">
        <v>47</v>
      </c>
      <c r="F15" s="4">
        <v>926.5</v>
      </c>
      <c r="G15" s="9">
        <v>1453.5</v>
      </c>
      <c r="H15" s="9">
        <v>382.5</v>
      </c>
      <c r="I15" s="9">
        <v>191.25</v>
      </c>
      <c r="J15" s="9">
        <v>1071</v>
      </c>
      <c r="K15" s="9">
        <v>306</v>
      </c>
      <c r="L15" s="9">
        <v>420.75</v>
      </c>
      <c r="M15" s="9">
        <v>344.25</v>
      </c>
      <c r="N15" s="16">
        <f t="shared" si="0"/>
        <v>4169.25</v>
      </c>
    </row>
    <row r="16" ht="45" customHeight="1" spans="1:14">
      <c r="A16" s="4">
        <v>10</v>
      </c>
      <c r="B16" s="4" t="s">
        <v>1801</v>
      </c>
      <c r="C16" s="4" t="s">
        <v>103</v>
      </c>
      <c r="D16" s="8" t="s">
        <v>1773</v>
      </c>
      <c r="E16" s="4" t="s">
        <v>105</v>
      </c>
      <c r="F16" s="4">
        <v>165.53</v>
      </c>
      <c r="G16" s="9">
        <v>277</v>
      </c>
      <c r="H16" s="9">
        <v>72.89</v>
      </c>
      <c r="I16" s="9">
        <v>36.45</v>
      </c>
      <c r="J16" s="9">
        <v>204.1</v>
      </c>
      <c r="K16" s="9">
        <v>58.32</v>
      </c>
      <c r="L16" s="9">
        <v>80.18</v>
      </c>
      <c r="M16" s="9">
        <v>65.6</v>
      </c>
      <c r="N16" s="16">
        <f t="shared" si="0"/>
        <v>794.54</v>
      </c>
    </row>
    <row r="17" ht="45" customHeight="1" spans="1:14">
      <c r="A17" s="4">
        <v>11</v>
      </c>
      <c r="B17" s="4" t="s">
        <v>1802</v>
      </c>
      <c r="C17" s="4" t="s">
        <v>100</v>
      </c>
      <c r="D17" s="8" t="s">
        <v>1775</v>
      </c>
      <c r="E17" s="4" t="s">
        <v>47</v>
      </c>
      <c r="F17" s="4">
        <v>163.5</v>
      </c>
      <c r="G17" s="9">
        <v>2700</v>
      </c>
      <c r="H17" s="9">
        <v>225</v>
      </c>
      <c r="I17" s="9">
        <v>90</v>
      </c>
      <c r="J17" s="9">
        <v>675</v>
      </c>
      <c r="K17" s="9">
        <v>315</v>
      </c>
      <c r="L17" s="9">
        <v>495</v>
      </c>
      <c r="M17" s="9">
        <v>405</v>
      </c>
      <c r="N17" s="16">
        <f t="shared" si="0"/>
        <v>4905</v>
      </c>
    </row>
    <row r="18" ht="60" customHeight="1" spans="1:14">
      <c r="A18" s="4">
        <v>12</v>
      </c>
      <c r="B18" s="4" t="s">
        <v>1803</v>
      </c>
      <c r="C18" s="4" t="s">
        <v>45</v>
      </c>
      <c r="D18" s="8" t="s">
        <v>1804</v>
      </c>
      <c r="E18" s="4" t="s">
        <v>47</v>
      </c>
      <c r="F18" s="4">
        <v>1090</v>
      </c>
      <c r="G18" s="9">
        <v>1520</v>
      </c>
      <c r="H18" s="9">
        <v>400</v>
      </c>
      <c r="I18" s="9">
        <v>200</v>
      </c>
      <c r="J18" s="9">
        <v>1120</v>
      </c>
      <c r="K18" s="9">
        <v>320</v>
      </c>
      <c r="L18" s="9">
        <v>440</v>
      </c>
      <c r="M18" s="9">
        <v>360</v>
      </c>
      <c r="N18" s="16">
        <f t="shared" si="0"/>
        <v>4360</v>
      </c>
    </row>
    <row r="19" ht="25" customHeight="1" spans="1:14">
      <c r="A19" s="11" t="s">
        <v>50</v>
      </c>
      <c r="B19" s="12"/>
      <c r="C19" s="11"/>
      <c r="D19" s="13"/>
      <c r="E19" s="12"/>
      <c r="F19" s="11"/>
      <c r="G19" s="14"/>
      <c r="H19" s="14"/>
      <c r="I19" s="14"/>
      <c r="J19" s="14"/>
      <c r="K19" s="14"/>
      <c r="L19" s="14"/>
      <c r="M19" s="14"/>
      <c r="N19" s="14">
        <f>SUM(N15:N18)</f>
        <v>14228.79</v>
      </c>
    </row>
    <row r="20" ht="45" customHeight="1" spans="1:14">
      <c r="A20" s="4">
        <v>13</v>
      </c>
      <c r="B20" s="4" t="s">
        <v>1805</v>
      </c>
      <c r="C20" s="4" t="s">
        <v>45</v>
      </c>
      <c r="D20" s="8" t="s">
        <v>1012</v>
      </c>
      <c r="E20" s="4" t="s">
        <v>47</v>
      </c>
      <c r="F20" s="4">
        <v>278</v>
      </c>
      <c r="G20" s="9">
        <v>387.67</v>
      </c>
      <c r="H20" s="9">
        <v>102.02</v>
      </c>
      <c r="I20" s="9">
        <v>51.01</v>
      </c>
      <c r="J20" s="9">
        <v>285.65</v>
      </c>
      <c r="K20" s="9">
        <v>81.61</v>
      </c>
      <c r="L20" s="9">
        <v>112.22</v>
      </c>
      <c r="M20" s="9">
        <v>91.82</v>
      </c>
      <c r="N20" s="16">
        <f t="shared" si="0"/>
        <v>1112</v>
      </c>
    </row>
    <row r="21" ht="25" customHeight="1" spans="1:14">
      <c r="A21" s="4">
        <v>14</v>
      </c>
      <c r="B21" s="4" t="s">
        <v>1806</v>
      </c>
      <c r="C21" s="4" t="s">
        <v>64</v>
      </c>
      <c r="D21" s="8"/>
      <c r="E21" s="4" t="s">
        <v>66</v>
      </c>
      <c r="F21" s="4">
        <v>1</v>
      </c>
      <c r="G21" s="9">
        <v>209.17</v>
      </c>
      <c r="H21" s="9">
        <v>55.05</v>
      </c>
      <c r="I21" s="9">
        <v>27.52</v>
      </c>
      <c r="J21" s="9">
        <v>154.13</v>
      </c>
      <c r="K21" s="9">
        <v>44.04</v>
      </c>
      <c r="L21" s="9">
        <v>60.55</v>
      </c>
      <c r="M21" s="9">
        <v>49.54</v>
      </c>
      <c r="N21" s="16">
        <f t="shared" si="0"/>
        <v>600</v>
      </c>
    </row>
    <row r="22" ht="25" customHeight="1" spans="1:14">
      <c r="A22" s="4">
        <v>15</v>
      </c>
      <c r="B22" s="4" t="s">
        <v>1708</v>
      </c>
      <c r="C22" s="4" t="s">
        <v>319</v>
      </c>
      <c r="D22" s="8"/>
      <c r="E22" s="4" t="s">
        <v>66</v>
      </c>
      <c r="F22" s="4">
        <v>1</v>
      </c>
      <c r="G22" s="9">
        <v>550.46</v>
      </c>
      <c r="H22" s="9">
        <v>45.87</v>
      </c>
      <c r="I22" s="9">
        <v>18.35</v>
      </c>
      <c r="J22" s="9">
        <v>137.61</v>
      </c>
      <c r="K22" s="9">
        <v>64.22</v>
      </c>
      <c r="L22" s="9">
        <v>100.92</v>
      </c>
      <c r="M22" s="9">
        <v>82.57</v>
      </c>
      <c r="N22" s="16">
        <f t="shared" si="0"/>
        <v>1000</v>
      </c>
    </row>
    <row r="23" ht="25" customHeight="1" spans="1:14">
      <c r="A23" s="11" t="s">
        <v>50</v>
      </c>
      <c r="B23" s="12"/>
      <c r="C23" s="11"/>
      <c r="D23" s="13"/>
      <c r="E23" s="12"/>
      <c r="F23" s="11"/>
      <c r="G23" s="14"/>
      <c r="H23" s="14"/>
      <c r="I23" s="14"/>
      <c r="J23" s="14"/>
      <c r="K23" s="14"/>
      <c r="L23" s="14"/>
      <c r="M23" s="14"/>
      <c r="N23" s="14">
        <f>SUM(N20:N22)</f>
        <v>2712</v>
      </c>
    </row>
    <row r="24" ht="25" customHeight="1" spans="1:14">
      <c r="A24" s="4" t="s">
        <v>188</v>
      </c>
      <c r="B24" s="4"/>
      <c r="C24" s="4"/>
      <c r="D24" s="8"/>
      <c r="E24" s="4"/>
      <c r="F24" s="4"/>
      <c r="G24" s="9"/>
      <c r="H24" s="9"/>
      <c r="I24" s="9"/>
      <c r="J24" s="9"/>
      <c r="K24" s="9"/>
      <c r="L24" s="9"/>
      <c r="M24" s="9"/>
      <c r="N24" s="16">
        <f>N10+N14+N19+N23</f>
        <v>133556.53</v>
      </c>
    </row>
  </sheetData>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51"/>
  <sheetViews>
    <sheetView zoomScale="70" zoomScaleNormal="70" workbookViewId="0">
      <selection activeCell="O56" sqref="O56"/>
    </sheetView>
  </sheetViews>
  <sheetFormatPr defaultColWidth="8" defaultRowHeight="13.85"/>
  <cols>
    <col min="1" max="1" width="6" customWidth="1"/>
    <col min="2" max="2" width="14" customWidth="1"/>
    <col min="3" max="3" width="16" customWidth="1"/>
    <col min="4" max="4" width="40" customWidth="1"/>
    <col min="5" max="5" width="8" customWidth="1"/>
    <col min="6" max="6" width="10" customWidth="1"/>
    <col min="7" max="7" width="12" customWidth="1"/>
    <col min="8" max="13" width="10" customWidth="1"/>
    <col min="14" max="14" width="10.5929203539823" style="1"/>
    <col min="15" max="15" width="12.6283185840708"/>
  </cols>
  <sheetData>
    <row r="1" customFormat="1" ht="30" customHeight="1" spans="1:14">
      <c r="A1" s="2" t="s">
        <v>27</v>
      </c>
      <c r="B1" s="2"/>
      <c r="C1" s="2"/>
      <c r="D1" s="2"/>
      <c r="E1" s="2"/>
      <c r="F1" s="2"/>
      <c r="G1" s="2"/>
      <c r="H1" s="2"/>
      <c r="I1" s="2"/>
      <c r="J1" s="2"/>
      <c r="K1" s="2"/>
      <c r="L1" s="2"/>
      <c r="M1" s="2"/>
      <c r="N1" s="3"/>
    </row>
    <row r="2" customFormat="1" ht="25" customHeight="1" spans="1:14">
      <c r="A2" s="4" t="s">
        <v>27</v>
      </c>
      <c r="B2" s="4"/>
      <c r="C2" s="4"/>
      <c r="D2" s="4"/>
      <c r="E2" s="4"/>
      <c r="F2" s="4"/>
      <c r="G2" s="4"/>
      <c r="H2" s="4"/>
      <c r="I2" s="4"/>
      <c r="J2" s="4"/>
      <c r="K2" s="4"/>
      <c r="L2" s="4"/>
      <c r="M2" s="4"/>
      <c r="N2" s="5"/>
    </row>
    <row r="3" customFormat="1" ht="25" customHeight="1" spans="1:14">
      <c r="A3" s="6" t="s">
        <v>1</v>
      </c>
      <c r="B3" s="6" t="s">
        <v>31</v>
      </c>
      <c r="C3" s="6" t="s">
        <v>32</v>
      </c>
      <c r="D3" s="6" t="s">
        <v>33</v>
      </c>
      <c r="E3" s="6" t="s">
        <v>34</v>
      </c>
      <c r="F3" s="6" t="s">
        <v>35</v>
      </c>
      <c r="G3" s="6" t="s">
        <v>3</v>
      </c>
      <c r="H3" s="6"/>
      <c r="I3" s="6"/>
      <c r="J3" s="6"/>
      <c r="K3" s="6"/>
      <c r="L3" s="6"/>
      <c r="M3" s="6"/>
      <c r="N3" s="5"/>
    </row>
    <row r="4" customFormat="1" ht="25" customHeight="1" spans="1:14">
      <c r="A4" s="7"/>
      <c r="B4" s="7"/>
      <c r="C4" s="7"/>
      <c r="D4" s="7"/>
      <c r="E4" s="7"/>
      <c r="F4" s="7"/>
      <c r="G4" s="6" t="s">
        <v>36</v>
      </c>
      <c r="H4" s="6" t="s">
        <v>37</v>
      </c>
      <c r="I4" s="6" t="s">
        <v>38</v>
      </c>
      <c r="J4" s="6" t="s">
        <v>39</v>
      </c>
      <c r="K4" s="6" t="s">
        <v>40</v>
      </c>
      <c r="L4" s="6" t="s">
        <v>41</v>
      </c>
      <c r="M4" s="6" t="s">
        <v>42</v>
      </c>
      <c r="N4" s="6" t="s">
        <v>43</v>
      </c>
    </row>
    <row r="5" customFormat="1" ht="45" customHeight="1" spans="1:14">
      <c r="A5" s="4">
        <v>1</v>
      </c>
      <c r="B5" s="4" t="s">
        <v>1807</v>
      </c>
      <c r="C5" s="4" t="s">
        <v>1808</v>
      </c>
      <c r="D5" s="8" t="s">
        <v>1809</v>
      </c>
      <c r="E5" s="4" t="s">
        <v>55</v>
      </c>
      <c r="F5" s="4">
        <v>9</v>
      </c>
      <c r="G5" s="9">
        <v>11295.41</v>
      </c>
      <c r="H5" s="9">
        <v>2972.48</v>
      </c>
      <c r="I5" s="9">
        <v>1486.24</v>
      </c>
      <c r="J5" s="9">
        <v>8322.94</v>
      </c>
      <c r="K5" s="9">
        <v>2377.98</v>
      </c>
      <c r="L5" s="9">
        <v>3269.72</v>
      </c>
      <c r="M5" s="9">
        <v>2675.23</v>
      </c>
      <c r="N5" s="10">
        <f t="shared" ref="N5:N68" si="0">SUM(G5:M5)</f>
        <v>32400</v>
      </c>
    </row>
    <row r="6" customFormat="1" ht="45" customHeight="1" spans="1:14">
      <c r="A6" s="4">
        <v>2</v>
      </c>
      <c r="B6" s="4" t="s">
        <v>1810</v>
      </c>
      <c r="C6" s="4" t="s">
        <v>1811</v>
      </c>
      <c r="D6" s="8" t="s">
        <v>1812</v>
      </c>
      <c r="E6" s="4" t="s">
        <v>248</v>
      </c>
      <c r="F6" s="4">
        <v>6</v>
      </c>
      <c r="G6" s="9">
        <v>2510.09</v>
      </c>
      <c r="H6" s="9">
        <v>660.55</v>
      </c>
      <c r="I6" s="9">
        <v>330.28</v>
      </c>
      <c r="J6" s="9">
        <v>1849.54</v>
      </c>
      <c r="K6" s="9">
        <v>528.44</v>
      </c>
      <c r="L6" s="9">
        <v>726.61</v>
      </c>
      <c r="M6" s="9">
        <v>594.5</v>
      </c>
      <c r="N6" s="10">
        <f t="shared" si="0"/>
        <v>7200.01</v>
      </c>
    </row>
    <row r="7" customFormat="1" ht="45" customHeight="1" spans="1:14">
      <c r="A7" s="4">
        <v>3</v>
      </c>
      <c r="B7" s="4" t="s">
        <v>1813</v>
      </c>
      <c r="C7" s="4" t="s">
        <v>379</v>
      </c>
      <c r="D7" s="8" t="s">
        <v>1814</v>
      </c>
      <c r="E7" s="4" t="s">
        <v>55</v>
      </c>
      <c r="F7" s="4">
        <v>3</v>
      </c>
      <c r="G7" s="9">
        <v>6011.01</v>
      </c>
      <c r="H7" s="9">
        <v>231.19</v>
      </c>
      <c r="I7" s="9">
        <v>77.06</v>
      </c>
      <c r="J7" s="9">
        <v>308.26</v>
      </c>
      <c r="K7" s="9">
        <v>231.19</v>
      </c>
      <c r="L7" s="9">
        <v>847.71</v>
      </c>
      <c r="M7" s="9">
        <v>693.58</v>
      </c>
      <c r="N7" s="10">
        <f t="shared" si="0"/>
        <v>8400</v>
      </c>
    </row>
    <row r="8" customFormat="1" ht="45" customHeight="1" spans="1:14">
      <c r="A8" s="4">
        <v>4</v>
      </c>
      <c r="B8" s="4" t="s">
        <v>1815</v>
      </c>
      <c r="C8" s="4" t="s">
        <v>1816</v>
      </c>
      <c r="D8" s="8" t="s">
        <v>1817</v>
      </c>
      <c r="E8" s="4" t="s">
        <v>55</v>
      </c>
      <c r="F8" s="4">
        <v>1</v>
      </c>
      <c r="G8" s="9">
        <v>627.52</v>
      </c>
      <c r="H8" s="9">
        <v>165.14</v>
      </c>
      <c r="I8" s="9">
        <v>82.57</v>
      </c>
      <c r="J8" s="9">
        <v>462.39</v>
      </c>
      <c r="K8" s="9">
        <v>132.11</v>
      </c>
      <c r="L8" s="9">
        <v>181.65</v>
      </c>
      <c r="M8" s="9">
        <v>148.62</v>
      </c>
      <c r="N8" s="10">
        <f t="shared" si="0"/>
        <v>1800</v>
      </c>
    </row>
    <row r="9" customFormat="1" ht="25" customHeight="1" spans="1:14">
      <c r="A9" s="11" t="s">
        <v>50</v>
      </c>
      <c r="B9" s="12"/>
      <c r="C9" s="11"/>
      <c r="D9" s="13"/>
      <c r="E9" s="12"/>
      <c r="F9" s="11"/>
      <c r="G9" s="14"/>
      <c r="H9" s="14"/>
      <c r="I9" s="14"/>
      <c r="J9" s="14"/>
      <c r="K9" s="14"/>
      <c r="L9" s="14"/>
      <c r="M9" s="14"/>
      <c r="N9" s="14">
        <f>SUM(N5:N8)</f>
        <v>49800.01</v>
      </c>
    </row>
    <row r="10" customFormat="1" ht="45" customHeight="1" spans="1:14">
      <c r="A10" s="4">
        <v>5</v>
      </c>
      <c r="B10" s="4" t="s">
        <v>1818</v>
      </c>
      <c r="C10" s="4" t="s">
        <v>1819</v>
      </c>
      <c r="D10" s="8" t="s">
        <v>1820</v>
      </c>
      <c r="E10" s="4" t="s">
        <v>1821</v>
      </c>
      <c r="F10" s="4">
        <v>12</v>
      </c>
      <c r="G10" s="9">
        <v>5284.4</v>
      </c>
      <c r="H10" s="9">
        <v>440.37</v>
      </c>
      <c r="I10" s="9">
        <v>176.15</v>
      </c>
      <c r="J10" s="9">
        <v>1321.1</v>
      </c>
      <c r="K10" s="9">
        <v>616.51</v>
      </c>
      <c r="L10" s="9">
        <v>968.81</v>
      </c>
      <c r="M10" s="9">
        <v>792.66</v>
      </c>
      <c r="N10" s="15">
        <f t="shared" si="0"/>
        <v>9600</v>
      </c>
    </row>
    <row r="11" customFormat="1" ht="45" customHeight="1" spans="1:14">
      <c r="A11" s="4">
        <v>6</v>
      </c>
      <c r="B11" s="4" t="s">
        <v>1822</v>
      </c>
      <c r="C11" s="4" t="s">
        <v>1823</v>
      </c>
      <c r="D11" s="8" t="s">
        <v>1824</v>
      </c>
      <c r="E11" s="4" t="s">
        <v>47</v>
      </c>
      <c r="F11" s="4">
        <v>20</v>
      </c>
      <c r="G11" s="9">
        <v>313.76</v>
      </c>
      <c r="H11" s="9">
        <v>82.57</v>
      </c>
      <c r="I11" s="9">
        <v>41.28</v>
      </c>
      <c r="J11" s="9">
        <v>231.19</v>
      </c>
      <c r="K11" s="9">
        <v>66.06</v>
      </c>
      <c r="L11" s="9">
        <v>90.83</v>
      </c>
      <c r="M11" s="9">
        <v>74.31</v>
      </c>
      <c r="N11" s="15">
        <f t="shared" si="0"/>
        <v>900</v>
      </c>
    </row>
    <row r="12" customFormat="1" ht="45" customHeight="1" spans="1:14">
      <c r="A12" s="4">
        <v>7</v>
      </c>
      <c r="B12" s="4" t="s">
        <v>1825</v>
      </c>
      <c r="C12" s="4" t="s">
        <v>1823</v>
      </c>
      <c r="D12" s="8" t="s">
        <v>1826</v>
      </c>
      <c r="E12" s="4" t="s">
        <v>47</v>
      </c>
      <c r="F12" s="4">
        <v>10</v>
      </c>
      <c r="G12" s="9">
        <v>156.88</v>
      </c>
      <c r="H12" s="9">
        <v>41.28</v>
      </c>
      <c r="I12" s="9">
        <v>20.64</v>
      </c>
      <c r="J12" s="9">
        <v>115.6</v>
      </c>
      <c r="K12" s="9">
        <v>33.03</v>
      </c>
      <c r="L12" s="9">
        <v>45.41</v>
      </c>
      <c r="M12" s="9">
        <v>37.16</v>
      </c>
      <c r="N12" s="15">
        <f t="shared" si="0"/>
        <v>450</v>
      </c>
    </row>
    <row r="13" customFormat="1" ht="45" customHeight="1" spans="1:14">
      <c r="A13" s="4">
        <v>8</v>
      </c>
      <c r="B13" s="4" t="s">
        <v>1827</v>
      </c>
      <c r="C13" s="4" t="s">
        <v>1823</v>
      </c>
      <c r="D13" s="8" t="s">
        <v>1828</v>
      </c>
      <c r="E13" s="4" t="s">
        <v>47</v>
      </c>
      <c r="F13" s="4">
        <v>30.82</v>
      </c>
      <c r="G13" s="9">
        <v>698.4</v>
      </c>
      <c r="H13" s="9">
        <v>183.79</v>
      </c>
      <c r="I13" s="9">
        <v>91.89</v>
      </c>
      <c r="J13" s="9">
        <v>514.61</v>
      </c>
      <c r="K13" s="9">
        <v>147.03</v>
      </c>
      <c r="L13" s="9">
        <v>202.17</v>
      </c>
      <c r="M13" s="9">
        <v>165.41</v>
      </c>
      <c r="N13" s="15">
        <f t="shared" si="0"/>
        <v>2003.3</v>
      </c>
    </row>
    <row r="14" customFormat="1" ht="25" customHeight="1" spans="1:14">
      <c r="A14" s="11" t="s">
        <v>50</v>
      </c>
      <c r="B14" s="12"/>
      <c r="C14" s="11"/>
      <c r="D14" s="13"/>
      <c r="E14" s="12"/>
      <c r="F14" s="11"/>
      <c r="G14" s="14"/>
      <c r="H14" s="14"/>
      <c r="I14" s="14"/>
      <c r="J14" s="14"/>
      <c r="K14" s="14"/>
      <c r="L14" s="14"/>
      <c r="M14" s="14"/>
      <c r="N14" s="14">
        <f>SUM(N10:N13)</f>
        <v>12953.3</v>
      </c>
    </row>
    <row r="15" customFormat="1" ht="60" customHeight="1" spans="1:14">
      <c r="A15" s="4">
        <v>9</v>
      </c>
      <c r="B15" s="4" t="s">
        <v>1829</v>
      </c>
      <c r="C15" s="4" t="s">
        <v>1830</v>
      </c>
      <c r="D15" s="8" t="s">
        <v>1831</v>
      </c>
      <c r="E15" s="4" t="s">
        <v>55</v>
      </c>
      <c r="F15" s="4">
        <v>1</v>
      </c>
      <c r="G15" s="9">
        <v>34348.62</v>
      </c>
      <c r="H15" s="9">
        <v>1321.1</v>
      </c>
      <c r="I15" s="9">
        <v>440.37</v>
      </c>
      <c r="J15" s="9">
        <v>1761.47</v>
      </c>
      <c r="K15" s="9">
        <v>1321.1</v>
      </c>
      <c r="L15" s="9">
        <v>4844.04</v>
      </c>
      <c r="M15" s="9">
        <v>3963.3</v>
      </c>
      <c r="N15" s="15">
        <f t="shared" si="0"/>
        <v>48000</v>
      </c>
    </row>
    <row r="16" customFormat="1" ht="45" customHeight="1" spans="1:14">
      <c r="A16" s="4">
        <v>10</v>
      </c>
      <c r="B16" s="4" t="s">
        <v>1832</v>
      </c>
      <c r="C16" s="4" t="s">
        <v>95</v>
      </c>
      <c r="D16" s="8" t="s">
        <v>1833</v>
      </c>
      <c r="E16" s="4" t="s">
        <v>47</v>
      </c>
      <c r="F16" s="4">
        <v>31.83</v>
      </c>
      <c r="G16" s="9">
        <v>49.94</v>
      </c>
      <c r="H16" s="9">
        <v>13.14</v>
      </c>
      <c r="I16" s="9">
        <v>6.57</v>
      </c>
      <c r="J16" s="9">
        <v>36.79</v>
      </c>
      <c r="K16" s="9">
        <v>10.51</v>
      </c>
      <c r="L16" s="9">
        <v>14.45</v>
      </c>
      <c r="M16" s="9">
        <v>11.83</v>
      </c>
      <c r="N16" s="15">
        <f t="shared" si="0"/>
        <v>143.23</v>
      </c>
    </row>
    <row r="17" customFormat="1" ht="45" customHeight="1" spans="1:14">
      <c r="A17" s="4">
        <v>11</v>
      </c>
      <c r="B17" s="4" t="s">
        <v>1834</v>
      </c>
      <c r="C17" s="4" t="s">
        <v>45</v>
      </c>
      <c r="D17" s="8" t="s">
        <v>1835</v>
      </c>
      <c r="E17" s="4" t="s">
        <v>47</v>
      </c>
      <c r="F17" s="4">
        <v>31.89</v>
      </c>
      <c r="G17" s="9">
        <v>50.03</v>
      </c>
      <c r="H17" s="9">
        <v>13.17</v>
      </c>
      <c r="I17" s="9">
        <v>6.58</v>
      </c>
      <c r="J17" s="9">
        <v>36.86</v>
      </c>
      <c r="K17" s="9">
        <v>10.53</v>
      </c>
      <c r="L17" s="9">
        <v>14.48</v>
      </c>
      <c r="M17" s="9">
        <v>11.85</v>
      </c>
      <c r="N17" s="15">
        <f t="shared" si="0"/>
        <v>143.5</v>
      </c>
    </row>
    <row r="18" customFormat="1" ht="45" customHeight="1" spans="1:14">
      <c r="A18" s="4">
        <v>12</v>
      </c>
      <c r="B18" s="4" t="s">
        <v>1836</v>
      </c>
      <c r="C18" s="4" t="s">
        <v>413</v>
      </c>
      <c r="D18" s="8" t="s">
        <v>1773</v>
      </c>
      <c r="E18" s="4" t="s">
        <v>105</v>
      </c>
      <c r="F18" s="4">
        <v>8</v>
      </c>
      <c r="G18" s="9">
        <v>36.26</v>
      </c>
      <c r="H18" s="9">
        <v>9.54</v>
      </c>
      <c r="I18" s="9">
        <v>4.77</v>
      </c>
      <c r="J18" s="9">
        <v>26.72</v>
      </c>
      <c r="K18" s="9">
        <v>7.63</v>
      </c>
      <c r="L18" s="9">
        <v>10.5</v>
      </c>
      <c r="M18" s="9">
        <v>8.59</v>
      </c>
      <c r="N18" s="15">
        <f t="shared" si="0"/>
        <v>104.01</v>
      </c>
    </row>
    <row r="19" customFormat="1" ht="25" customHeight="1" spans="1:14">
      <c r="A19" s="11" t="s">
        <v>50</v>
      </c>
      <c r="B19" s="12"/>
      <c r="C19" s="11"/>
      <c r="D19" s="13"/>
      <c r="E19" s="12"/>
      <c r="F19" s="11"/>
      <c r="G19" s="14"/>
      <c r="H19" s="14"/>
      <c r="I19" s="14"/>
      <c r="J19" s="14"/>
      <c r="K19" s="14"/>
      <c r="L19" s="14"/>
      <c r="M19" s="14"/>
      <c r="N19" s="14">
        <f>SUM(N15:N18)</f>
        <v>48390.74</v>
      </c>
    </row>
    <row r="20" customFormat="1" ht="45" customHeight="1" spans="1:14">
      <c r="A20" s="4">
        <v>13</v>
      </c>
      <c r="B20" s="4" t="s">
        <v>1837</v>
      </c>
      <c r="C20" s="4" t="s">
        <v>1838</v>
      </c>
      <c r="D20" s="8" t="s">
        <v>1839</v>
      </c>
      <c r="E20" s="4" t="s">
        <v>55</v>
      </c>
      <c r="F20" s="4">
        <v>1</v>
      </c>
      <c r="G20" s="9">
        <v>6297.25</v>
      </c>
      <c r="H20" s="9">
        <v>242.2</v>
      </c>
      <c r="I20" s="9">
        <v>80.73</v>
      </c>
      <c r="J20" s="9">
        <v>322.94</v>
      </c>
      <c r="K20" s="9">
        <v>242.2</v>
      </c>
      <c r="L20" s="9">
        <v>888.07</v>
      </c>
      <c r="M20" s="9">
        <v>726.61</v>
      </c>
      <c r="N20" s="15">
        <f t="shared" si="0"/>
        <v>8800</v>
      </c>
    </row>
    <row r="21" customFormat="1" ht="45" customHeight="1" spans="1:14">
      <c r="A21" s="4">
        <v>14</v>
      </c>
      <c r="B21" s="4" t="s">
        <v>1840</v>
      </c>
      <c r="C21" s="4" t="s">
        <v>1841</v>
      </c>
      <c r="D21" s="8" t="s">
        <v>1842</v>
      </c>
      <c r="E21" s="4" t="s">
        <v>854</v>
      </c>
      <c r="F21" s="4">
        <v>2</v>
      </c>
      <c r="G21" s="9">
        <v>616.51</v>
      </c>
      <c r="H21" s="9">
        <v>51.38</v>
      </c>
      <c r="I21" s="9">
        <v>20.55</v>
      </c>
      <c r="J21" s="9">
        <v>154.13</v>
      </c>
      <c r="K21" s="9">
        <v>71.93</v>
      </c>
      <c r="L21" s="9">
        <v>113.03</v>
      </c>
      <c r="M21" s="9">
        <v>92.48</v>
      </c>
      <c r="N21" s="15">
        <f t="shared" si="0"/>
        <v>1120.01</v>
      </c>
    </row>
    <row r="22" customFormat="1" ht="45" customHeight="1" spans="1:14">
      <c r="A22" s="4">
        <v>15</v>
      </c>
      <c r="B22" s="4" t="s">
        <v>1843</v>
      </c>
      <c r="C22" s="4" t="s">
        <v>1844</v>
      </c>
      <c r="D22" s="8" t="s">
        <v>1845</v>
      </c>
      <c r="E22" s="4" t="s">
        <v>854</v>
      </c>
      <c r="F22" s="4">
        <v>2</v>
      </c>
      <c r="G22" s="9">
        <v>3082.57</v>
      </c>
      <c r="H22" s="9">
        <v>256.88</v>
      </c>
      <c r="I22" s="9">
        <v>102.75</v>
      </c>
      <c r="J22" s="9">
        <v>770.64</v>
      </c>
      <c r="K22" s="9">
        <v>359.63</v>
      </c>
      <c r="L22" s="9">
        <v>565.14</v>
      </c>
      <c r="M22" s="9">
        <v>462.39</v>
      </c>
      <c r="N22" s="15">
        <f t="shared" si="0"/>
        <v>5600</v>
      </c>
    </row>
    <row r="23" customFormat="1" ht="45" customHeight="1" spans="1:14">
      <c r="A23" s="4">
        <v>16</v>
      </c>
      <c r="B23" s="4" t="s">
        <v>1846</v>
      </c>
      <c r="C23" s="4" t="s">
        <v>1847</v>
      </c>
      <c r="D23" s="8" t="s">
        <v>1848</v>
      </c>
      <c r="E23" s="4" t="s">
        <v>55</v>
      </c>
      <c r="F23" s="4">
        <v>1</v>
      </c>
      <c r="G23" s="9">
        <v>418.35</v>
      </c>
      <c r="H23" s="9">
        <v>110.09</v>
      </c>
      <c r="I23" s="9">
        <v>55.05</v>
      </c>
      <c r="J23" s="9">
        <v>308.26</v>
      </c>
      <c r="K23" s="9">
        <v>88.07</v>
      </c>
      <c r="L23" s="9">
        <v>121.1</v>
      </c>
      <c r="M23" s="9">
        <v>99.08</v>
      </c>
      <c r="N23" s="15">
        <f t="shared" si="0"/>
        <v>1200</v>
      </c>
    </row>
    <row r="24" customFormat="1" ht="45" customHeight="1" spans="1:14">
      <c r="A24" s="4">
        <v>17</v>
      </c>
      <c r="B24" s="4" t="s">
        <v>1849</v>
      </c>
      <c r="C24" s="4" t="s">
        <v>1850</v>
      </c>
      <c r="D24" s="8" t="s">
        <v>1851</v>
      </c>
      <c r="E24" s="4" t="s">
        <v>55</v>
      </c>
      <c r="F24" s="4">
        <v>1</v>
      </c>
      <c r="G24" s="9">
        <v>1220.18</v>
      </c>
      <c r="H24" s="9">
        <v>321.1</v>
      </c>
      <c r="I24" s="9">
        <v>160.55</v>
      </c>
      <c r="J24" s="9">
        <v>899.08</v>
      </c>
      <c r="K24" s="9">
        <v>256.88</v>
      </c>
      <c r="L24" s="9">
        <v>353.21</v>
      </c>
      <c r="M24" s="9">
        <v>288.99</v>
      </c>
      <c r="N24" s="15">
        <f t="shared" si="0"/>
        <v>3499.99</v>
      </c>
    </row>
    <row r="25" customFormat="1" ht="25" customHeight="1" spans="1:14">
      <c r="A25" s="11" t="s">
        <v>50</v>
      </c>
      <c r="B25" s="12"/>
      <c r="C25" s="11"/>
      <c r="D25" s="13"/>
      <c r="E25" s="12"/>
      <c r="F25" s="11"/>
      <c r="G25" s="14"/>
      <c r="H25" s="14"/>
      <c r="I25" s="14"/>
      <c r="J25" s="14"/>
      <c r="K25" s="14"/>
      <c r="L25" s="14"/>
      <c r="M25" s="14"/>
      <c r="N25" s="14">
        <f>SUM(N20:N24)</f>
        <v>20220</v>
      </c>
    </row>
    <row r="26" customFormat="1" ht="45" customHeight="1" spans="1:14">
      <c r="A26" s="4">
        <v>18</v>
      </c>
      <c r="B26" s="4" t="s">
        <v>1852</v>
      </c>
      <c r="C26" s="4" t="s">
        <v>1853</v>
      </c>
      <c r="D26" s="8" t="s">
        <v>1854</v>
      </c>
      <c r="E26" s="4" t="s">
        <v>47</v>
      </c>
      <c r="F26" s="4">
        <v>106.8</v>
      </c>
      <c r="G26" s="9">
        <v>1352.15</v>
      </c>
      <c r="H26" s="9">
        <v>112.68</v>
      </c>
      <c r="I26" s="9">
        <v>45.07</v>
      </c>
      <c r="J26" s="9">
        <v>338.04</v>
      </c>
      <c r="K26" s="9">
        <v>157.75</v>
      </c>
      <c r="L26" s="9">
        <v>247.89</v>
      </c>
      <c r="M26" s="9">
        <v>202.82</v>
      </c>
      <c r="N26" s="15">
        <f t="shared" si="0"/>
        <v>2456.4</v>
      </c>
    </row>
    <row r="27" customFormat="1" ht="45" customHeight="1" spans="1:14">
      <c r="A27" s="4">
        <v>19</v>
      </c>
      <c r="B27" s="4" t="s">
        <v>1855</v>
      </c>
      <c r="C27" s="4" t="s">
        <v>1853</v>
      </c>
      <c r="D27" s="8" t="s">
        <v>1856</v>
      </c>
      <c r="E27" s="4" t="s">
        <v>47</v>
      </c>
      <c r="F27" s="4">
        <v>24.12</v>
      </c>
      <c r="G27" s="9">
        <v>238.99</v>
      </c>
      <c r="H27" s="9">
        <v>19.92</v>
      </c>
      <c r="I27" s="9">
        <v>7.97</v>
      </c>
      <c r="J27" s="9">
        <v>59.75</v>
      </c>
      <c r="K27" s="9">
        <v>27.88</v>
      </c>
      <c r="L27" s="9">
        <v>43.81</v>
      </c>
      <c r="M27" s="9">
        <v>35.85</v>
      </c>
      <c r="N27" s="15">
        <f t="shared" si="0"/>
        <v>434.17</v>
      </c>
    </row>
    <row r="28" customFormat="1" ht="45" customHeight="1" spans="1:14">
      <c r="A28" s="4">
        <v>20</v>
      </c>
      <c r="B28" s="4" t="s">
        <v>1857</v>
      </c>
      <c r="C28" s="4" t="s">
        <v>1853</v>
      </c>
      <c r="D28" s="8" t="s">
        <v>1858</v>
      </c>
      <c r="E28" s="4" t="s">
        <v>47</v>
      </c>
      <c r="F28" s="4">
        <v>24.12</v>
      </c>
      <c r="G28" s="9">
        <v>5974.68</v>
      </c>
      <c r="H28" s="9">
        <v>497.89</v>
      </c>
      <c r="I28" s="9">
        <v>199.16</v>
      </c>
      <c r="J28" s="9">
        <v>1493.67</v>
      </c>
      <c r="K28" s="9">
        <v>697.05</v>
      </c>
      <c r="L28" s="9">
        <v>1095.36</v>
      </c>
      <c r="M28" s="9">
        <v>896.2</v>
      </c>
      <c r="N28" s="15">
        <f t="shared" si="0"/>
        <v>10854.01</v>
      </c>
    </row>
    <row r="29" customFormat="1" ht="45" customHeight="1" spans="1:14">
      <c r="A29" s="4">
        <v>21</v>
      </c>
      <c r="B29" s="4" t="s">
        <v>1859</v>
      </c>
      <c r="C29" s="4" t="s">
        <v>1860</v>
      </c>
      <c r="D29" s="8" t="s">
        <v>1861</v>
      </c>
      <c r="E29" s="4" t="s">
        <v>93</v>
      </c>
      <c r="F29" s="4">
        <v>2</v>
      </c>
      <c r="G29" s="9">
        <v>55.05</v>
      </c>
      <c r="H29" s="9">
        <v>4.59</v>
      </c>
      <c r="I29" s="9">
        <v>1.83</v>
      </c>
      <c r="J29" s="9">
        <v>13.76</v>
      </c>
      <c r="K29" s="9">
        <v>6.42</v>
      </c>
      <c r="L29" s="9">
        <v>10.09</v>
      </c>
      <c r="M29" s="9">
        <v>8.26</v>
      </c>
      <c r="N29" s="15">
        <f t="shared" si="0"/>
        <v>100</v>
      </c>
    </row>
    <row r="30" customFormat="1" ht="45" customHeight="1" spans="1:14">
      <c r="A30" s="4">
        <v>22</v>
      </c>
      <c r="B30" s="4" t="s">
        <v>1862</v>
      </c>
      <c r="C30" s="4" t="s">
        <v>1863</v>
      </c>
      <c r="D30" s="8" t="s">
        <v>1864</v>
      </c>
      <c r="E30" s="4" t="s">
        <v>47</v>
      </c>
      <c r="F30" s="4">
        <v>39.92</v>
      </c>
      <c r="G30" s="9">
        <v>1494.25</v>
      </c>
      <c r="H30" s="9">
        <v>124.52</v>
      </c>
      <c r="I30" s="9">
        <v>49.81</v>
      </c>
      <c r="J30" s="9">
        <v>373.56</v>
      </c>
      <c r="K30" s="9">
        <v>174.33</v>
      </c>
      <c r="L30" s="9">
        <v>273.95</v>
      </c>
      <c r="M30" s="9">
        <v>224.14</v>
      </c>
      <c r="N30" s="15">
        <f t="shared" si="0"/>
        <v>2714.56</v>
      </c>
    </row>
    <row r="31" customFormat="1" ht="25" customHeight="1" spans="1:14">
      <c r="A31" s="11" t="s">
        <v>50</v>
      </c>
      <c r="B31" s="12"/>
      <c r="C31" s="11"/>
      <c r="D31" s="13"/>
      <c r="E31" s="12"/>
      <c r="F31" s="11"/>
      <c r="G31" s="14"/>
      <c r="H31" s="14"/>
      <c r="I31" s="14"/>
      <c r="J31" s="14"/>
      <c r="K31" s="14"/>
      <c r="L31" s="14"/>
      <c r="M31" s="14"/>
      <c r="N31" s="14">
        <f>SUM(N26:N30)</f>
        <v>16559.14</v>
      </c>
    </row>
    <row r="32" customFormat="1" ht="45" customHeight="1" spans="1:14">
      <c r="A32" s="4">
        <v>23</v>
      </c>
      <c r="B32" s="4" t="s">
        <v>1865</v>
      </c>
      <c r="C32" s="4" t="s">
        <v>413</v>
      </c>
      <c r="D32" s="8" t="s">
        <v>1866</v>
      </c>
      <c r="E32" s="4" t="s">
        <v>105</v>
      </c>
      <c r="F32" s="4">
        <v>0.03</v>
      </c>
      <c r="G32" s="9">
        <v>0.14</v>
      </c>
      <c r="H32" s="9">
        <v>0.04</v>
      </c>
      <c r="I32" s="9">
        <v>0.02</v>
      </c>
      <c r="J32" s="9">
        <v>0.1</v>
      </c>
      <c r="K32" s="9">
        <v>0.03</v>
      </c>
      <c r="L32" s="9">
        <v>0.04</v>
      </c>
      <c r="M32" s="9">
        <v>0.03</v>
      </c>
      <c r="N32" s="15">
        <f t="shared" si="0"/>
        <v>0.4</v>
      </c>
    </row>
    <row r="33" customFormat="1" ht="45" customHeight="1" spans="1:14">
      <c r="A33" s="4">
        <v>24</v>
      </c>
      <c r="B33" s="4" t="s">
        <v>1867</v>
      </c>
      <c r="C33" s="4" t="s">
        <v>1868</v>
      </c>
      <c r="D33" s="8" t="s">
        <v>1869</v>
      </c>
      <c r="E33" s="4" t="s">
        <v>93</v>
      </c>
      <c r="F33" s="4">
        <v>8</v>
      </c>
      <c r="G33" s="9">
        <v>69.72</v>
      </c>
      <c r="H33" s="9">
        <v>18.35</v>
      </c>
      <c r="I33" s="9">
        <v>9.17</v>
      </c>
      <c r="J33" s="9">
        <v>51.38</v>
      </c>
      <c r="K33" s="9">
        <v>14.68</v>
      </c>
      <c r="L33" s="9">
        <v>20.18</v>
      </c>
      <c r="M33" s="9">
        <v>16.51</v>
      </c>
      <c r="N33" s="15">
        <f t="shared" si="0"/>
        <v>199.99</v>
      </c>
    </row>
    <row r="34" customFormat="1" ht="45" customHeight="1" spans="1:14">
      <c r="A34" s="4">
        <v>25</v>
      </c>
      <c r="B34" s="4" t="s">
        <v>1870</v>
      </c>
      <c r="C34" s="4" t="s">
        <v>91</v>
      </c>
      <c r="D34" s="8" t="s">
        <v>1871</v>
      </c>
      <c r="E34" s="4" t="s">
        <v>93</v>
      </c>
      <c r="F34" s="4">
        <v>8</v>
      </c>
      <c r="G34" s="9">
        <v>83.67</v>
      </c>
      <c r="H34" s="9">
        <v>22.02</v>
      </c>
      <c r="I34" s="9">
        <v>11.01</v>
      </c>
      <c r="J34" s="9">
        <v>61.65</v>
      </c>
      <c r="K34" s="9">
        <v>17.61</v>
      </c>
      <c r="L34" s="9">
        <v>24.22</v>
      </c>
      <c r="M34" s="9">
        <v>19.82</v>
      </c>
      <c r="N34" s="15">
        <f t="shared" si="0"/>
        <v>240</v>
      </c>
    </row>
    <row r="35" customFormat="1" ht="45" customHeight="1" spans="1:14">
      <c r="A35" s="4">
        <v>26</v>
      </c>
      <c r="B35" s="4" t="s">
        <v>1872</v>
      </c>
      <c r="C35" s="4" t="s">
        <v>1873</v>
      </c>
      <c r="D35" s="8" t="s">
        <v>1874</v>
      </c>
      <c r="E35" s="4" t="s">
        <v>1875</v>
      </c>
      <c r="F35" s="4">
        <v>2</v>
      </c>
      <c r="G35" s="9">
        <v>97.98</v>
      </c>
      <c r="H35" s="9">
        <v>8.17</v>
      </c>
      <c r="I35" s="9">
        <v>3.27</v>
      </c>
      <c r="J35" s="9">
        <v>24.5</v>
      </c>
      <c r="K35" s="9">
        <v>11.43</v>
      </c>
      <c r="L35" s="9">
        <v>17.96</v>
      </c>
      <c r="M35" s="9">
        <v>14.7</v>
      </c>
      <c r="N35" s="15">
        <f t="shared" si="0"/>
        <v>178.01</v>
      </c>
    </row>
    <row r="36" customFormat="1" ht="45" customHeight="1" spans="1:14">
      <c r="A36" s="4">
        <v>27</v>
      </c>
      <c r="B36" s="4" t="s">
        <v>1876</v>
      </c>
      <c r="C36" s="4" t="s">
        <v>1877</v>
      </c>
      <c r="D36" s="8" t="s">
        <v>1878</v>
      </c>
      <c r="E36" s="4" t="s">
        <v>1875</v>
      </c>
      <c r="F36" s="4">
        <v>1</v>
      </c>
      <c r="G36" s="9">
        <v>198.17</v>
      </c>
      <c r="H36" s="9">
        <v>16.51</v>
      </c>
      <c r="I36" s="9">
        <v>6.61</v>
      </c>
      <c r="J36" s="9">
        <v>49.54</v>
      </c>
      <c r="K36" s="9">
        <v>23.12</v>
      </c>
      <c r="L36" s="9">
        <v>36.33</v>
      </c>
      <c r="M36" s="9">
        <v>29.72</v>
      </c>
      <c r="N36" s="15">
        <f t="shared" si="0"/>
        <v>360</v>
      </c>
    </row>
    <row r="37" customFormat="1" ht="25" customHeight="1" spans="1:14">
      <c r="A37" s="11" t="s">
        <v>50</v>
      </c>
      <c r="B37" s="12"/>
      <c r="C37" s="11"/>
      <c r="D37" s="13"/>
      <c r="E37" s="12"/>
      <c r="F37" s="11"/>
      <c r="G37" s="14"/>
      <c r="H37" s="14"/>
      <c r="I37" s="14"/>
      <c r="J37" s="14"/>
      <c r="K37" s="14"/>
      <c r="L37" s="14"/>
      <c r="M37" s="14"/>
      <c r="N37" s="14">
        <f>SUM(N32:N36)</f>
        <v>978.4</v>
      </c>
    </row>
    <row r="38" customFormat="1" ht="45" customHeight="1" spans="1:14">
      <c r="A38" s="4">
        <v>28</v>
      </c>
      <c r="B38" s="4" t="s">
        <v>1879</v>
      </c>
      <c r="C38" s="4" t="s">
        <v>379</v>
      </c>
      <c r="D38" s="8" t="s">
        <v>1880</v>
      </c>
      <c r="E38" s="4" t="s">
        <v>55</v>
      </c>
      <c r="F38" s="4">
        <v>7</v>
      </c>
      <c r="G38" s="9">
        <v>14025.69</v>
      </c>
      <c r="H38" s="9">
        <v>539.45</v>
      </c>
      <c r="I38" s="9">
        <v>179.82</v>
      </c>
      <c r="J38" s="9">
        <v>719.27</v>
      </c>
      <c r="K38" s="9">
        <v>539.45</v>
      </c>
      <c r="L38" s="9">
        <v>1977.98</v>
      </c>
      <c r="M38" s="9">
        <v>1618.35</v>
      </c>
      <c r="N38" s="15">
        <f t="shared" si="0"/>
        <v>19600.01</v>
      </c>
    </row>
    <row r="39" customFormat="1" ht="45" customHeight="1" spans="1:14">
      <c r="A39" s="4">
        <v>29</v>
      </c>
      <c r="B39" s="4" t="s">
        <v>1881</v>
      </c>
      <c r="C39" s="4" t="s">
        <v>1816</v>
      </c>
      <c r="D39" s="8" t="s">
        <v>1817</v>
      </c>
      <c r="E39" s="4" t="s">
        <v>55</v>
      </c>
      <c r="F39" s="4">
        <v>1</v>
      </c>
      <c r="G39" s="9">
        <v>1220.18</v>
      </c>
      <c r="H39" s="9">
        <v>321.1</v>
      </c>
      <c r="I39" s="9">
        <v>160.55</v>
      </c>
      <c r="J39" s="9">
        <v>899.08</v>
      </c>
      <c r="K39" s="9">
        <v>256.88</v>
      </c>
      <c r="L39" s="9">
        <v>353.21</v>
      </c>
      <c r="M39" s="9">
        <v>288.99</v>
      </c>
      <c r="N39" s="15">
        <f t="shared" si="0"/>
        <v>3499.99</v>
      </c>
    </row>
    <row r="40" customFormat="1" ht="45" customHeight="1" spans="1:14">
      <c r="A40" s="4">
        <v>30</v>
      </c>
      <c r="B40" s="4" t="s">
        <v>1882</v>
      </c>
      <c r="C40" s="4" t="s">
        <v>1819</v>
      </c>
      <c r="D40" s="8" t="s">
        <v>1820</v>
      </c>
      <c r="E40" s="4" t="s">
        <v>1821</v>
      </c>
      <c r="F40" s="4">
        <v>12</v>
      </c>
      <c r="G40" s="9">
        <v>10568.81</v>
      </c>
      <c r="H40" s="9">
        <v>880.73</v>
      </c>
      <c r="I40" s="9">
        <v>352.29</v>
      </c>
      <c r="J40" s="9">
        <v>2642.2</v>
      </c>
      <c r="K40" s="9">
        <v>1233.03</v>
      </c>
      <c r="L40" s="9">
        <v>1937.61</v>
      </c>
      <c r="M40" s="9">
        <v>1585.32</v>
      </c>
      <c r="N40" s="15">
        <f t="shared" si="0"/>
        <v>19199.99</v>
      </c>
    </row>
    <row r="41" customFormat="1" ht="45" customHeight="1" spans="1:14">
      <c r="A41" s="4">
        <v>31</v>
      </c>
      <c r="B41" s="4" t="s">
        <v>1883</v>
      </c>
      <c r="C41" s="4" t="s">
        <v>1823</v>
      </c>
      <c r="D41" s="8" t="s">
        <v>1824</v>
      </c>
      <c r="E41" s="4" t="s">
        <v>47</v>
      </c>
      <c r="F41" s="4">
        <v>20</v>
      </c>
      <c r="G41" s="9">
        <v>59.27</v>
      </c>
      <c r="H41" s="9">
        <v>15.6</v>
      </c>
      <c r="I41" s="9">
        <v>7.8</v>
      </c>
      <c r="J41" s="9">
        <v>43.67</v>
      </c>
      <c r="K41" s="9">
        <v>12.48</v>
      </c>
      <c r="L41" s="9">
        <v>17.16</v>
      </c>
      <c r="M41" s="9">
        <v>14.04</v>
      </c>
      <c r="N41" s="15">
        <f t="shared" si="0"/>
        <v>170.02</v>
      </c>
    </row>
    <row r="42" customFormat="1" ht="45" customHeight="1" spans="1:14">
      <c r="A42" s="4">
        <v>32</v>
      </c>
      <c r="B42" s="4" t="s">
        <v>1884</v>
      </c>
      <c r="C42" s="4" t="s">
        <v>1823</v>
      </c>
      <c r="D42" s="8" t="s">
        <v>1826</v>
      </c>
      <c r="E42" s="4" t="s">
        <v>47</v>
      </c>
      <c r="F42" s="4">
        <v>10</v>
      </c>
      <c r="G42" s="9">
        <v>348.62</v>
      </c>
      <c r="H42" s="9">
        <v>91.74</v>
      </c>
      <c r="I42" s="9">
        <v>45.87</v>
      </c>
      <c r="J42" s="9">
        <v>256.88</v>
      </c>
      <c r="K42" s="9">
        <v>73.39</v>
      </c>
      <c r="L42" s="9">
        <v>100.92</v>
      </c>
      <c r="M42" s="9">
        <v>82.57</v>
      </c>
      <c r="N42" s="15">
        <f t="shared" si="0"/>
        <v>999.99</v>
      </c>
    </row>
    <row r="43" customFormat="1" ht="25" customHeight="1" spans="1:14">
      <c r="A43" s="11" t="s">
        <v>50</v>
      </c>
      <c r="B43" s="12"/>
      <c r="C43" s="11"/>
      <c r="D43" s="13"/>
      <c r="E43" s="12"/>
      <c r="F43" s="11"/>
      <c r="G43" s="14"/>
      <c r="H43" s="14"/>
      <c r="I43" s="14"/>
      <c r="J43" s="14"/>
      <c r="K43" s="14"/>
      <c r="L43" s="14"/>
      <c r="M43" s="14"/>
      <c r="N43" s="14">
        <f>SUM(N38:N42)</f>
        <v>43470</v>
      </c>
    </row>
    <row r="44" customFormat="1" ht="45" customHeight="1" spans="1:14">
      <c r="A44" s="4">
        <v>33</v>
      </c>
      <c r="B44" s="4" t="s">
        <v>1885</v>
      </c>
      <c r="C44" s="4" t="s">
        <v>1823</v>
      </c>
      <c r="D44" s="8" t="s">
        <v>1828</v>
      </c>
      <c r="E44" s="4" t="s">
        <v>47</v>
      </c>
      <c r="F44" s="4">
        <v>20.49</v>
      </c>
      <c r="G44" s="9">
        <v>464.31</v>
      </c>
      <c r="H44" s="9">
        <v>122.19</v>
      </c>
      <c r="I44" s="9">
        <v>61.09</v>
      </c>
      <c r="J44" s="9">
        <v>342.13</v>
      </c>
      <c r="K44" s="9">
        <v>97.75</v>
      </c>
      <c r="L44" s="9">
        <v>134.41</v>
      </c>
      <c r="M44" s="9">
        <v>109.97</v>
      </c>
      <c r="N44" s="15">
        <f t="shared" si="0"/>
        <v>1331.85</v>
      </c>
    </row>
    <row r="45" customFormat="1" ht="60" customHeight="1" spans="1:14">
      <c r="A45" s="4">
        <v>34</v>
      </c>
      <c r="B45" s="4" t="s">
        <v>1886</v>
      </c>
      <c r="C45" s="4" t="s">
        <v>1830</v>
      </c>
      <c r="D45" s="8" t="s">
        <v>1831</v>
      </c>
      <c r="E45" s="4" t="s">
        <v>55</v>
      </c>
      <c r="F45" s="4">
        <v>1</v>
      </c>
      <c r="G45" s="9">
        <v>34348.62</v>
      </c>
      <c r="H45" s="9">
        <v>1321.1</v>
      </c>
      <c r="I45" s="9">
        <v>440.37</v>
      </c>
      <c r="J45" s="9">
        <v>1761.47</v>
      </c>
      <c r="K45" s="9">
        <v>1321.1</v>
      </c>
      <c r="L45" s="9">
        <v>4844.04</v>
      </c>
      <c r="M45" s="9">
        <v>3963.3</v>
      </c>
      <c r="N45" s="15">
        <f t="shared" si="0"/>
        <v>48000</v>
      </c>
    </row>
    <row r="46" customFormat="1" ht="45" customHeight="1" spans="1:14">
      <c r="A46" s="4">
        <v>35</v>
      </c>
      <c r="B46" s="4" t="s">
        <v>1887</v>
      </c>
      <c r="C46" s="4" t="s">
        <v>95</v>
      </c>
      <c r="D46" s="8" t="s">
        <v>1833</v>
      </c>
      <c r="E46" s="4" t="s">
        <v>47</v>
      </c>
      <c r="F46" s="4">
        <v>39.25</v>
      </c>
      <c r="G46" s="9">
        <v>61.58</v>
      </c>
      <c r="H46" s="9">
        <v>16.2</v>
      </c>
      <c r="I46" s="9">
        <v>8.1</v>
      </c>
      <c r="J46" s="9">
        <v>45.37</v>
      </c>
      <c r="K46" s="9">
        <v>12.96</v>
      </c>
      <c r="L46" s="9">
        <v>17.82</v>
      </c>
      <c r="M46" s="9">
        <v>14.58</v>
      </c>
      <c r="N46" s="15">
        <f t="shared" si="0"/>
        <v>176.61</v>
      </c>
    </row>
    <row r="47" customFormat="1" ht="45" customHeight="1" spans="1:14">
      <c r="A47" s="4">
        <v>36</v>
      </c>
      <c r="B47" s="4" t="s">
        <v>1888</v>
      </c>
      <c r="C47" s="4" t="s">
        <v>45</v>
      </c>
      <c r="D47" s="8" t="s">
        <v>1835</v>
      </c>
      <c r="E47" s="4" t="s">
        <v>47</v>
      </c>
      <c r="F47" s="4">
        <v>39.25</v>
      </c>
      <c r="G47" s="9">
        <v>61.58</v>
      </c>
      <c r="H47" s="9">
        <v>16.2</v>
      </c>
      <c r="I47" s="9">
        <v>8.1</v>
      </c>
      <c r="J47" s="9">
        <v>45.37</v>
      </c>
      <c r="K47" s="9">
        <v>12.96</v>
      </c>
      <c r="L47" s="9">
        <v>17.82</v>
      </c>
      <c r="M47" s="9">
        <v>14.58</v>
      </c>
      <c r="N47" s="15">
        <f t="shared" si="0"/>
        <v>176.61</v>
      </c>
    </row>
    <row r="48" customFormat="1" ht="25" customHeight="1" spans="1:14">
      <c r="A48" s="11" t="s">
        <v>50</v>
      </c>
      <c r="B48" s="12"/>
      <c r="C48" s="11"/>
      <c r="D48" s="13"/>
      <c r="E48" s="12"/>
      <c r="F48" s="11"/>
      <c r="G48" s="14"/>
      <c r="H48" s="14"/>
      <c r="I48" s="14"/>
      <c r="J48" s="14"/>
      <c r="K48" s="14"/>
      <c r="L48" s="14"/>
      <c r="M48" s="14"/>
      <c r="N48" s="14">
        <f>SUM(N44:N47)</f>
        <v>49685.07</v>
      </c>
    </row>
    <row r="49" customFormat="1" ht="45" customHeight="1" spans="1:14">
      <c r="A49" s="4">
        <v>37</v>
      </c>
      <c r="B49" s="4" t="s">
        <v>1889</v>
      </c>
      <c r="C49" s="4" t="s">
        <v>413</v>
      </c>
      <c r="D49" s="8" t="s">
        <v>1773</v>
      </c>
      <c r="E49" s="4" t="s">
        <v>105</v>
      </c>
      <c r="F49" s="4">
        <v>10</v>
      </c>
      <c r="G49" s="9">
        <v>45.32</v>
      </c>
      <c r="H49" s="9">
        <v>11.93</v>
      </c>
      <c r="I49" s="9">
        <v>5.96</v>
      </c>
      <c r="J49" s="9">
        <v>33.39</v>
      </c>
      <c r="K49" s="9">
        <v>9.54</v>
      </c>
      <c r="L49" s="9">
        <v>13.12</v>
      </c>
      <c r="M49" s="9">
        <v>10.73</v>
      </c>
      <c r="N49" s="15">
        <f t="shared" si="0"/>
        <v>129.99</v>
      </c>
    </row>
    <row r="50" customFormat="1" ht="45" customHeight="1" spans="1:14">
      <c r="A50" s="4">
        <v>38</v>
      </c>
      <c r="B50" s="4" t="s">
        <v>1890</v>
      </c>
      <c r="C50" s="4" t="s">
        <v>1838</v>
      </c>
      <c r="D50" s="8" t="s">
        <v>1839</v>
      </c>
      <c r="E50" s="4" t="s">
        <v>55</v>
      </c>
      <c r="F50" s="4">
        <v>1</v>
      </c>
      <c r="G50" s="9">
        <v>6297.25</v>
      </c>
      <c r="H50" s="9">
        <v>242.2</v>
      </c>
      <c r="I50" s="9">
        <v>80.73</v>
      </c>
      <c r="J50" s="9">
        <v>322.94</v>
      </c>
      <c r="K50" s="9">
        <v>242.2</v>
      </c>
      <c r="L50" s="9">
        <v>888.07</v>
      </c>
      <c r="M50" s="9">
        <v>726.61</v>
      </c>
      <c r="N50" s="15">
        <f t="shared" si="0"/>
        <v>8800</v>
      </c>
    </row>
    <row r="51" customFormat="1" ht="45" customHeight="1" spans="1:14">
      <c r="A51" s="4">
        <v>39</v>
      </c>
      <c r="B51" s="4" t="s">
        <v>1891</v>
      </c>
      <c r="C51" s="4" t="s">
        <v>1841</v>
      </c>
      <c r="D51" s="8" t="s">
        <v>1842</v>
      </c>
      <c r="E51" s="4" t="s">
        <v>854</v>
      </c>
      <c r="F51" s="4">
        <v>4</v>
      </c>
      <c r="G51" s="9">
        <v>6165.14</v>
      </c>
      <c r="H51" s="9">
        <v>513.76</v>
      </c>
      <c r="I51" s="9">
        <v>205.5</v>
      </c>
      <c r="J51" s="9">
        <v>1541.28</v>
      </c>
      <c r="K51" s="9">
        <v>719.27</v>
      </c>
      <c r="L51" s="9">
        <v>1130.28</v>
      </c>
      <c r="M51" s="9">
        <v>924.77</v>
      </c>
      <c r="N51" s="15">
        <f t="shared" si="0"/>
        <v>11200</v>
      </c>
    </row>
    <row r="52" customFormat="1" ht="45" customHeight="1" spans="1:14">
      <c r="A52" s="4">
        <v>40</v>
      </c>
      <c r="B52" s="4" t="s">
        <v>1892</v>
      </c>
      <c r="C52" s="4" t="s">
        <v>1844</v>
      </c>
      <c r="D52" s="8" t="s">
        <v>1845</v>
      </c>
      <c r="E52" s="4" t="s">
        <v>854</v>
      </c>
      <c r="F52" s="4">
        <v>3</v>
      </c>
      <c r="G52" s="9">
        <v>1981.65</v>
      </c>
      <c r="H52" s="9">
        <v>165.14</v>
      </c>
      <c r="I52" s="9">
        <v>66.06</v>
      </c>
      <c r="J52" s="9">
        <v>495.41</v>
      </c>
      <c r="K52" s="9">
        <v>231.19</v>
      </c>
      <c r="L52" s="9">
        <v>363.3</v>
      </c>
      <c r="M52" s="9">
        <v>297.25</v>
      </c>
      <c r="N52" s="15">
        <f t="shared" si="0"/>
        <v>3600</v>
      </c>
    </row>
    <row r="53" customFormat="1" ht="45" customHeight="1" spans="1:14">
      <c r="A53" s="4">
        <v>41</v>
      </c>
      <c r="B53" s="4" t="s">
        <v>1893</v>
      </c>
      <c r="C53" s="4" t="s">
        <v>1847</v>
      </c>
      <c r="D53" s="8" t="s">
        <v>1848</v>
      </c>
      <c r="E53" s="4" t="s">
        <v>55</v>
      </c>
      <c r="F53" s="4">
        <v>1</v>
      </c>
      <c r="G53" s="9">
        <v>1220.18</v>
      </c>
      <c r="H53" s="9">
        <v>321.1</v>
      </c>
      <c r="I53" s="9">
        <v>160.55</v>
      </c>
      <c r="J53" s="9">
        <v>899.08</v>
      </c>
      <c r="K53" s="9">
        <v>256.88</v>
      </c>
      <c r="L53" s="9">
        <v>353.21</v>
      </c>
      <c r="M53" s="9">
        <v>288.99</v>
      </c>
      <c r="N53" s="15">
        <f t="shared" si="0"/>
        <v>3499.99</v>
      </c>
    </row>
    <row r="54" customFormat="1" ht="25" customHeight="1" spans="1:14">
      <c r="A54" s="11" t="s">
        <v>50</v>
      </c>
      <c r="B54" s="12"/>
      <c r="C54" s="11"/>
      <c r="D54" s="13"/>
      <c r="E54" s="12"/>
      <c r="F54" s="11"/>
      <c r="G54" s="14"/>
      <c r="H54" s="14"/>
      <c r="I54" s="14"/>
      <c r="J54" s="14"/>
      <c r="K54" s="14"/>
      <c r="L54" s="14"/>
      <c r="M54" s="14"/>
      <c r="N54" s="14">
        <f>SUM(N49:N53)</f>
        <v>27229.98</v>
      </c>
    </row>
    <row r="55" customFormat="1" ht="101" customHeight="1" spans="1:14">
      <c r="A55" s="4">
        <v>42</v>
      </c>
      <c r="B55" s="4" t="s">
        <v>1894</v>
      </c>
      <c r="C55" s="4" t="s">
        <v>1895</v>
      </c>
      <c r="D55" s="8" t="s">
        <v>1896</v>
      </c>
      <c r="E55" s="4" t="s">
        <v>1032</v>
      </c>
      <c r="F55" s="4">
        <v>28.28</v>
      </c>
      <c r="G55" s="9">
        <v>7690.08</v>
      </c>
      <c r="H55" s="9">
        <v>295.77</v>
      </c>
      <c r="I55" s="9">
        <v>98.59</v>
      </c>
      <c r="J55" s="9">
        <v>394.36</v>
      </c>
      <c r="K55" s="9">
        <v>295.77</v>
      </c>
      <c r="L55" s="9">
        <v>1084.5</v>
      </c>
      <c r="M55" s="9">
        <v>887.32</v>
      </c>
      <c r="N55" s="15">
        <f>SUM(G55:M55)</f>
        <v>10746.39</v>
      </c>
    </row>
    <row r="56" customFormat="1" ht="45" customHeight="1" spans="1:14">
      <c r="A56" s="4">
        <v>43</v>
      </c>
      <c r="B56" s="4" t="s">
        <v>1897</v>
      </c>
      <c r="C56" s="4" t="s">
        <v>1898</v>
      </c>
      <c r="D56" s="8" t="s">
        <v>1899</v>
      </c>
      <c r="E56" s="4" t="s">
        <v>55</v>
      </c>
      <c r="F56" s="4">
        <v>1</v>
      </c>
      <c r="G56" s="9">
        <v>2504.59</v>
      </c>
      <c r="H56" s="9">
        <v>96.33</v>
      </c>
      <c r="I56" s="9">
        <v>32.11</v>
      </c>
      <c r="J56" s="9">
        <v>128.44</v>
      </c>
      <c r="K56" s="9">
        <v>96.33</v>
      </c>
      <c r="L56" s="9">
        <v>353.21</v>
      </c>
      <c r="M56" s="9">
        <v>288.99</v>
      </c>
      <c r="N56" s="15">
        <f t="shared" si="0"/>
        <v>3500</v>
      </c>
    </row>
    <row r="57" customFormat="1" ht="45" customHeight="1" spans="1:14">
      <c r="A57" s="4">
        <v>44</v>
      </c>
      <c r="B57" s="4" t="s">
        <v>1900</v>
      </c>
      <c r="C57" s="4" t="s">
        <v>1853</v>
      </c>
      <c r="D57" s="8" t="s">
        <v>1901</v>
      </c>
      <c r="E57" s="4" t="s">
        <v>47</v>
      </c>
      <c r="F57" s="4">
        <v>21.3</v>
      </c>
      <c r="G57" s="9">
        <v>269.67</v>
      </c>
      <c r="H57" s="9">
        <v>22.47</v>
      </c>
      <c r="I57" s="9">
        <v>8.99</v>
      </c>
      <c r="J57" s="9">
        <v>67.42</v>
      </c>
      <c r="K57" s="9">
        <v>31.46</v>
      </c>
      <c r="L57" s="9">
        <v>49.44</v>
      </c>
      <c r="M57" s="9">
        <v>40.45</v>
      </c>
      <c r="N57" s="15">
        <f t="shared" si="0"/>
        <v>489.9</v>
      </c>
    </row>
    <row r="58" customFormat="1" ht="25" customHeight="1" spans="1:14">
      <c r="A58" s="11" t="s">
        <v>50</v>
      </c>
      <c r="B58" s="12"/>
      <c r="C58" s="11"/>
      <c r="D58" s="13"/>
      <c r="E58" s="12"/>
      <c r="F58" s="11"/>
      <c r="G58" s="14"/>
      <c r="H58" s="14"/>
      <c r="I58" s="14"/>
      <c r="J58" s="14"/>
      <c r="K58" s="14"/>
      <c r="L58" s="14"/>
      <c r="M58" s="14"/>
      <c r="N58" s="14">
        <f>SUM(N55:N57)</f>
        <v>14736.29</v>
      </c>
    </row>
    <row r="59" customFormat="1" ht="45" customHeight="1" spans="1:14">
      <c r="A59" s="4">
        <v>45</v>
      </c>
      <c r="B59" s="4" t="s">
        <v>1902</v>
      </c>
      <c r="C59" s="4" t="s">
        <v>1853</v>
      </c>
      <c r="D59" s="8" t="s">
        <v>1856</v>
      </c>
      <c r="E59" s="4" t="s">
        <v>47</v>
      </c>
      <c r="F59" s="4">
        <v>12</v>
      </c>
      <c r="G59" s="9">
        <v>79.27</v>
      </c>
      <c r="H59" s="9">
        <v>6.61</v>
      </c>
      <c r="I59" s="9">
        <v>2.64</v>
      </c>
      <c r="J59" s="9">
        <v>19.82</v>
      </c>
      <c r="K59" s="9">
        <v>9.25</v>
      </c>
      <c r="L59" s="9">
        <v>14.53</v>
      </c>
      <c r="M59" s="9">
        <v>11.89</v>
      </c>
      <c r="N59" s="15">
        <f t="shared" si="0"/>
        <v>144.01</v>
      </c>
    </row>
    <row r="60" customFormat="1" ht="45" customHeight="1" spans="1:14">
      <c r="A60" s="4">
        <v>46</v>
      </c>
      <c r="B60" s="4" t="s">
        <v>1903</v>
      </c>
      <c r="C60" s="4" t="s">
        <v>1853</v>
      </c>
      <c r="D60" s="8" t="s">
        <v>1904</v>
      </c>
      <c r="E60" s="4" t="s">
        <v>47</v>
      </c>
      <c r="F60" s="4">
        <v>30</v>
      </c>
      <c r="G60" s="9">
        <v>99.08</v>
      </c>
      <c r="H60" s="9">
        <v>8.26</v>
      </c>
      <c r="I60" s="9">
        <v>3.3</v>
      </c>
      <c r="J60" s="9">
        <v>24.77</v>
      </c>
      <c r="K60" s="9">
        <v>11.56</v>
      </c>
      <c r="L60" s="9">
        <v>18.17</v>
      </c>
      <c r="M60" s="9">
        <v>14.86</v>
      </c>
      <c r="N60" s="15">
        <f t="shared" si="0"/>
        <v>180</v>
      </c>
    </row>
    <row r="61" customFormat="1" ht="45" customHeight="1" spans="1:14">
      <c r="A61" s="4">
        <v>47</v>
      </c>
      <c r="B61" s="4" t="s">
        <v>1905</v>
      </c>
      <c r="C61" s="4" t="s">
        <v>1853</v>
      </c>
      <c r="D61" s="8" t="s">
        <v>1906</v>
      </c>
      <c r="E61" s="4" t="s">
        <v>47</v>
      </c>
      <c r="F61" s="4">
        <v>6</v>
      </c>
      <c r="G61" s="9">
        <v>52.84</v>
      </c>
      <c r="H61" s="9">
        <v>4.4</v>
      </c>
      <c r="I61" s="9">
        <v>1.76</v>
      </c>
      <c r="J61" s="9">
        <v>13.21</v>
      </c>
      <c r="K61" s="9">
        <v>6.17</v>
      </c>
      <c r="L61" s="9">
        <v>9.69</v>
      </c>
      <c r="M61" s="9">
        <v>7.93</v>
      </c>
      <c r="N61" s="15">
        <f t="shared" si="0"/>
        <v>96</v>
      </c>
    </row>
    <row r="62" customFormat="1" ht="45" customHeight="1" spans="1:14">
      <c r="A62" s="4">
        <v>48</v>
      </c>
      <c r="B62" s="4" t="s">
        <v>1907</v>
      </c>
      <c r="C62" s="4" t="s">
        <v>1908</v>
      </c>
      <c r="D62" s="8" t="s">
        <v>1909</v>
      </c>
      <c r="E62" s="4" t="s">
        <v>93</v>
      </c>
      <c r="F62" s="4">
        <v>10</v>
      </c>
      <c r="G62" s="9">
        <v>122.02</v>
      </c>
      <c r="H62" s="9">
        <v>32.11</v>
      </c>
      <c r="I62" s="9">
        <v>16.06</v>
      </c>
      <c r="J62" s="9">
        <v>89.91</v>
      </c>
      <c r="K62" s="9">
        <v>25.69</v>
      </c>
      <c r="L62" s="9">
        <v>35.32</v>
      </c>
      <c r="M62" s="9">
        <v>28.9</v>
      </c>
      <c r="N62" s="15">
        <f t="shared" si="0"/>
        <v>350.01</v>
      </c>
    </row>
    <row r="63" customFormat="1" ht="45" customHeight="1" spans="1:14">
      <c r="A63" s="4">
        <v>49</v>
      </c>
      <c r="B63" s="4" t="s">
        <v>1910</v>
      </c>
      <c r="C63" s="4" t="s">
        <v>168</v>
      </c>
      <c r="D63" s="8" t="s">
        <v>1911</v>
      </c>
      <c r="E63" s="4" t="s">
        <v>47</v>
      </c>
      <c r="F63" s="4">
        <v>12.93</v>
      </c>
      <c r="G63" s="9">
        <v>721.71</v>
      </c>
      <c r="H63" s="9">
        <v>27.76</v>
      </c>
      <c r="I63" s="9">
        <v>9.25</v>
      </c>
      <c r="J63" s="9">
        <v>37.01</v>
      </c>
      <c r="K63" s="9">
        <v>27.76</v>
      </c>
      <c r="L63" s="9">
        <v>101.78</v>
      </c>
      <c r="M63" s="9">
        <v>83.27</v>
      </c>
      <c r="N63" s="15">
        <f t="shared" si="0"/>
        <v>1008.54</v>
      </c>
    </row>
    <row r="64" customFormat="1" ht="25" customHeight="1" spans="1:14">
      <c r="A64" s="11" t="s">
        <v>50</v>
      </c>
      <c r="B64" s="12"/>
      <c r="C64" s="11"/>
      <c r="D64" s="13"/>
      <c r="E64" s="12"/>
      <c r="F64" s="11"/>
      <c r="G64" s="14"/>
      <c r="H64" s="14"/>
      <c r="I64" s="14"/>
      <c r="J64" s="14"/>
      <c r="K64" s="14"/>
      <c r="L64" s="14"/>
      <c r="M64" s="14"/>
      <c r="N64" s="14">
        <f>SUM(N59:N63)</f>
        <v>1778.56</v>
      </c>
    </row>
    <row r="65" customFormat="1" ht="45" customHeight="1" spans="1:14">
      <c r="A65" s="4">
        <v>50</v>
      </c>
      <c r="B65" s="4" t="s">
        <v>1912</v>
      </c>
      <c r="C65" s="4" t="s">
        <v>168</v>
      </c>
      <c r="D65" s="8" t="s">
        <v>1913</v>
      </c>
      <c r="E65" s="4" t="s">
        <v>47</v>
      </c>
      <c r="F65" s="4">
        <v>6.05</v>
      </c>
      <c r="G65" s="9">
        <v>337.69</v>
      </c>
      <c r="H65" s="9">
        <v>12.99</v>
      </c>
      <c r="I65" s="9">
        <v>4.33</v>
      </c>
      <c r="J65" s="9">
        <v>17.32</v>
      </c>
      <c r="K65" s="9">
        <v>12.99</v>
      </c>
      <c r="L65" s="9">
        <v>47.62</v>
      </c>
      <c r="M65" s="9">
        <v>38.96</v>
      </c>
      <c r="N65" s="15">
        <f t="shared" si="0"/>
        <v>471.9</v>
      </c>
    </row>
    <row r="66" customFormat="1" ht="45" customHeight="1" spans="1:14">
      <c r="A66" s="4">
        <v>51</v>
      </c>
      <c r="B66" s="4" t="s">
        <v>1914</v>
      </c>
      <c r="C66" s="4" t="s">
        <v>168</v>
      </c>
      <c r="D66" s="8" t="s">
        <v>1915</v>
      </c>
      <c r="E66" s="4" t="s">
        <v>47</v>
      </c>
      <c r="F66" s="4">
        <v>6.05</v>
      </c>
      <c r="G66" s="9">
        <v>554.16</v>
      </c>
      <c r="H66" s="9">
        <v>21.31</v>
      </c>
      <c r="I66" s="9">
        <v>7.1</v>
      </c>
      <c r="J66" s="9">
        <v>28.42</v>
      </c>
      <c r="K66" s="9">
        <v>21.31</v>
      </c>
      <c r="L66" s="9">
        <v>78.15</v>
      </c>
      <c r="M66" s="9">
        <v>63.94</v>
      </c>
      <c r="N66" s="15">
        <f t="shared" si="0"/>
        <v>774.39</v>
      </c>
    </row>
    <row r="67" customFormat="1" ht="45" customHeight="1" spans="1:14">
      <c r="A67" s="4">
        <v>52</v>
      </c>
      <c r="B67" s="4" t="s">
        <v>1916</v>
      </c>
      <c r="C67" s="4" t="s">
        <v>413</v>
      </c>
      <c r="D67" s="8" t="s">
        <v>1866</v>
      </c>
      <c r="E67" s="4" t="s">
        <v>105</v>
      </c>
      <c r="F67" s="4">
        <v>0.02</v>
      </c>
      <c r="G67" s="9">
        <v>0.09</v>
      </c>
      <c r="H67" s="9">
        <v>0.02</v>
      </c>
      <c r="I67" s="9">
        <v>0.01</v>
      </c>
      <c r="J67" s="9">
        <v>0.07</v>
      </c>
      <c r="K67" s="9">
        <v>0.02</v>
      </c>
      <c r="L67" s="9">
        <v>0.03</v>
      </c>
      <c r="M67" s="9">
        <v>0.02</v>
      </c>
      <c r="N67" s="15">
        <f t="shared" si="0"/>
        <v>0.26</v>
      </c>
    </row>
    <row r="68" customFormat="1" ht="45" customHeight="1" spans="1:14">
      <c r="A68" s="4">
        <v>53</v>
      </c>
      <c r="B68" s="4" t="s">
        <v>1917</v>
      </c>
      <c r="C68" s="4" t="s">
        <v>1918</v>
      </c>
      <c r="D68" s="8" t="s">
        <v>1919</v>
      </c>
      <c r="E68" s="4" t="s">
        <v>248</v>
      </c>
      <c r="F68" s="4">
        <v>4</v>
      </c>
      <c r="G68" s="9">
        <v>343.49</v>
      </c>
      <c r="H68" s="9">
        <v>13.21</v>
      </c>
      <c r="I68" s="9">
        <v>4.4</v>
      </c>
      <c r="J68" s="9">
        <v>17.61</v>
      </c>
      <c r="K68" s="9">
        <v>13.21</v>
      </c>
      <c r="L68" s="9">
        <v>48.44</v>
      </c>
      <c r="M68" s="9">
        <v>39.63</v>
      </c>
      <c r="N68" s="15">
        <f t="shared" si="0"/>
        <v>479.99</v>
      </c>
    </row>
    <row r="69" customFormat="1" ht="45" customHeight="1" spans="1:14">
      <c r="A69" s="4">
        <v>54</v>
      </c>
      <c r="B69" s="4" t="s">
        <v>1920</v>
      </c>
      <c r="C69" s="4" t="s">
        <v>1921</v>
      </c>
      <c r="D69" s="8" t="s">
        <v>1922</v>
      </c>
      <c r="E69" s="4" t="s">
        <v>93</v>
      </c>
      <c r="F69" s="4">
        <v>1</v>
      </c>
      <c r="G69" s="9">
        <v>22.66</v>
      </c>
      <c r="H69" s="9">
        <v>5.96</v>
      </c>
      <c r="I69" s="9">
        <v>2.98</v>
      </c>
      <c r="J69" s="9">
        <v>16.7</v>
      </c>
      <c r="K69" s="9">
        <v>4.77</v>
      </c>
      <c r="L69" s="9">
        <v>6.56</v>
      </c>
      <c r="M69" s="9">
        <v>5.37</v>
      </c>
      <c r="N69" s="15">
        <f t="shared" ref="N69:N132" si="1">SUM(G69:M69)</f>
        <v>65</v>
      </c>
    </row>
    <row r="70" customFormat="1" ht="25" customHeight="1" spans="1:14">
      <c r="A70" s="11" t="s">
        <v>50</v>
      </c>
      <c r="B70" s="12"/>
      <c r="C70" s="11"/>
      <c r="D70" s="13"/>
      <c r="E70" s="12"/>
      <c r="F70" s="11"/>
      <c r="G70" s="14"/>
      <c r="H70" s="14"/>
      <c r="I70" s="14"/>
      <c r="J70" s="14"/>
      <c r="K70" s="14"/>
      <c r="L70" s="14"/>
      <c r="M70" s="14"/>
      <c r="N70" s="14">
        <f>SUM(N65:N69)</f>
        <v>1791.54</v>
      </c>
    </row>
    <row r="71" customFormat="1" ht="45" customHeight="1" spans="1:14">
      <c r="A71" s="4">
        <v>55</v>
      </c>
      <c r="B71" s="4" t="s">
        <v>1923</v>
      </c>
      <c r="C71" s="4" t="s">
        <v>1868</v>
      </c>
      <c r="D71" s="8" t="s">
        <v>1869</v>
      </c>
      <c r="E71" s="4" t="s">
        <v>93</v>
      </c>
      <c r="F71" s="4">
        <v>2</v>
      </c>
      <c r="G71" s="9">
        <v>17.43</v>
      </c>
      <c r="H71" s="9">
        <v>4.59</v>
      </c>
      <c r="I71" s="9">
        <v>2.29</v>
      </c>
      <c r="J71" s="9">
        <v>12.84</v>
      </c>
      <c r="K71" s="9">
        <v>3.67</v>
      </c>
      <c r="L71" s="9">
        <v>5.05</v>
      </c>
      <c r="M71" s="9">
        <v>4.13</v>
      </c>
      <c r="N71" s="15">
        <f t="shared" si="1"/>
        <v>50</v>
      </c>
    </row>
    <row r="72" customFormat="1" ht="45" customHeight="1" spans="1:14">
      <c r="A72" s="4">
        <v>56</v>
      </c>
      <c r="B72" s="4" t="s">
        <v>1924</v>
      </c>
      <c r="C72" s="4" t="s">
        <v>91</v>
      </c>
      <c r="D72" s="8" t="s">
        <v>1925</v>
      </c>
      <c r="E72" s="4" t="s">
        <v>93</v>
      </c>
      <c r="F72" s="4">
        <v>7</v>
      </c>
      <c r="G72" s="9">
        <v>36.61</v>
      </c>
      <c r="H72" s="9">
        <v>9.63</v>
      </c>
      <c r="I72" s="9">
        <v>4.82</v>
      </c>
      <c r="J72" s="9">
        <v>26.97</v>
      </c>
      <c r="K72" s="9">
        <v>7.71</v>
      </c>
      <c r="L72" s="9">
        <v>10.6</v>
      </c>
      <c r="M72" s="9">
        <v>8.67</v>
      </c>
      <c r="N72" s="15">
        <f t="shared" si="1"/>
        <v>105.01</v>
      </c>
    </row>
    <row r="73" customFormat="1" ht="45" customHeight="1" spans="1:14">
      <c r="A73" s="4">
        <v>57</v>
      </c>
      <c r="B73" s="4" t="s">
        <v>1926</v>
      </c>
      <c r="C73" s="4" t="s">
        <v>1873</v>
      </c>
      <c r="D73" s="8" t="s">
        <v>1874</v>
      </c>
      <c r="E73" s="4" t="s">
        <v>1875</v>
      </c>
      <c r="F73" s="4">
        <v>2</v>
      </c>
      <c r="G73" s="9">
        <v>97.98</v>
      </c>
      <c r="H73" s="9">
        <v>8.17</v>
      </c>
      <c r="I73" s="9">
        <v>3.27</v>
      </c>
      <c r="J73" s="9">
        <v>24.5</v>
      </c>
      <c r="K73" s="9">
        <v>11.43</v>
      </c>
      <c r="L73" s="9">
        <v>17.96</v>
      </c>
      <c r="M73" s="9">
        <v>14.7</v>
      </c>
      <c r="N73" s="15">
        <f t="shared" si="1"/>
        <v>178.01</v>
      </c>
    </row>
    <row r="74" customFormat="1" ht="45" customHeight="1" spans="1:14">
      <c r="A74" s="4">
        <v>58</v>
      </c>
      <c r="B74" s="4" t="s">
        <v>1927</v>
      </c>
      <c r="C74" s="4" t="s">
        <v>1877</v>
      </c>
      <c r="D74" s="8" t="s">
        <v>1878</v>
      </c>
      <c r="E74" s="4" t="s">
        <v>1875</v>
      </c>
      <c r="F74" s="4">
        <v>1</v>
      </c>
      <c r="G74" s="9">
        <v>198.17</v>
      </c>
      <c r="H74" s="9">
        <v>16.51</v>
      </c>
      <c r="I74" s="9">
        <v>6.61</v>
      </c>
      <c r="J74" s="9">
        <v>49.54</v>
      </c>
      <c r="K74" s="9">
        <v>23.12</v>
      </c>
      <c r="L74" s="9">
        <v>36.33</v>
      </c>
      <c r="M74" s="9">
        <v>29.72</v>
      </c>
      <c r="N74" s="15">
        <f t="shared" si="1"/>
        <v>360</v>
      </c>
    </row>
    <row r="75" customFormat="1" ht="25" customHeight="1" spans="1:14">
      <c r="A75" s="11" t="s">
        <v>50</v>
      </c>
      <c r="B75" s="12"/>
      <c r="C75" s="11"/>
      <c r="D75" s="13"/>
      <c r="E75" s="12"/>
      <c r="F75" s="11"/>
      <c r="G75" s="14"/>
      <c r="H75" s="14"/>
      <c r="I75" s="14"/>
      <c r="J75" s="14"/>
      <c r="K75" s="14"/>
      <c r="L75" s="14"/>
      <c r="M75" s="14"/>
      <c r="N75" s="14">
        <f>SUM(N71:N74)</f>
        <v>693.02</v>
      </c>
    </row>
    <row r="76" customFormat="1" ht="45" customHeight="1" spans="1:14">
      <c r="A76" s="4">
        <v>59</v>
      </c>
      <c r="B76" s="4" t="s">
        <v>1928</v>
      </c>
      <c r="C76" s="4" t="s">
        <v>379</v>
      </c>
      <c r="D76" s="8" t="s">
        <v>1880</v>
      </c>
      <c r="E76" s="4" t="s">
        <v>55</v>
      </c>
      <c r="F76" s="4">
        <v>7</v>
      </c>
      <c r="G76" s="9">
        <v>14025.69</v>
      </c>
      <c r="H76" s="9">
        <v>539.45</v>
      </c>
      <c r="I76" s="9">
        <v>179.82</v>
      </c>
      <c r="J76" s="9">
        <v>719.27</v>
      </c>
      <c r="K76" s="9">
        <v>539.45</v>
      </c>
      <c r="L76" s="9">
        <v>1977.98</v>
      </c>
      <c r="M76" s="9">
        <v>1618.35</v>
      </c>
      <c r="N76" s="15">
        <f t="shared" si="1"/>
        <v>19600.01</v>
      </c>
    </row>
    <row r="77" customFormat="1" ht="45" customHeight="1" spans="1:14">
      <c r="A77" s="4">
        <v>60</v>
      </c>
      <c r="B77" s="4" t="s">
        <v>1929</v>
      </c>
      <c r="C77" s="4" t="s">
        <v>1816</v>
      </c>
      <c r="D77" s="8" t="s">
        <v>1817</v>
      </c>
      <c r="E77" s="4" t="s">
        <v>55</v>
      </c>
      <c r="F77" s="4">
        <v>1</v>
      </c>
      <c r="G77" s="9">
        <v>1220.18</v>
      </c>
      <c r="H77" s="9">
        <v>321.1</v>
      </c>
      <c r="I77" s="9">
        <v>160.55</v>
      </c>
      <c r="J77" s="9">
        <v>899.08</v>
      </c>
      <c r="K77" s="9">
        <v>256.88</v>
      </c>
      <c r="L77" s="9">
        <v>353.21</v>
      </c>
      <c r="M77" s="9">
        <v>288.99</v>
      </c>
      <c r="N77" s="15">
        <f t="shared" si="1"/>
        <v>3499.99</v>
      </c>
    </row>
    <row r="78" customFormat="1" ht="45" customHeight="1" spans="1:14">
      <c r="A78" s="4">
        <v>61</v>
      </c>
      <c r="B78" s="4" t="s">
        <v>1930</v>
      </c>
      <c r="C78" s="4" t="s">
        <v>1819</v>
      </c>
      <c r="D78" s="8" t="s">
        <v>1820</v>
      </c>
      <c r="E78" s="4" t="s">
        <v>1821</v>
      </c>
      <c r="F78" s="4">
        <v>12</v>
      </c>
      <c r="G78" s="9">
        <v>10568.81</v>
      </c>
      <c r="H78" s="9">
        <v>880.73</v>
      </c>
      <c r="I78" s="9">
        <v>352.29</v>
      </c>
      <c r="J78" s="9">
        <v>2642.2</v>
      </c>
      <c r="K78" s="9">
        <v>1233.03</v>
      </c>
      <c r="L78" s="9">
        <v>1937.61</v>
      </c>
      <c r="M78" s="9">
        <v>1585.32</v>
      </c>
      <c r="N78" s="15">
        <f t="shared" si="1"/>
        <v>19199.99</v>
      </c>
    </row>
    <row r="79" customFormat="1" ht="45" customHeight="1" spans="1:14">
      <c r="A79" s="4">
        <v>62</v>
      </c>
      <c r="B79" s="4" t="s">
        <v>1931</v>
      </c>
      <c r="C79" s="4" t="s">
        <v>1823</v>
      </c>
      <c r="D79" s="8" t="s">
        <v>1824</v>
      </c>
      <c r="E79" s="4" t="s">
        <v>47</v>
      </c>
      <c r="F79" s="4">
        <v>20</v>
      </c>
      <c r="G79" s="9">
        <v>59.27</v>
      </c>
      <c r="H79" s="9">
        <v>15.6</v>
      </c>
      <c r="I79" s="9">
        <v>7.8</v>
      </c>
      <c r="J79" s="9">
        <v>43.67</v>
      </c>
      <c r="K79" s="9">
        <v>12.48</v>
      </c>
      <c r="L79" s="9">
        <v>17.16</v>
      </c>
      <c r="M79" s="9">
        <v>14.04</v>
      </c>
      <c r="N79" s="15">
        <f t="shared" si="1"/>
        <v>170.02</v>
      </c>
    </row>
    <row r="80" customFormat="1" ht="45" customHeight="1" spans="1:14">
      <c r="A80" s="4">
        <v>63</v>
      </c>
      <c r="B80" s="4" t="s">
        <v>1932</v>
      </c>
      <c r="C80" s="4" t="s">
        <v>1823</v>
      </c>
      <c r="D80" s="8" t="s">
        <v>1826</v>
      </c>
      <c r="E80" s="4" t="s">
        <v>47</v>
      </c>
      <c r="F80" s="4">
        <v>10</v>
      </c>
      <c r="G80" s="9">
        <v>348.62</v>
      </c>
      <c r="H80" s="9">
        <v>91.74</v>
      </c>
      <c r="I80" s="9">
        <v>45.87</v>
      </c>
      <c r="J80" s="9">
        <v>256.88</v>
      </c>
      <c r="K80" s="9">
        <v>73.39</v>
      </c>
      <c r="L80" s="9">
        <v>100.92</v>
      </c>
      <c r="M80" s="9">
        <v>82.57</v>
      </c>
      <c r="N80" s="15">
        <f t="shared" si="1"/>
        <v>999.99</v>
      </c>
    </row>
    <row r="81" customFormat="1" ht="25" customHeight="1" spans="1:14">
      <c r="A81" s="11" t="s">
        <v>50</v>
      </c>
      <c r="B81" s="12"/>
      <c r="C81" s="11"/>
      <c r="D81" s="13"/>
      <c r="E81" s="12"/>
      <c r="F81" s="11"/>
      <c r="G81" s="14"/>
      <c r="H81" s="14"/>
      <c r="I81" s="14"/>
      <c r="J81" s="14"/>
      <c r="K81" s="14"/>
      <c r="L81" s="14"/>
      <c r="M81" s="14"/>
      <c r="N81" s="14">
        <f>SUM(N76:N80)</f>
        <v>43470</v>
      </c>
    </row>
    <row r="82" customFormat="1" ht="45" customHeight="1" spans="1:14">
      <c r="A82" s="4">
        <v>64</v>
      </c>
      <c r="B82" s="4" t="s">
        <v>1933</v>
      </c>
      <c r="C82" s="4" t="s">
        <v>1823</v>
      </c>
      <c r="D82" s="8" t="s">
        <v>1828</v>
      </c>
      <c r="E82" s="4" t="s">
        <v>47</v>
      </c>
      <c r="F82" s="4">
        <v>20.49</v>
      </c>
      <c r="G82" s="9">
        <v>464.31</v>
      </c>
      <c r="H82" s="9">
        <v>122.19</v>
      </c>
      <c r="I82" s="9">
        <v>61.09</v>
      </c>
      <c r="J82" s="9">
        <v>342.13</v>
      </c>
      <c r="K82" s="9">
        <v>97.75</v>
      </c>
      <c r="L82" s="9">
        <v>134.41</v>
      </c>
      <c r="M82" s="9">
        <v>109.97</v>
      </c>
      <c r="N82" s="15">
        <f t="shared" si="1"/>
        <v>1331.85</v>
      </c>
    </row>
    <row r="83" customFormat="1" ht="60" customHeight="1" spans="1:14">
      <c r="A83" s="4">
        <v>65</v>
      </c>
      <c r="B83" s="4" t="s">
        <v>1934</v>
      </c>
      <c r="C83" s="4" t="s">
        <v>1830</v>
      </c>
      <c r="D83" s="8" t="s">
        <v>1831</v>
      </c>
      <c r="E83" s="4" t="s">
        <v>55</v>
      </c>
      <c r="F83" s="4">
        <v>1</v>
      </c>
      <c r="G83" s="9">
        <v>34348.62</v>
      </c>
      <c r="H83" s="9">
        <v>1321.1</v>
      </c>
      <c r="I83" s="9">
        <v>440.37</v>
      </c>
      <c r="J83" s="9">
        <v>1761.47</v>
      </c>
      <c r="K83" s="9">
        <v>1321.1</v>
      </c>
      <c r="L83" s="9">
        <v>4844.04</v>
      </c>
      <c r="M83" s="9">
        <v>3963.3</v>
      </c>
      <c r="N83" s="15">
        <f t="shared" si="1"/>
        <v>48000</v>
      </c>
    </row>
    <row r="84" customFormat="1" ht="45" customHeight="1" spans="1:14">
      <c r="A84" s="4">
        <v>66</v>
      </c>
      <c r="B84" s="4" t="s">
        <v>1935</v>
      </c>
      <c r="C84" s="4" t="s">
        <v>95</v>
      </c>
      <c r="D84" s="8" t="s">
        <v>1936</v>
      </c>
      <c r="E84" s="4" t="s">
        <v>47</v>
      </c>
      <c r="F84" s="4">
        <v>39.08</v>
      </c>
      <c r="G84" s="9">
        <v>61.31</v>
      </c>
      <c r="H84" s="9">
        <v>16.13</v>
      </c>
      <c r="I84" s="9">
        <v>8.07</v>
      </c>
      <c r="J84" s="9">
        <v>45.18</v>
      </c>
      <c r="K84" s="9">
        <v>12.91</v>
      </c>
      <c r="L84" s="9">
        <v>17.75</v>
      </c>
      <c r="M84" s="9">
        <v>14.52</v>
      </c>
      <c r="N84" s="15">
        <f t="shared" si="1"/>
        <v>175.87</v>
      </c>
    </row>
    <row r="85" customFormat="1" ht="45" customHeight="1" spans="1:14">
      <c r="A85" s="4">
        <v>67</v>
      </c>
      <c r="B85" s="4" t="s">
        <v>1937</v>
      </c>
      <c r="C85" s="4" t="s">
        <v>45</v>
      </c>
      <c r="D85" s="8" t="s">
        <v>1835</v>
      </c>
      <c r="E85" s="4" t="s">
        <v>47</v>
      </c>
      <c r="F85" s="4">
        <v>39.08</v>
      </c>
      <c r="G85" s="9">
        <v>61.31</v>
      </c>
      <c r="H85" s="9">
        <v>16.13</v>
      </c>
      <c r="I85" s="9">
        <v>8.07</v>
      </c>
      <c r="J85" s="9">
        <v>45.18</v>
      </c>
      <c r="K85" s="9">
        <v>12.91</v>
      </c>
      <c r="L85" s="9">
        <v>17.75</v>
      </c>
      <c r="M85" s="9">
        <v>14.52</v>
      </c>
      <c r="N85" s="15">
        <f t="shared" si="1"/>
        <v>175.87</v>
      </c>
    </row>
    <row r="86" customFormat="1" ht="25" customHeight="1" spans="1:14">
      <c r="A86" s="11" t="s">
        <v>50</v>
      </c>
      <c r="B86" s="12"/>
      <c r="C86" s="11"/>
      <c r="D86" s="13"/>
      <c r="E86" s="12"/>
      <c r="F86" s="11"/>
      <c r="G86" s="14"/>
      <c r="H86" s="14"/>
      <c r="I86" s="14"/>
      <c r="J86" s="14"/>
      <c r="K86" s="14"/>
      <c r="L86" s="14"/>
      <c r="M86" s="14"/>
      <c r="N86" s="14">
        <f>SUM(N82:N85)</f>
        <v>49683.59</v>
      </c>
    </row>
    <row r="87" customFormat="1" ht="45" customHeight="1" spans="1:14">
      <c r="A87" s="4">
        <v>68</v>
      </c>
      <c r="B87" s="4" t="s">
        <v>1938</v>
      </c>
      <c r="C87" s="4" t="s">
        <v>413</v>
      </c>
      <c r="D87" s="8" t="s">
        <v>1773</v>
      </c>
      <c r="E87" s="4" t="s">
        <v>105</v>
      </c>
      <c r="F87" s="4">
        <v>10</v>
      </c>
      <c r="G87" s="9">
        <v>45.32</v>
      </c>
      <c r="H87" s="9">
        <v>11.93</v>
      </c>
      <c r="I87" s="9">
        <v>5.96</v>
      </c>
      <c r="J87" s="9">
        <v>33.39</v>
      </c>
      <c r="K87" s="9">
        <v>9.54</v>
      </c>
      <c r="L87" s="9">
        <v>13.12</v>
      </c>
      <c r="M87" s="9">
        <v>10.73</v>
      </c>
      <c r="N87" s="15">
        <f t="shared" si="1"/>
        <v>129.99</v>
      </c>
    </row>
    <row r="88" customFormat="1" ht="45" customHeight="1" spans="1:14">
      <c r="A88" s="4">
        <v>69</v>
      </c>
      <c r="B88" s="4" t="s">
        <v>1939</v>
      </c>
      <c r="C88" s="4" t="s">
        <v>1838</v>
      </c>
      <c r="D88" s="8" t="s">
        <v>1839</v>
      </c>
      <c r="E88" s="4" t="s">
        <v>55</v>
      </c>
      <c r="F88" s="4">
        <v>1</v>
      </c>
      <c r="G88" s="9">
        <v>6297.25</v>
      </c>
      <c r="H88" s="9">
        <v>242.2</v>
      </c>
      <c r="I88" s="9">
        <v>80.73</v>
      </c>
      <c r="J88" s="9">
        <v>322.94</v>
      </c>
      <c r="K88" s="9">
        <v>242.2</v>
      </c>
      <c r="L88" s="9">
        <v>888.07</v>
      </c>
      <c r="M88" s="9">
        <v>726.61</v>
      </c>
      <c r="N88" s="15">
        <f t="shared" si="1"/>
        <v>8800</v>
      </c>
    </row>
    <row r="89" customFormat="1" ht="45" customHeight="1" spans="1:14">
      <c r="A89" s="4">
        <v>70</v>
      </c>
      <c r="B89" s="4" t="s">
        <v>1940</v>
      </c>
      <c r="C89" s="4" t="s">
        <v>1841</v>
      </c>
      <c r="D89" s="8" t="s">
        <v>1842</v>
      </c>
      <c r="E89" s="4" t="s">
        <v>854</v>
      </c>
      <c r="F89" s="4">
        <v>4</v>
      </c>
      <c r="G89" s="9">
        <v>6165.14</v>
      </c>
      <c r="H89" s="9">
        <v>513.76</v>
      </c>
      <c r="I89" s="9">
        <v>205.5</v>
      </c>
      <c r="J89" s="9">
        <v>1541.28</v>
      </c>
      <c r="K89" s="9">
        <v>719.27</v>
      </c>
      <c r="L89" s="9">
        <v>1130.28</v>
      </c>
      <c r="M89" s="9">
        <v>924.77</v>
      </c>
      <c r="N89" s="15">
        <f t="shared" si="1"/>
        <v>11200</v>
      </c>
    </row>
    <row r="90" customFormat="1" ht="45" customHeight="1" spans="1:14">
      <c r="A90" s="4">
        <v>71</v>
      </c>
      <c r="B90" s="4" t="s">
        <v>1941</v>
      </c>
      <c r="C90" s="4" t="s">
        <v>1844</v>
      </c>
      <c r="D90" s="8" t="s">
        <v>1845</v>
      </c>
      <c r="E90" s="4" t="s">
        <v>854</v>
      </c>
      <c r="F90" s="4">
        <v>3</v>
      </c>
      <c r="G90" s="9">
        <v>1981.65</v>
      </c>
      <c r="H90" s="9">
        <v>165.14</v>
      </c>
      <c r="I90" s="9">
        <v>66.06</v>
      </c>
      <c r="J90" s="9">
        <v>495.41</v>
      </c>
      <c r="K90" s="9">
        <v>231.19</v>
      </c>
      <c r="L90" s="9">
        <v>363.3</v>
      </c>
      <c r="M90" s="9">
        <v>297.25</v>
      </c>
      <c r="N90" s="15">
        <f t="shared" si="1"/>
        <v>3600</v>
      </c>
    </row>
    <row r="91" customFormat="1" ht="45" customHeight="1" spans="1:14">
      <c r="A91" s="4">
        <v>72</v>
      </c>
      <c r="B91" s="4" t="s">
        <v>1942</v>
      </c>
      <c r="C91" s="4" t="s">
        <v>1847</v>
      </c>
      <c r="D91" s="8" t="s">
        <v>1848</v>
      </c>
      <c r="E91" s="4" t="s">
        <v>55</v>
      </c>
      <c r="F91" s="4">
        <v>1</v>
      </c>
      <c r="G91" s="9">
        <v>1220.18</v>
      </c>
      <c r="H91" s="9">
        <v>321.1</v>
      </c>
      <c r="I91" s="9">
        <v>160.55</v>
      </c>
      <c r="J91" s="9">
        <v>899.08</v>
      </c>
      <c r="K91" s="9">
        <v>256.88</v>
      </c>
      <c r="L91" s="9">
        <v>353.21</v>
      </c>
      <c r="M91" s="9">
        <v>288.99</v>
      </c>
      <c r="N91" s="15">
        <f t="shared" si="1"/>
        <v>3499.99</v>
      </c>
    </row>
    <row r="92" customFormat="1" ht="25" customHeight="1" spans="1:14">
      <c r="A92" s="11" t="s">
        <v>50</v>
      </c>
      <c r="B92" s="12"/>
      <c r="C92" s="11"/>
      <c r="D92" s="13"/>
      <c r="E92" s="12"/>
      <c r="F92" s="11"/>
      <c r="G92" s="14"/>
      <c r="H92" s="14"/>
      <c r="I92" s="14"/>
      <c r="J92" s="14"/>
      <c r="K92" s="14"/>
      <c r="L92" s="14"/>
      <c r="M92" s="14"/>
      <c r="N92" s="14">
        <f>SUM(N87:N91)</f>
        <v>27229.98</v>
      </c>
    </row>
    <row r="93" customFormat="1" ht="101" customHeight="1" spans="1:14">
      <c r="A93" s="4">
        <v>73</v>
      </c>
      <c r="B93" s="4" t="s">
        <v>1943</v>
      </c>
      <c r="C93" s="4" t="s">
        <v>1895</v>
      </c>
      <c r="D93" s="8" t="s">
        <v>1896</v>
      </c>
      <c r="E93" s="4" t="s">
        <v>1032</v>
      </c>
      <c r="F93" s="4">
        <v>28.28</v>
      </c>
      <c r="G93" s="9">
        <v>7690.08</v>
      </c>
      <c r="H93" s="9">
        <v>295.77</v>
      </c>
      <c r="I93" s="9">
        <v>98.59</v>
      </c>
      <c r="J93" s="9">
        <v>394.36</v>
      </c>
      <c r="K93" s="9">
        <v>295.77</v>
      </c>
      <c r="L93" s="9">
        <v>1084.5</v>
      </c>
      <c r="M93" s="9">
        <v>887.32</v>
      </c>
      <c r="N93" s="15">
        <f t="shared" si="1"/>
        <v>10746.39</v>
      </c>
    </row>
    <row r="94" customFormat="1" ht="45" customHeight="1" spans="1:14">
      <c r="A94" s="4">
        <v>74</v>
      </c>
      <c r="B94" s="4" t="s">
        <v>1944</v>
      </c>
      <c r="C94" s="4" t="s">
        <v>1898</v>
      </c>
      <c r="D94" s="8" t="s">
        <v>1899</v>
      </c>
      <c r="E94" s="4" t="s">
        <v>55</v>
      </c>
      <c r="F94" s="4">
        <v>1</v>
      </c>
      <c r="G94" s="9">
        <v>2504.59</v>
      </c>
      <c r="H94" s="9">
        <v>96.33</v>
      </c>
      <c r="I94" s="9">
        <v>32.11</v>
      </c>
      <c r="J94" s="9">
        <v>128.44</v>
      </c>
      <c r="K94" s="9">
        <v>96.33</v>
      </c>
      <c r="L94" s="9">
        <v>353.21</v>
      </c>
      <c r="M94" s="9">
        <v>288.99</v>
      </c>
      <c r="N94" s="15">
        <f t="shared" si="1"/>
        <v>3500</v>
      </c>
    </row>
    <row r="95" customFormat="1" ht="45" customHeight="1" spans="1:14">
      <c r="A95" s="4">
        <v>75</v>
      </c>
      <c r="B95" s="4" t="s">
        <v>1945</v>
      </c>
      <c r="C95" s="4" t="s">
        <v>1853</v>
      </c>
      <c r="D95" s="8" t="s">
        <v>1901</v>
      </c>
      <c r="E95" s="4" t="s">
        <v>47</v>
      </c>
      <c r="F95" s="4">
        <v>21.3</v>
      </c>
      <c r="G95" s="9">
        <v>269.67</v>
      </c>
      <c r="H95" s="9">
        <v>22.47</v>
      </c>
      <c r="I95" s="9">
        <v>8.99</v>
      </c>
      <c r="J95" s="9">
        <v>67.42</v>
      </c>
      <c r="K95" s="9">
        <v>31.46</v>
      </c>
      <c r="L95" s="9">
        <v>49.44</v>
      </c>
      <c r="M95" s="9">
        <v>40.45</v>
      </c>
      <c r="N95" s="15">
        <f t="shared" si="1"/>
        <v>489.9</v>
      </c>
    </row>
    <row r="96" customFormat="1" ht="25" customHeight="1" spans="1:14">
      <c r="A96" s="11" t="s">
        <v>50</v>
      </c>
      <c r="B96" s="12"/>
      <c r="C96" s="11"/>
      <c r="D96" s="13"/>
      <c r="E96" s="12"/>
      <c r="F96" s="11"/>
      <c r="G96" s="14"/>
      <c r="H96" s="14"/>
      <c r="I96" s="14"/>
      <c r="J96" s="14"/>
      <c r="K96" s="14"/>
      <c r="L96" s="14"/>
      <c r="M96" s="14"/>
      <c r="N96" s="14">
        <f>SUM(N93:N95)</f>
        <v>14736.29</v>
      </c>
    </row>
    <row r="97" customFormat="1" ht="45" customHeight="1" spans="1:14">
      <c r="A97" s="4">
        <v>76</v>
      </c>
      <c r="B97" s="4" t="s">
        <v>1946</v>
      </c>
      <c r="C97" s="4" t="s">
        <v>1853</v>
      </c>
      <c r="D97" s="8" t="s">
        <v>1856</v>
      </c>
      <c r="E97" s="4" t="s">
        <v>47</v>
      </c>
      <c r="F97" s="4">
        <v>12</v>
      </c>
      <c r="G97" s="9">
        <v>79.27</v>
      </c>
      <c r="H97" s="9">
        <v>6.61</v>
      </c>
      <c r="I97" s="9">
        <v>2.64</v>
      </c>
      <c r="J97" s="9">
        <v>19.82</v>
      </c>
      <c r="K97" s="9">
        <v>9.25</v>
      </c>
      <c r="L97" s="9">
        <v>14.53</v>
      </c>
      <c r="M97" s="9">
        <v>11.89</v>
      </c>
      <c r="N97" s="15">
        <f t="shared" si="1"/>
        <v>144.01</v>
      </c>
    </row>
    <row r="98" customFormat="1" ht="45" customHeight="1" spans="1:14">
      <c r="A98" s="4">
        <v>77</v>
      </c>
      <c r="B98" s="4" t="s">
        <v>1947</v>
      </c>
      <c r="C98" s="4" t="s">
        <v>1853</v>
      </c>
      <c r="D98" s="8" t="s">
        <v>1904</v>
      </c>
      <c r="E98" s="4" t="s">
        <v>47</v>
      </c>
      <c r="F98" s="4">
        <v>30</v>
      </c>
      <c r="G98" s="9">
        <v>99.08</v>
      </c>
      <c r="H98" s="9">
        <v>8.26</v>
      </c>
      <c r="I98" s="9">
        <v>3.3</v>
      </c>
      <c r="J98" s="9">
        <v>24.77</v>
      </c>
      <c r="K98" s="9">
        <v>11.56</v>
      </c>
      <c r="L98" s="9">
        <v>18.17</v>
      </c>
      <c r="M98" s="9">
        <v>14.86</v>
      </c>
      <c r="N98" s="15">
        <f t="shared" si="1"/>
        <v>180</v>
      </c>
    </row>
    <row r="99" customFormat="1" ht="45" customHeight="1" spans="1:14">
      <c r="A99" s="4">
        <v>78</v>
      </c>
      <c r="B99" s="4" t="s">
        <v>1948</v>
      </c>
      <c r="C99" s="4" t="s">
        <v>1853</v>
      </c>
      <c r="D99" s="8" t="s">
        <v>1906</v>
      </c>
      <c r="E99" s="4" t="s">
        <v>47</v>
      </c>
      <c r="F99" s="4">
        <v>6</v>
      </c>
      <c r="G99" s="9">
        <v>52.84</v>
      </c>
      <c r="H99" s="9">
        <v>4.4</v>
      </c>
      <c r="I99" s="9">
        <v>1.76</v>
      </c>
      <c r="J99" s="9">
        <v>13.21</v>
      </c>
      <c r="K99" s="9">
        <v>6.17</v>
      </c>
      <c r="L99" s="9">
        <v>9.69</v>
      </c>
      <c r="M99" s="9">
        <v>7.93</v>
      </c>
      <c r="N99" s="15">
        <f t="shared" si="1"/>
        <v>96</v>
      </c>
    </row>
    <row r="100" customFormat="1" ht="45" customHeight="1" spans="1:14">
      <c r="A100" s="4">
        <v>79</v>
      </c>
      <c r="B100" s="4" t="s">
        <v>1949</v>
      </c>
      <c r="C100" s="4" t="s">
        <v>1908</v>
      </c>
      <c r="D100" s="8" t="s">
        <v>1909</v>
      </c>
      <c r="E100" s="4" t="s">
        <v>93</v>
      </c>
      <c r="F100" s="4">
        <v>10</v>
      </c>
      <c r="G100" s="9">
        <v>122.02</v>
      </c>
      <c r="H100" s="9">
        <v>32.11</v>
      </c>
      <c r="I100" s="9">
        <v>16.06</v>
      </c>
      <c r="J100" s="9">
        <v>89.91</v>
      </c>
      <c r="K100" s="9">
        <v>25.69</v>
      </c>
      <c r="L100" s="9">
        <v>35.32</v>
      </c>
      <c r="M100" s="9">
        <v>28.9</v>
      </c>
      <c r="N100" s="15">
        <f t="shared" si="1"/>
        <v>350.01</v>
      </c>
    </row>
    <row r="101" customFormat="1" ht="45" customHeight="1" spans="1:14">
      <c r="A101" s="4">
        <v>80</v>
      </c>
      <c r="B101" s="4" t="s">
        <v>1950</v>
      </c>
      <c r="C101" s="4" t="s">
        <v>168</v>
      </c>
      <c r="D101" s="8" t="s">
        <v>1911</v>
      </c>
      <c r="E101" s="4" t="s">
        <v>47</v>
      </c>
      <c r="F101" s="4">
        <v>12.93</v>
      </c>
      <c r="G101" s="9">
        <v>721.71</v>
      </c>
      <c r="H101" s="9">
        <v>27.76</v>
      </c>
      <c r="I101" s="9">
        <v>9.25</v>
      </c>
      <c r="J101" s="9">
        <v>37.01</v>
      </c>
      <c r="K101" s="9">
        <v>27.76</v>
      </c>
      <c r="L101" s="9">
        <v>101.78</v>
      </c>
      <c r="M101" s="9">
        <v>83.27</v>
      </c>
      <c r="N101" s="15">
        <f t="shared" si="1"/>
        <v>1008.54</v>
      </c>
    </row>
    <row r="102" customFormat="1" ht="25" customHeight="1" spans="1:14">
      <c r="A102" s="11" t="s">
        <v>50</v>
      </c>
      <c r="B102" s="12"/>
      <c r="C102" s="11"/>
      <c r="D102" s="13"/>
      <c r="E102" s="12"/>
      <c r="F102" s="11"/>
      <c r="G102" s="14"/>
      <c r="H102" s="14"/>
      <c r="I102" s="14"/>
      <c r="J102" s="14"/>
      <c r="K102" s="14"/>
      <c r="L102" s="14"/>
      <c r="M102" s="14"/>
      <c r="N102" s="14">
        <f>SUM(N97:N101)</f>
        <v>1778.56</v>
      </c>
    </row>
    <row r="103" customFormat="1" ht="45" customHeight="1" spans="1:14">
      <c r="A103" s="4">
        <v>81</v>
      </c>
      <c r="B103" s="4" t="s">
        <v>1951</v>
      </c>
      <c r="C103" s="4" t="s">
        <v>168</v>
      </c>
      <c r="D103" s="8" t="s">
        <v>1913</v>
      </c>
      <c r="E103" s="4" t="s">
        <v>47</v>
      </c>
      <c r="F103" s="4">
        <v>6.05</v>
      </c>
      <c r="G103" s="9">
        <v>337.69</v>
      </c>
      <c r="H103" s="9">
        <v>12.99</v>
      </c>
      <c r="I103" s="9">
        <v>4.33</v>
      </c>
      <c r="J103" s="9">
        <v>17.32</v>
      </c>
      <c r="K103" s="9">
        <v>12.99</v>
      </c>
      <c r="L103" s="9">
        <v>47.62</v>
      </c>
      <c r="M103" s="9">
        <v>38.96</v>
      </c>
      <c r="N103" s="15">
        <f t="shared" si="1"/>
        <v>471.9</v>
      </c>
    </row>
    <row r="104" customFormat="1" ht="45" customHeight="1" spans="1:14">
      <c r="A104" s="4">
        <v>82</v>
      </c>
      <c r="B104" s="4" t="s">
        <v>1952</v>
      </c>
      <c r="C104" s="4" t="s">
        <v>168</v>
      </c>
      <c r="D104" s="8" t="s">
        <v>1915</v>
      </c>
      <c r="E104" s="4" t="s">
        <v>47</v>
      </c>
      <c r="F104" s="4">
        <v>6.05</v>
      </c>
      <c r="G104" s="9">
        <v>554.16</v>
      </c>
      <c r="H104" s="9">
        <v>21.31</v>
      </c>
      <c r="I104" s="9">
        <v>7.1</v>
      </c>
      <c r="J104" s="9">
        <v>28.42</v>
      </c>
      <c r="K104" s="9">
        <v>21.31</v>
      </c>
      <c r="L104" s="9">
        <v>78.15</v>
      </c>
      <c r="M104" s="9">
        <v>63.94</v>
      </c>
      <c r="N104" s="15">
        <f t="shared" si="1"/>
        <v>774.39</v>
      </c>
    </row>
    <row r="105" customFormat="1" ht="45" customHeight="1" spans="1:14">
      <c r="A105" s="4">
        <v>83</v>
      </c>
      <c r="B105" s="4" t="s">
        <v>1953</v>
      </c>
      <c r="C105" s="4" t="s">
        <v>413</v>
      </c>
      <c r="D105" s="8" t="s">
        <v>1866</v>
      </c>
      <c r="E105" s="4" t="s">
        <v>105</v>
      </c>
      <c r="F105" s="4">
        <v>0.02</v>
      </c>
      <c r="G105" s="9">
        <v>0.09</v>
      </c>
      <c r="H105" s="9">
        <v>0.02</v>
      </c>
      <c r="I105" s="9">
        <v>0.01</v>
      </c>
      <c r="J105" s="9">
        <v>0.07</v>
      </c>
      <c r="K105" s="9">
        <v>0.02</v>
      </c>
      <c r="L105" s="9">
        <v>0.03</v>
      </c>
      <c r="M105" s="9">
        <v>0.02</v>
      </c>
      <c r="N105" s="15">
        <f t="shared" si="1"/>
        <v>0.26</v>
      </c>
    </row>
    <row r="106" customFormat="1" ht="45" customHeight="1" spans="1:14">
      <c r="A106" s="4">
        <v>84</v>
      </c>
      <c r="B106" s="4" t="s">
        <v>1954</v>
      </c>
      <c r="C106" s="4" t="s">
        <v>1918</v>
      </c>
      <c r="D106" s="8" t="s">
        <v>1919</v>
      </c>
      <c r="E106" s="4" t="s">
        <v>248</v>
      </c>
      <c r="F106" s="4">
        <v>4</v>
      </c>
      <c r="G106" s="9">
        <v>343.49</v>
      </c>
      <c r="H106" s="9">
        <v>13.21</v>
      </c>
      <c r="I106" s="9">
        <v>4.4</v>
      </c>
      <c r="J106" s="9">
        <v>17.61</v>
      </c>
      <c r="K106" s="9">
        <v>13.21</v>
      </c>
      <c r="L106" s="9">
        <v>48.44</v>
      </c>
      <c r="M106" s="9">
        <v>39.63</v>
      </c>
      <c r="N106" s="15">
        <f t="shared" si="1"/>
        <v>479.99</v>
      </c>
    </row>
    <row r="107" customFormat="1" ht="45" customHeight="1" spans="1:14">
      <c r="A107" s="4">
        <v>85</v>
      </c>
      <c r="B107" s="4" t="s">
        <v>1955</v>
      </c>
      <c r="C107" s="4" t="s">
        <v>1921</v>
      </c>
      <c r="D107" s="8" t="s">
        <v>1922</v>
      </c>
      <c r="E107" s="4" t="s">
        <v>93</v>
      </c>
      <c r="F107" s="4">
        <v>1</v>
      </c>
      <c r="G107" s="9">
        <v>22.66</v>
      </c>
      <c r="H107" s="9">
        <v>5.96</v>
      </c>
      <c r="I107" s="9">
        <v>2.98</v>
      </c>
      <c r="J107" s="9">
        <v>16.7</v>
      </c>
      <c r="K107" s="9">
        <v>4.77</v>
      </c>
      <c r="L107" s="9">
        <v>6.56</v>
      </c>
      <c r="M107" s="9">
        <v>5.37</v>
      </c>
      <c r="N107" s="15">
        <f t="shared" si="1"/>
        <v>65</v>
      </c>
    </row>
    <row r="108" customFormat="1" ht="25" customHeight="1" spans="1:14">
      <c r="A108" s="11" t="s">
        <v>50</v>
      </c>
      <c r="B108" s="12"/>
      <c r="C108" s="11"/>
      <c r="D108" s="13"/>
      <c r="E108" s="12"/>
      <c r="F108" s="11"/>
      <c r="G108" s="14"/>
      <c r="H108" s="14"/>
      <c r="I108" s="14"/>
      <c r="J108" s="14"/>
      <c r="K108" s="14"/>
      <c r="L108" s="14"/>
      <c r="M108" s="14"/>
      <c r="N108" s="14">
        <f>SUM(N103:N107)</f>
        <v>1791.54</v>
      </c>
    </row>
    <row r="109" customFormat="1" ht="45" customHeight="1" spans="1:14">
      <c r="A109" s="4">
        <v>86</v>
      </c>
      <c r="B109" s="4" t="s">
        <v>1956</v>
      </c>
      <c r="C109" s="4" t="s">
        <v>1868</v>
      </c>
      <c r="D109" s="8" t="s">
        <v>1869</v>
      </c>
      <c r="E109" s="4" t="s">
        <v>93</v>
      </c>
      <c r="F109" s="4">
        <v>2</v>
      </c>
      <c r="G109" s="9">
        <v>17.43</v>
      </c>
      <c r="H109" s="9">
        <v>4.59</v>
      </c>
      <c r="I109" s="9">
        <v>2.29</v>
      </c>
      <c r="J109" s="9">
        <v>12.84</v>
      </c>
      <c r="K109" s="9">
        <v>3.67</v>
      </c>
      <c r="L109" s="9">
        <v>5.05</v>
      </c>
      <c r="M109" s="9">
        <v>4.13</v>
      </c>
      <c r="N109" s="15">
        <f t="shared" si="1"/>
        <v>50</v>
      </c>
    </row>
    <row r="110" customFormat="1" ht="45" customHeight="1" spans="1:14">
      <c r="A110" s="4">
        <v>87</v>
      </c>
      <c r="B110" s="4" t="s">
        <v>1957</v>
      </c>
      <c r="C110" s="4" t="s">
        <v>91</v>
      </c>
      <c r="D110" s="8" t="s">
        <v>1871</v>
      </c>
      <c r="E110" s="4" t="s">
        <v>93</v>
      </c>
      <c r="F110" s="4">
        <v>7</v>
      </c>
      <c r="G110" s="9">
        <v>36.61</v>
      </c>
      <c r="H110" s="9">
        <v>9.63</v>
      </c>
      <c r="I110" s="9">
        <v>4.82</v>
      </c>
      <c r="J110" s="9">
        <v>26.97</v>
      </c>
      <c r="K110" s="9">
        <v>7.71</v>
      </c>
      <c r="L110" s="9">
        <v>10.6</v>
      </c>
      <c r="M110" s="9">
        <v>8.67</v>
      </c>
      <c r="N110" s="15">
        <f t="shared" si="1"/>
        <v>105.01</v>
      </c>
    </row>
    <row r="111" customFormat="1" ht="45" customHeight="1" spans="1:14">
      <c r="A111" s="4">
        <v>88</v>
      </c>
      <c r="B111" s="4" t="s">
        <v>1958</v>
      </c>
      <c r="C111" s="4" t="s">
        <v>1873</v>
      </c>
      <c r="D111" s="8" t="s">
        <v>1874</v>
      </c>
      <c r="E111" s="4" t="s">
        <v>1875</v>
      </c>
      <c r="F111" s="4">
        <v>2</v>
      </c>
      <c r="G111" s="9">
        <v>97.98</v>
      </c>
      <c r="H111" s="9">
        <v>8.17</v>
      </c>
      <c r="I111" s="9">
        <v>3.27</v>
      </c>
      <c r="J111" s="9">
        <v>24.5</v>
      </c>
      <c r="K111" s="9">
        <v>11.43</v>
      </c>
      <c r="L111" s="9">
        <v>17.96</v>
      </c>
      <c r="M111" s="9">
        <v>14.7</v>
      </c>
      <c r="N111" s="15">
        <f t="shared" si="1"/>
        <v>178.01</v>
      </c>
    </row>
    <row r="112" customFormat="1" ht="45" customHeight="1" spans="1:14">
      <c r="A112" s="4">
        <v>89</v>
      </c>
      <c r="B112" s="4" t="s">
        <v>1959</v>
      </c>
      <c r="C112" s="4" t="s">
        <v>1877</v>
      </c>
      <c r="D112" s="8" t="s">
        <v>1878</v>
      </c>
      <c r="E112" s="4" t="s">
        <v>1875</v>
      </c>
      <c r="F112" s="4">
        <v>1</v>
      </c>
      <c r="G112" s="9">
        <v>198.17</v>
      </c>
      <c r="H112" s="9">
        <v>16.51</v>
      </c>
      <c r="I112" s="9">
        <v>6.61</v>
      </c>
      <c r="J112" s="9">
        <v>49.54</v>
      </c>
      <c r="K112" s="9">
        <v>23.12</v>
      </c>
      <c r="L112" s="9">
        <v>36.33</v>
      </c>
      <c r="M112" s="9">
        <v>29.72</v>
      </c>
      <c r="N112" s="15">
        <f t="shared" si="1"/>
        <v>360</v>
      </c>
    </row>
    <row r="113" customFormat="1" ht="25" customHeight="1" spans="1:14">
      <c r="A113" s="11" t="s">
        <v>50</v>
      </c>
      <c r="B113" s="12"/>
      <c r="C113" s="11"/>
      <c r="D113" s="13"/>
      <c r="E113" s="12"/>
      <c r="F113" s="11"/>
      <c r="G113" s="14"/>
      <c r="H113" s="14"/>
      <c r="I113" s="14"/>
      <c r="J113" s="14"/>
      <c r="K113" s="14"/>
      <c r="L113" s="14"/>
      <c r="M113" s="14"/>
      <c r="N113" s="14">
        <f>SUM(N109:N112)</f>
        <v>693.02</v>
      </c>
    </row>
    <row r="114" customFormat="1" ht="45" customHeight="1" spans="1:14">
      <c r="A114" s="4">
        <v>90</v>
      </c>
      <c r="B114" s="4" t="s">
        <v>1960</v>
      </c>
      <c r="C114" s="4" t="s">
        <v>379</v>
      </c>
      <c r="D114" s="8" t="s">
        <v>1880</v>
      </c>
      <c r="E114" s="4" t="s">
        <v>55</v>
      </c>
      <c r="F114" s="4">
        <v>8</v>
      </c>
      <c r="G114" s="9">
        <v>16029.36</v>
      </c>
      <c r="H114" s="9">
        <v>616.51</v>
      </c>
      <c r="I114" s="9">
        <v>205.5</v>
      </c>
      <c r="J114" s="9">
        <v>822.02</v>
      </c>
      <c r="K114" s="9">
        <v>616.51</v>
      </c>
      <c r="L114" s="9">
        <v>2260.55</v>
      </c>
      <c r="M114" s="9">
        <v>1849.54</v>
      </c>
      <c r="N114" s="15">
        <f t="shared" si="1"/>
        <v>22399.99</v>
      </c>
    </row>
    <row r="115" customFormat="1" ht="45" customHeight="1" spans="1:14">
      <c r="A115" s="4">
        <v>91</v>
      </c>
      <c r="B115" s="4" t="s">
        <v>1961</v>
      </c>
      <c r="C115" s="4" t="s">
        <v>1816</v>
      </c>
      <c r="D115" s="8" t="s">
        <v>1817</v>
      </c>
      <c r="E115" s="4" t="s">
        <v>55</v>
      </c>
      <c r="F115" s="4">
        <v>1</v>
      </c>
      <c r="G115" s="9">
        <v>1220.18</v>
      </c>
      <c r="H115" s="9">
        <v>321.1</v>
      </c>
      <c r="I115" s="9">
        <v>160.55</v>
      </c>
      <c r="J115" s="9">
        <v>899.08</v>
      </c>
      <c r="K115" s="9">
        <v>256.88</v>
      </c>
      <c r="L115" s="9">
        <v>353.21</v>
      </c>
      <c r="M115" s="9">
        <v>288.99</v>
      </c>
      <c r="N115" s="15">
        <f t="shared" si="1"/>
        <v>3499.99</v>
      </c>
    </row>
    <row r="116" customFormat="1" ht="45" customHeight="1" spans="1:14">
      <c r="A116" s="4">
        <v>92</v>
      </c>
      <c r="B116" s="4" t="s">
        <v>1962</v>
      </c>
      <c r="C116" s="4" t="s">
        <v>1819</v>
      </c>
      <c r="D116" s="8" t="s">
        <v>1820</v>
      </c>
      <c r="E116" s="4" t="s">
        <v>1821</v>
      </c>
      <c r="F116" s="4">
        <v>12</v>
      </c>
      <c r="G116" s="9">
        <v>10568.81</v>
      </c>
      <c r="H116" s="9">
        <v>880.73</v>
      </c>
      <c r="I116" s="9">
        <v>352.29</v>
      </c>
      <c r="J116" s="9">
        <v>2642.2</v>
      </c>
      <c r="K116" s="9">
        <v>1233.03</v>
      </c>
      <c r="L116" s="9">
        <v>1937.61</v>
      </c>
      <c r="M116" s="9">
        <v>1585.32</v>
      </c>
      <c r="N116" s="15">
        <f t="shared" si="1"/>
        <v>19199.99</v>
      </c>
    </row>
    <row r="117" customFormat="1" ht="45" customHeight="1" spans="1:14">
      <c r="A117" s="4">
        <v>93</v>
      </c>
      <c r="B117" s="4" t="s">
        <v>1963</v>
      </c>
      <c r="C117" s="4" t="s">
        <v>1823</v>
      </c>
      <c r="D117" s="8" t="s">
        <v>1824</v>
      </c>
      <c r="E117" s="4" t="s">
        <v>47</v>
      </c>
      <c r="F117" s="4">
        <v>20</v>
      </c>
      <c r="G117" s="9">
        <v>59.27</v>
      </c>
      <c r="H117" s="9">
        <v>15.6</v>
      </c>
      <c r="I117" s="9">
        <v>7.8</v>
      </c>
      <c r="J117" s="9">
        <v>43.67</v>
      </c>
      <c r="K117" s="9">
        <v>12.48</v>
      </c>
      <c r="L117" s="9">
        <v>17.16</v>
      </c>
      <c r="M117" s="9">
        <v>14.04</v>
      </c>
      <c r="N117" s="15">
        <f t="shared" si="1"/>
        <v>170.02</v>
      </c>
    </row>
    <row r="118" customFormat="1" ht="45" customHeight="1" spans="1:14">
      <c r="A118" s="4">
        <v>94</v>
      </c>
      <c r="B118" s="4" t="s">
        <v>1964</v>
      </c>
      <c r="C118" s="4" t="s">
        <v>1823</v>
      </c>
      <c r="D118" s="8" t="s">
        <v>1826</v>
      </c>
      <c r="E118" s="4" t="s">
        <v>47</v>
      </c>
      <c r="F118" s="4">
        <v>10</v>
      </c>
      <c r="G118" s="9">
        <v>348.62</v>
      </c>
      <c r="H118" s="9">
        <v>91.74</v>
      </c>
      <c r="I118" s="9">
        <v>45.87</v>
      </c>
      <c r="J118" s="9">
        <v>256.88</v>
      </c>
      <c r="K118" s="9">
        <v>73.39</v>
      </c>
      <c r="L118" s="9">
        <v>100.92</v>
      </c>
      <c r="M118" s="9">
        <v>82.57</v>
      </c>
      <c r="N118" s="15">
        <f t="shared" si="1"/>
        <v>999.99</v>
      </c>
    </row>
    <row r="119" customFormat="1" ht="25" customHeight="1" spans="1:14">
      <c r="A119" s="11" t="s">
        <v>50</v>
      </c>
      <c r="B119" s="12"/>
      <c r="C119" s="11"/>
      <c r="D119" s="13"/>
      <c r="E119" s="12"/>
      <c r="F119" s="11"/>
      <c r="G119" s="14"/>
      <c r="H119" s="14"/>
      <c r="I119" s="14"/>
      <c r="J119" s="14"/>
      <c r="K119" s="14"/>
      <c r="L119" s="14"/>
      <c r="M119" s="14"/>
      <c r="N119" s="14">
        <f>SUM(N114:N118)</f>
        <v>46269.98</v>
      </c>
    </row>
    <row r="120" customFormat="1" ht="45" customHeight="1" spans="1:14">
      <c r="A120" s="4">
        <v>95</v>
      </c>
      <c r="B120" s="4" t="s">
        <v>1965</v>
      </c>
      <c r="C120" s="4" t="s">
        <v>1823</v>
      </c>
      <c r="D120" s="8" t="s">
        <v>1828</v>
      </c>
      <c r="E120" s="4" t="s">
        <v>47</v>
      </c>
      <c r="F120" s="4">
        <v>21.7</v>
      </c>
      <c r="G120" s="9">
        <v>491.73</v>
      </c>
      <c r="H120" s="9">
        <v>129.4</v>
      </c>
      <c r="I120" s="9">
        <v>64.7</v>
      </c>
      <c r="J120" s="9">
        <v>362.33</v>
      </c>
      <c r="K120" s="9">
        <v>103.52</v>
      </c>
      <c r="L120" s="9">
        <v>142.34</v>
      </c>
      <c r="M120" s="9">
        <v>116.46</v>
      </c>
      <c r="N120" s="15">
        <f t="shared" si="1"/>
        <v>1410.48</v>
      </c>
    </row>
    <row r="121" customFormat="1" ht="60" customHeight="1" spans="1:14">
      <c r="A121" s="4">
        <v>96</v>
      </c>
      <c r="B121" s="4" t="s">
        <v>1966</v>
      </c>
      <c r="C121" s="4" t="s">
        <v>1830</v>
      </c>
      <c r="D121" s="8" t="s">
        <v>1967</v>
      </c>
      <c r="E121" s="4" t="s">
        <v>55</v>
      </c>
      <c r="F121" s="4">
        <v>1</v>
      </c>
      <c r="G121" s="9">
        <v>34348.62</v>
      </c>
      <c r="H121" s="9">
        <v>1321.1</v>
      </c>
      <c r="I121" s="9">
        <v>440.37</v>
      </c>
      <c r="J121" s="9">
        <v>1761.47</v>
      </c>
      <c r="K121" s="9">
        <v>1321.1</v>
      </c>
      <c r="L121" s="9">
        <v>4844.04</v>
      </c>
      <c r="M121" s="9">
        <v>3963.3</v>
      </c>
      <c r="N121" s="15">
        <f t="shared" si="1"/>
        <v>48000</v>
      </c>
    </row>
    <row r="122" customFormat="1" ht="45" customHeight="1" spans="1:14">
      <c r="A122" s="4">
        <v>97</v>
      </c>
      <c r="B122" s="4" t="s">
        <v>1968</v>
      </c>
      <c r="C122" s="4" t="s">
        <v>95</v>
      </c>
      <c r="D122" s="8" t="s">
        <v>1936</v>
      </c>
      <c r="E122" s="4" t="s">
        <v>47</v>
      </c>
      <c r="F122" s="4">
        <v>39.08</v>
      </c>
      <c r="G122" s="9">
        <v>61.31</v>
      </c>
      <c r="H122" s="9">
        <v>16.13</v>
      </c>
      <c r="I122" s="9">
        <v>8.07</v>
      </c>
      <c r="J122" s="9">
        <v>45.18</v>
      </c>
      <c r="K122" s="9">
        <v>12.91</v>
      </c>
      <c r="L122" s="9">
        <v>17.75</v>
      </c>
      <c r="M122" s="9">
        <v>14.52</v>
      </c>
      <c r="N122" s="15">
        <f t="shared" si="1"/>
        <v>175.87</v>
      </c>
    </row>
    <row r="123" customFormat="1" ht="45" customHeight="1" spans="1:14">
      <c r="A123" s="4">
        <v>98</v>
      </c>
      <c r="B123" s="4" t="s">
        <v>1969</v>
      </c>
      <c r="C123" s="4" t="s">
        <v>45</v>
      </c>
      <c r="D123" s="8" t="s">
        <v>1835</v>
      </c>
      <c r="E123" s="4" t="s">
        <v>47</v>
      </c>
      <c r="F123" s="4">
        <v>39.08</v>
      </c>
      <c r="G123" s="9">
        <v>61.31</v>
      </c>
      <c r="H123" s="9">
        <v>16.13</v>
      </c>
      <c r="I123" s="9">
        <v>8.07</v>
      </c>
      <c r="J123" s="9">
        <v>45.18</v>
      </c>
      <c r="K123" s="9">
        <v>12.91</v>
      </c>
      <c r="L123" s="9">
        <v>17.75</v>
      </c>
      <c r="M123" s="9">
        <v>14.52</v>
      </c>
      <c r="N123" s="15">
        <f t="shared" si="1"/>
        <v>175.87</v>
      </c>
    </row>
    <row r="124" customFormat="1" ht="25" customHeight="1" spans="1:14">
      <c r="A124" s="11" t="s">
        <v>50</v>
      </c>
      <c r="B124" s="12"/>
      <c r="C124" s="11"/>
      <c r="D124" s="13"/>
      <c r="E124" s="12"/>
      <c r="F124" s="11"/>
      <c r="G124" s="14"/>
      <c r="H124" s="14"/>
      <c r="I124" s="14"/>
      <c r="J124" s="14"/>
      <c r="K124" s="14"/>
      <c r="L124" s="14"/>
      <c r="M124" s="14"/>
      <c r="N124" s="14">
        <f>SUM(N120:N123)</f>
        <v>49762.22</v>
      </c>
    </row>
    <row r="125" customFormat="1" ht="45" customHeight="1" spans="1:14">
      <c r="A125" s="4">
        <v>99</v>
      </c>
      <c r="B125" s="4" t="s">
        <v>1970</v>
      </c>
      <c r="C125" s="4" t="s">
        <v>413</v>
      </c>
      <c r="D125" s="8" t="s">
        <v>1773</v>
      </c>
      <c r="E125" s="4" t="s">
        <v>105</v>
      </c>
      <c r="F125" s="4">
        <v>10</v>
      </c>
      <c r="G125" s="9">
        <v>45.32</v>
      </c>
      <c r="H125" s="9">
        <v>11.93</v>
      </c>
      <c r="I125" s="9">
        <v>5.96</v>
      </c>
      <c r="J125" s="9">
        <v>33.39</v>
      </c>
      <c r="K125" s="9">
        <v>9.54</v>
      </c>
      <c r="L125" s="9">
        <v>13.12</v>
      </c>
      <c r="M125" s="9">
        <v>10.73</v>
      </c>
      <c r="N125" s="15">
        <f t="shared" si="1"/>
        <v>129.99</v>
      </c>
    </row>
    <row r="126" customFormat="1" ht="45" customHeight="1" spans="1:14">
      <c r="A126" s="4">
        <v>100</v>
      </c>
      <c r="B126" s="4" t="s">
        <v>1971</v>
      </c>
      <c r="C126" s="4" t="s">
        <v>1838</v>
      </c>
      <c r="D126" s="8" t="s">
        <v>1839</v>
      </c>
      <c r="E126" s="4" t="s">
        <v>55</v>
      </c>
      <c r="F126" s="4">
        <v>1</v>
      </c>
      <c r="G126" s="9">
        <v>6297.25</v>
      </c>
      <c r="H126" s="9">
        <v>242.2</v>
      </c>
      <c r="I126" s="9">
        <v>80.73</v>
      </c>
      <c r="J126" s="9">
        <v>322.94</v>
      </c>
      <c r="K126" s="9">
        <v>242.2</v>
      </c>
      <c r="L126" s="9">
        <v>888.07</v>
      </c>
      <c r="M126" s="9">
        <v>726.61</v>
      </c>
      <c r="N126" s="15">
        <f t="shared" si="1"/>
        <v>8800</v>
      </c>
    </row>
    <row r="127" customFormat="1" ht="45" customHeight="1" spans="1:14">
      <c r="A127" s="4">
        <v>101</v>
      </c>
      <c r="B127" s="4" t="s">
        <v>1972</v>
      </c>
      <c r="C127" s="4" t="s">
        <v>1841</v>
      </c>
      <c r="D127" s="8" t="s">
        <v>1842</v>
      </c>
      <c r="E127" s="4" t="s">
        <v>854</v>
      </c>
      <c r="F127" s="4">
        <v>4</v>
      </c>
      <c r="G127" s="9">
        <v>6165.14</v>
      </c>
      <c r="H127" s="9">
        <v>513.76</v>
      </c>
      <c r="I127" s="9">
        <v>205.5</v>
      </c>
      <c r="J127" s="9">
        <v>1541.28</v>
      </c>
      <c r="K127" s="9">
        <v>719.27</v>
      </c>
      <c r="L127" s="9">
        <v>1130.28</v>
      </c>
      <c r="M127" s="9">
        <v>924.77</v>
      </c>
      <c r="N127" s="15">
        <f t="shared" si="1"/>
        <v>11200</v>
      </c>
    </row>
    <row r="128" customFormat="1" ht="45" customHeight="1" spans="1:14">
      <c r="A128" s="4">
        <v>102</v>
      </c>
      <c r="B128" s="4" t="s">
        <v>1973</v>
      </c>
      <c r="C128" s="4" t="s">
        <v>1844</v>
      </c>
      <c r="D128" s="8" t="s">
        <v>1845</v>
      </c>
      <c r="E128" s="4" t="s">
        <v>854</v>
      </c>
      <c r="F128" s="4">
        <v>3</v>
      </c>
      <c r="G128" s="9">
        <v>1981.65</v>
      </c>
      <c r="H128" s="9">
        <v>165.14</v>
      </c>
      <c r="I128" s="9">
        <v>66.06</v>
      </c>
      <c r="J128" s="9">
        <v>495.41</v>
      </c>
      <c r="K128" s="9">
        <v>231.19</v>
      </c>
      <c r="L128" s="9">
        <v>363.3</v>
      </c>
      <c r="M128" s="9">
        <v>297.25</v>
      </c>
      <c r="N128" s="15">
        <f t="shared" si="1"/>
        <v>3600</v>
      </c>
    </row>
    <row r="129" customFormat="1" ht="45" customHeight="1" spans="1:14">
      <c r="A129" s="4">
        <v>103</v>
      </c>
      <c r="B129" s="4" t="s">
        <v>1974</v>
      </c>
      <c r="C129" s="4" t="s">
        <v>1847</v>
      </c>
      <c r="D129" s="8" t="s">
        <v>1848</v>
      </c>
      <c r="E129" s="4" t="s">
        <v>55</v>
      </c>
      <c r="F129" s="4">
        <v>1</v>
      </c>
      <c r="G129" s="9">
        <v>1220.18</v>
      </c>
      <c r="H129" s="9">
        <v>321.1</v>
      </c>
      <c r="I129" s="9">
        <v>160.55</v>
      </c>
      <c r="J129" s="9">
        <v>899.08</v>
      </c>
      <c r="K129" s="9">
        <v>256.88</v>
      </c>
      <c r="L129" s="9">
        <v>353.21</v>
      </c>
      <c r="M129" s="9">
        <v>288.99</v>
      </c>
      <c r="N129" s="15">
        <f t="shared" si="1"/>
        <v>3499.99</v>
      </c>
    </row>
    <row r="130" customFormat="1" ht="25" customHeight="1" spans="1:14">
      <c r="A130" s="11" t="s">
        <v>50</v>
      </c>
      <c r="B130" s="12"/>
      <c r="C130" s="11"/>
      <c r="D130" s="13"/>
      <c r="E130" s="12"/>
      <c r="F130" s="11"/>
      <c r="G130" s="14"/>
      <c r="H130" s="14"/>
      <c r="I130" s="14"/>
      <c r="J130" s="14"/>
      <c r="K130" s="14"/>
      <c r="L130" s="14"/>
      <c r="M130" s="14"/>
      <c r="N130" s="14">
        <f>SUM(N125:N129)</f>
        <v>27229.98</v>
      </c>
    </row>
    <row r="131" customFormat="1" ht="101" customHeight="1" spans="1:14">
      <c r="A131" s="4">
        <v>104</v>
      </c>
      <c r="B131" s="4" t="s">
        <v>1975</v>
      </c>
      <c r="C131" s="4" t="s">
        <v>1895</v>
      </c>
      <c r="D131" s="8" t="s">
        <v>1896</v>
      </c>
      <c r="E131" s="4" t="s">
        <v>1032</v>
      </c>
      <c r="F131" s="4">
        <v>26.04</v>
      </c>
      <c r="G131" s="9">
        <v>7080.97</v>
      </c>
      <c r="H131" s="9">
        <v>272.34</v>
      </c>
      <c r="I131" s="9">
        <v>90.78</v>
      </c>
      <c r="J131" s="9">
        <v>363.13</v>
      </c>
      <c r="K131" s="9">
        <v>272.34</v>
      </c>
      <c r="L131" s="9">
        <v>998.6</v>
      </c>
      <c r="M131" s="9">
        <v>817.03</v>
      </c>
      <c r="N131" s="15">
        <f t="shared" si="1"/>
        <v>9895.19</v>
      </c>
    </row>
    <row r="132" customFormat="1" ht="45" customHeight="1" spans="1:14">
      <c r="A132" s="4">
        <v>105</v>
      </c>
      <c r="B132" s="4" t="s">
        <v>1976</v>
      </c>
      <c r="C132" s="4" t="s">
        <v>1977</v>
      </c>
      <c r="D132" s="8" t="s">
        <v>1978</v>
      </c>
      <c r="E132" s="4" t="s">
        <v>55</v>
      </c>
      <c r="F132" s="4">
        <v>1</v>
      </c>
      <c r="G132" s="9">
        <v>2504.59</v>
      </c>
      <c r="H132" s="9">
        <v>96.33</v>
      </c>
      <c r="I132" s="9">
        <v>32.11</v>
      </c>
      <c r="J132" s="9">
        <v>128.44</v>
      </c>
      <c r="K132" s="9">
        <v>96.33</v>
      </c>
      <c r="L132" s="9">
        <v>353.21</v>
      </c>
      <c r="M132" s="9">
        <v>288.99</v>
      </c>
      <c r="N132" s="15">
        <f t="shared" si="1"/>
        <v>3500</v>
      </c>
    </row>
    <row r="133" customFormat="1" ht="45" customHeight="1" spans="1:14">
      <c r="A133" s="4">
        <v>106</v>
      </c>
      <c r="B133" s="4" t="s">
        <v>1979</v>
      </c>
      <c r="C133" s="4" t="s">
        <v>1853</v>
      </c>
      <c r="D133" s="8" t="s">
        <v>1906</v>
      </c>
      <c r="E133" s="4" t="s">
        <v>47</v>
      </c>
      <c r="F133" s="4">
        <v>8.6</v>
      </c>
      <c r="G133" s="9">
        <v>108.88</v>
      </c>
      <c r="H133" s="9">
        <v>9.07</v>
      </c>
      <c r="I133" s="9">
        <v>3.63</v>
      </c>
      <c r="J133" s="9">
        <v>27.22</v>
      </c>
      <c r="K133" s="9">
        <v>12.7</v>
      </c>
      <c r="L133" s="9">
        <v>19.96</v>
      </c>
      <c r="M133" s="9">
        <v>16.33</v>
      </c>
      <c r="N133" s="15">
        <f t="shared" ref="N133:N151" si="2">SUM(G133:M133)</f>
        <v>197.79</v>
      </c>
    </row>
    <row r="134" customFormat="1" ht="25" customHeight="1" spans="1:14">
      <c r="A134" s="11" t="s">
        <v>50</v>
      </c>
      <c r="B134" s="12"/>
      <c r="C134" s="11"/>
      <c r="D134" s="13"/>
      <c r="E134" s="12"/>
      <c r="F134" s="11"/>
      <c r="G134" s="14"/>
      <c r="H134" s="14"/>
      <c r="I134" s="14"/>
      <c r="J134" s="14"/>
      <c r="K134" s="14"/>
      <c r="L134" s="14"/>
      <c r="M134" s="14"/>
      <c r="N134" s="14">
        <f>SUM(N131:N133)</f>
        <v>13592.98</v>
      </c>
    </row>
    <row r="135" customFormat="1" ht="45" customHeight="1" spans="1:14">
      <c r="A135" s="4">
        <v>107</v>
      </c>
      <c r="B135" s="4" t="s">
        <v>1980</v>
      </c>
      <c r="C135" s="4" t="s">
        <v>1853</v>
      </c>
      <c r="D135" s="8" t="s">
        <v>1856</v>
      </c>
      <c r="E135" s="4" t="s">
        <v>47</v>
      </c>
      <c r="F135" s="4">
        <v>24</v>
      </c>
      <c r="G135" s="9">
        <v>158.53</v>
      </c>
      <c r="H135" s="9">
        <v>13.21</v>
      </c>
      <c r="I135" s="9">
        <v>5.28</v>
      </c>
      <c r="J135" s="9">
        <v>39.63</v>
      </c>
      <c r="K135" s="9">
        <v>18.5</v>
      </c>
      <c r="L135" s="9">
        <v>29.06</v>
      </c>
      <c r="M135" s="9">
        <v>23.78</v>
      </c>
      <c r="N135" s="15">
        <f t="shared" si="2"/>
        <v>287.99</v>
      </c>
    </row>
    <row r="136" customFormat="1" ht="45" customHeight="1" spans="1:14">
      <c r="A136" s="4">
        <v>108</v>
      </c>
      <c r="B136" s="4" t="s">
        <v>1981</v>
      </c>
      <c r="C136" s="4" t="s">
        <v>1853</v>
      </c>
      <c r="D136" s="8" t="s">
        <v>1904</v>
      </c>
      <c r="E136" s="4" t="s">
        <v>47</v>
      </c>
      <c r="F136" s="4">
        <v>42</v>
      </c>
      <c r="G136" s="9">
        <v>138.72</v>
      </c>
      <c r="H136" s="9">
        <v>11.56</v>
      </c>
      <c r="I136" s="9">
        <v>4.62</v>
      </c>
      <c r="J136" s="9">
        <v>34.68</v>
      </c>
      <c r="K136" s="9">
        <v>16.18</v>
      </c>
      <c r="L136" s="9">
        <v>25.43</v>
      </c>
      <c r="M136" s="9">
        <v>20.81</v>
      </c>
      <c r="N136" s="15">
        <f t="shared" si="2"/>
        <v>252</v>
      </c>
    </row>
    <row r="137" customFormat="1" ht="45" customHeight="1" spans="1:14">
      <c r="A137" s="4">
        <v>109</v>
      </c>
      <c r="B137" s="4" t="s">
        <v>1982</v>
      </c>
      <c r="C137" s="4" t="s">
        <v>1853</v>
      </c>
      <c r="D137" s="8" t="s">
        <v>1858</v>
      </c>
      <c r="E137" s="4" t="s">
        <v>47</v>
      </c>
      <c r="F137" s="4">
        <v>15.6</v>
      </c>
      <c r="G137" s="9">
        <v>137.39</v>
      </c>
      <c r="H137" s="9">
        <v>11.45</v>
      </c>
      <c r="I137" s="9">
        <v>4.58</v>
      </c>
      <c r="J137" s="9">
        <v>34.35</v>
      </c>
      <c r="K137" s="9">
        <v>16.03</v>
      </c>
      <c r="L137" s="9">
        <v>25.19</v>
      </c>
      <c r="M137" s="9">
        <v>20.61</v>
      </c>
      <c r="N137" s="15">
        <f t="shared" si="2"/>
        <v>249.6</v>
      </c>
    </row>
    <row r="138" customFormat="1" ht="45" customHeight="1" spans="1:14">
      <c r="A138" s="4">
        <v>110</v>
      </c>
      <c r="B138" s="4" t="s">
        <v>1983</v>
      </c>
      <c r="C138" s="4" t="s">
        <v>1860</v>
      </c>
      <c r="D138" s="8" t="s">
        <v>1861</v>
      </c>
      <c r="E138" s="4" t="s">
        <v>93</v>
      </c>
      <c r="F138" s="4">
        <v>2</v>
      </c>
      <c r="G138" s="9">
        <v>38.53</v>
      </c>
      <c r="H138" s="9">
        <v>3.21</v>
      </c>
      <c r="I138" s="9">
        <v>1.28</v>
      </c>
      <c r="J138" s="9">
        <v>9.63</v>
      </c>
      <c r="K138" s="9">
        <v>4.5</v>
      </c>
      <c r="L138" s="9">
        <v>7.06</v>
      </c>
      <c r="M138" s="9">
        <v>5.78</v>
      </c>
      <c r="N138" s="15">
        <f t="shared" si="2"/>
        <v>69.99</v>
      </c>
    </row>
    <row r="139" customFormat="1" ht="45" customHeight="1" spans="1:14">
      <c r="A139" s="4">
        <v>111</v>
      </c>
      <c r="B139" s="4" t="s">
        <v>1984</v>
      </c>
      <c r="C139" s="4" t="s">
        <v>168</v>
      </c>
      <c r="D139" s="8" t="s">
        <v>1911</v>
      </c>
      <c r="E139" s="4" t="s">
        <v>47</v>
      </c>
      <c r="F139" s="4">
        <v>10.62</v>
      </c>
      <c r="G139" s="9">
        <v>592.77</v>
      </c>
      <c r="H139" s="9">
        <v>22.8</v>
      </c>
      <c r="I139" s="9">
        <v>7.6</v>
      </c>
      <c r="J139" s="9">
        <v>30.4</v>
      </c>
      <c r="K139" s="9">
        <v>22.8</v>
      </c>
      <c r="L139" s="9">
        <v>83.6</v>
      </c>
      <c r="M139" s="9">
        <v>68.4</v>
      </c>
      <c r="N139" s="15">
        <f t="shared" si="2"/>
        <v>828.37</v>
      </c>
    </row>
    <row r="140" customFormat="1" ht="25" customHeight="1" spans="1:14">
      <c r="A140" s="11" t="s">
        <v>50</v>
      </c>
      <c r="B140" s="12"/>
      <c r="C140" s="11"/>
      <c r="D140" s="13"/>
      <c r="E140" s="12"/>
      <c r="F140" s="11"/>
      <c r="G140" s="14"/>
      <c r="H140" s="14"/>
      <c r="I140" s="14"/>
      <c r="J140" s="14"/>
      <c r="K140" s="14"/>
      <c r="L140" s="14"/>
      <c r="M140" s="14"/>
      <c r="N140" s="14">
        <f>SUM(N135:N139)</f>
        <v>1687.95</v>
      </c>
    </row>
    <row r="141" customFormat="1" ht="45" customHeight="1" spans="1:14">
      <c r="A141" s="4">
        <v>112</v>
      </c>
      <c r="B141" s="4" t="s">
        <v>1985</v>
      </c>
      <c r="C141" s="4" t="s">
        <v>168</v>
      </c>
      <c r="D141" s="8" t="s">
        <v>1913</v>
      </c>
      <c r="E141" s="4" t="s">
        <v>47</v>
      </c>
      <c r="F141" s="4">
        <v>12.93</v>
      </c>
      <c r="G141" s="9">
        <v>721.71</v>
      </c>
      <c r="H141" s="9">
        <v>27.76</v>
      </c>
      <c r="I141" s="9">
        <v>9.25</v>
      </c>
      <c r="J141" s="9">
        <v>37.01</v>
      </c>
      <c r="K141" s="9">
        <v>27.76</v>
      </c>
      <c r="L141" s="9">
        <v>101.78</v>
      </c>
      <c r="M141" s="9">
        <v>83.27</v>
      </c>
      <c r="N141" s="15">
        <f t="shared" si="2"/>
        <v>1008.54</v>
      </c>
    </row>
    <row r="142" customFormat="1" ht="45" customHeight="1" spans="1:14">
      <c r="A142" s="4">
        <v>113</v>
      </c>
      <c r="B142" s="4" t="s">
        <v>1986</v>
      </c>
      <c r="C142" s="4" t="s">
        <v>413</v>
      </c>
      <c r="D142" s="8" t="s">
        <v>1866</v>
      </c>
      <c r="E142" s="4" t="s">
        <v>105</v>
      </c>
      <c r="F142" s="4">
        <v>0.02</v>
      </c>
      <c r="G142" s="9">
        <v>0.89</v>
      </c>
      <c r="H142" s="9">
        <v>0.23</v>
      </c>
      <c r="I142" s="9">
        <v>0.12</v>
      </c>
      <c r="J142" s="9">
        <v>0.66</v>
      </c>
      <c r="K142" s="9">
        <v>0.19</v>
      </c>
      <c r="L142" s="9">
        <v>0.26</v>
      </c>
      <c r="M142" s="9">
        <v>0.21</v>
      </c>
      <c r="N142" s="15">
        <f t="shared" si="2"/>
        <v>2.56</v>
      </c>
    </row>
    <row r="143" customFormat="1" ht="45" customHeight="1" spans="1:14">
      <c r="A143" s="4">
        <v>114</v>
      </c>
      <c r="B143" s="4" t="s">
        <v>1987</v>
      </c>
      <c r="C143" s="4" t="s">
        <v>1918</v>
      </c>
      <c r="D143" s="8" t="s">
        <v>1919</v>
      </c>
      <c r="E143" s="4" t="s">
        <v>248</v>
      </c>
      <c r="F143" s="4">
        <v>7</v>
      </c>
      <c r="G143" s="9">
        <v>65.12</v>
      </c>
      <c r="H143" s="9">
        <v>2.5</v>
      </c>
      <c r="I143" s="9">
        <v>0.83</v>
      </c>
      <c r="J143" s="9">
        <v>3.34</v>
      </c>
      <c r="K143" s="9">
        <v>2.5</v>
      </c>
      <c r="L143" s="9">
        <v>9.18</v>
      </c>
      <c r="M143" s="9">
        <v>7.51</v>
      </c>
      <c r="N143" s="15">
        <f t="shared" si="2"/>
        <v>90.98</v>
      </c>
    </row>
    <row r="144" customFormat="1" ht="45" customHeight="1" spans="1:14">
      <c r="A144" s="4">
        <v>115</v>
      </c>
      <c r="B144" s="4" t="s">
        <v>1988</v>
      </c>
      <c r="C144" s="4" t="s">
        <v>1921</v>
      </c>
      <c r="D144" s="8" t="s">
        <v>1922</v>
      </c>
      <c r="E144" s="4" t="s">
        <v>93</v>
      </c>
      <c r="F144" s="4">
        <v>1</v>
      </c>
      <c r="G144" s="9">
        <v>41.83</v>
      </c>
      <c r="H144" s="9">
        <v>11.01</v>
      </c>
      <c r="I144" s="9">
        <v>5.5</v>
      </c>
      <c r="J144" s="9">
        <v>30.83</v>
      </c>
      <c r="K144" s="9">
        <v>8.81</v>
      </c>
      <c r="L144" s="9">
        <v>12.11</v>
      </c>
      <c r="M144" s="9">
        <v>9.91</v>
      </c>
      <c r="N144" s="15">
        <f t="shared" si="2"/>
        <v>120</v>
      </c>
    </row>
    <row r="145" customFormat="1" ht="45" customHeight="1" spans="1:14">
      <c r="A145" s="4">
        <v>116</v>
      </c>
      <c r="B145" s="4" t="s">
        <v>1989</v>
      </c>
      <c r="C145" s="4" t="s">
        <v>1868</v>
      </c>
      <c r="D145" s="8" t="s">
        <v>1869</v>
      </c>
      <c r="E145" s="4" t="s">
        <v>93</v>
      </c>
      <c r="F145" s="4">
        <v>2</v>
      </c>
      <c r="G145" s="9">
        <v>45.32</v>
      </c>
      <c r="H145" s="9">
        <v>11.93</v>
      </c>
      <c r="I145" s="9">
        <v>5.96</v>
      </c>
      <c r="J145" s="9">
        <v>33.39</v>
      </c>
      <c r="K145" s="9">
        <v>9.54</v>
      </c>
      <c r="L145" s="9">
        <v>13.12</v>
      </c>
      <c r="M145" s="9">
        <v>10.73</v>
      </c>
      <c r="N145" s="15">
        <f t="shared" si="2"/>
        <v>129.99</v>
      </c>
    </row>
    <row r="146" customFormat="1" ht="25" customHeight="1" spans="1:14">
      <c r="A146" s="11" t="s">
        <v>50</v>
      </c>
      <c r="B146" s="12"/>
      <c r="C146" s="11"/>
      <c r="D146" s="13"/>
      <c r="E146" s="12"/>
      <c r="F146" s="11"/>
      <c r="G146" s="14"/>
      <c r="H146" s="14"/>
      <c r="I146" s="14"/>
      <c r="J146" s="14"/>
      <c r="K146" s="14"/>
      <c r="L146" s="14"/>
      <c r="M146" s="14"/>
      <c r="N146" s="14">
        <f>SUM(N141:N145)</f>
        <v>1352.07</v>
      </c>
    </row>
    <row r="147" customFormat="1" ht="45" customHeight="1" spans="1:14">
      <c r="A147" s="4">
        <v>117</v>
      </c>
      <c r="B147" s="4" t="s">
        <v>1990</v>
      </c>
      <c r="C147" s="4" t="s">
        <v>91</v>
      </c>
      <c r="D147" s="8" t="s">
        <v>1871</v>
      </c>
      <c r="E147" s="4" t="s">
        <v>93</v>
      </c>
      <c r="F147" s="4">
        <v>10</v>
      </c>
      <c r="G147" s="9">
        <v>52.29</v>
      </c>
      <c r="H147" s="9">
        <v>13.76</v>
      </c>
      <c r="I147" s="9">
        <v>6.88</v>
      </c>
      <c r="J147" s="9">
        <v>38.53</v>
      </c>
      <c r="K147" s="9">
        <v>11.01</v>
      </c>
      <c r="L147" s="9">
        <v>15.14</v>
      </c>
      <c r="M147" s="9">
        <v>12.39</v>
      </c>
      <c r="N147" s="15">
        <f t="shared" si="2"/>
        <v>150</v>
      </c>
    </row>
    <row r="148" customFormat="1" ht="45" customHeight="1" spans="1:14">
      <c r="A148" s="4">
        <v>118</v>
      </c>
      <c r="B148" s="4" t="s">
        <v>1991</v>
      </c>
      <c r="C148" s="4" t="s">
        <v>1873</v>
      </c>
      <c r="D148" s="8" t="s">
        <v>1874</v>
      </c>
      <c r="E148" s="4" t="s">
        <v>1875</v>
      </c>
      <c r="F148" s="4">
        <v>2</v>
      </c>
      <c r="G148" s="9">
        <v>97.98</v>
      </c>
      <c r="H148" s="9">
        <v>8.17</v>
      </c>
      <c r="I148" s="9">
        <v>3.27</v>
      </c>
      <c r="J148" s="9">
        <v>24.5</v>
      </c>
      <c r="K148" s="9">
        <v>11.43</v>
      </c>
      <c r="L148" s="9">
        <v>17.96</v>
      </c>
      <c r="M148" s="9">
        <v>14.7</v>
      </c>
      <c r="N148" s="15">
        <f t="shared" si="2"/>
        <v>178.01</v>
      </c>
    </row>
    <row r="149" customFormat="1" ht="45" customHeight="1" spans="1:14">
      <c r="A149" s="4">
        <v>119</v>
      </c>
      <c r="B149" s="4" t="s">
        <v>1992</v>
      </c>
      <c r="C149" s="4" t="s">
        <v>1877</v>
      </c>
      <c r="D149" s="8" t="s">
        <v>1878</v>
      </c>
      <c r="E149" s="4" t="s">
        <v>1875</v>
      </c>
      <c r="F149" s="4">
        <v>1</v>
      </c>
      <c r="G149" s="9">
        <v>198.17</v>
      </c>
      <c r="H149" s="9">
        <v>16.51</v>
      </c>
      <c r="I149" s="9">
        <v>6.61</v>
      </c>
      <c r="J149" s="9">
        <v>49.54</v>
      </c>
      <c r="K149" s="9">
        <v>23.12</v>
      </c>
      <c r="L149" s="9">
        <v>36.33</v>
      </c>
      <c r="M149" s="9">
        <v>29.72</v>
      </c>
      <c r="N149" s="15">
        <f t="shared" si="2"/>
        <v>360</v>
      </c>
    </row>
    <row r="150" customFormat="1" ht="25" customHeight="1" spans="1:14">
      <c r="A150" s="11" t="s">
        <v>50</v>
      </c>
      <c r="B150" s="12"/>
      <c r="C150" s="11"/>
      <c r="D150" s="13"/>
      <c r="E150" s="12"/>
      <c r="F150" s="11"/>
      <c r="G150" s="14"/>
      <c r="H150" s="14"/>
      <c r="I150" s="14"/>
      <c r="J150" s="14"/>
      <c r="K150" s="14"/>
      <c r="L150" s="14"/>
      <c r="M150" s="14"/>
      <c r="N150" s="14">
        <f>SUM(N147:N149)</f>
        <v>688.01</v>
      </c>
    </row>
    <row r="151" customFormat="1" ht="25" customHeight="1" spans="1:14">
      <c r="A151" s="4" t="s">
        <v>188</v>
      </c>
      <c r="B151" s="4"/>
      <c r="C151" s="4"/>
      <c r="D151" s="8"/>
      <c r="E151" s="4"/>
      <c r="F151" s="4"/>
      <c r="G151" s="9"/>
      <c r="H151" s="9"/>
      <c r="I151" s="9"/>
      <c r="J151" s="9"/>
      <c r="K151" s="9"/>
      <c r="L151" s="9"/>
      <c r="M151" s="9"/>
      <c r="N151" s="16">
        <f>N9+N14+N19+N25+N31+N37+N43+N48+N54+N58+N64+N70+N75+N81+N86+N92+N96+N102+N108+N113+N119+N124+N130+N134+N140+N146+N150</f>
        <v>568252.22</v>
      </c>
    </row>
  </sheetData>
  <autoFilter xmlns:etc="http://www.wps.cn/officeDocument/2017/etCustomData" ref="A4:N151" etc:filterBottomFollowUsedRange="0">
    <extLst/>
  </autoFilter>
  <mergeCells count="9">
    <mergeCell ref="A1:N1"/>
    <mergeCell ref="A2:N2"/>
    <mergeCell ref="G3:N3"/>
    <mergeCell ref="A3:A4"/>
    <mergeCell ref="B3:B4"/>
    <mergeCell ref="C3:C4"/>
    <mergeCell ref="D3:D4"/>
    <mergeCell ref="E3:E4"/>
    <mergeCell ref="F3:F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23</vt:i4>
      </vt:variant>
    </vt:vector>
  </HeadingPairs>
  <TitlesOfParts>
    <vt:vector size="23" baseType="lpstr">
      <vt:lpstr>总表</vt:lpstr>
      <vt:lpstr>1#、3#、8#、15#五方对讲系统</vt:lpstr>
      <vt:lpstr>1#数据中心BA系统</vt:lpstr>
      <vt:lpstr>1#数据中心安防门禁系统</vt:lpstr>
      <vt:lpstr>1#数据中心综合布线系统</vt:lpstr>
      <vt:lpstr>3#数据中心BA系统</vt:lpstr>
      <vt:lpstr>3#数据中心安防门禁系统</vt:lpstr>
      <vt:lpstr>3#数据中心综合布线系统</vt:lpstr>
      <vt:lpstr>8#、15#非管区入侵报警系统</vt:lpstr>
      <vt:lpstr>8#、15#非管区时钟同步系统</vt:lpstr>
      <vt:lpstr>8#、15#非管区视频监控系统</vt:lpstr>
      <vt:lpstr>8#、15#非管区巡更系统</vt:lpstr>
      <vt:lpstr>8#、15#非管区一卡通系统</vt:lpstr>
      <vt:lpstr>8#、15#非管区园区智能化管理平台系统</vt:lpstr>
      <vt:lpstr>8#、15#非管区综合布线系统</vt:lpstr>
      <vt:lpstr>8#、15#非管区BA系统</vt:lpstr>
      <vt:lpstr>8#、15#非管区多媒体系统</vt:lpstr>
      <vt:lpstr>8#、15#非管区信息发布系统</vt:lpstr>
      <vt:lpstr>8#楼ECC非管区灯光控制工程</vt:lpstr>
      <vt:lpstr>8#楼ECC非管区电动窗帘控制工程</vt:lpstr>
      <vt:lpstr>15#楼生产综合楼灯光控制工程</vt:lpstr>
      <vt:lpstr>15#楼生产楼电动窗帘控制工程</vt:lpstr>
      <vt:lpstr>15#楼生产综合楼值班室、机房、工具间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空白格</cp:lastModifiedBy>
  <dcterms:created xsi:type="dcterms:W3CDTF">2026-08-03T02:24:00Z</dcterms:created>
  <dcterms:modified xsi:type="dcterms:W3CDTF">2026-08-08T03:38:06Z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{"Label":"1","ContentProducer":"001191110102MACQD9K64010000","ProduceID":"7669625567609163014","ReservedCode1":"","ContentPropagator":"","PropagateID":"","ReservedCode2":""}</vt:lpwstr>
  </property>
  <property fmtid="{D5CDD505-2E9C-101B-9397-08002B2CF9AE}" pid="3" name="ICV">
    <vt:lpwstr>4A2104079FD44154988B017FF06DA6C9_13</vt:lpwstr>
  </property>
  <property fmtid="{D5CDD505-2E9C-101B-9397-08002B2CF9AE}" pid="4" name="KSOProductBuildVer">
    <vt:lpwstr>2052-12.1.0.28043</vt:lpwstr>
  </property>
  <property fmtid="{D5CDD505-2E9C-101B-9397-08002B2CF9AE}" pid="5" name="CalculationRule">
    <vt:i4>0</vt:i4>
  </property>
</Properties>
</file>